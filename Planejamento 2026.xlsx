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ejamento" sheetId="1" r:id="rId4"/>
    <sheet state="visible" name="Projeção" sheetId="2" r:id="rId5"/>
    <sheet state="visible" name="Página3" sheetId="3" r:id="rId6"/>
    <sheet state="hidden" name="planej.OPS-OTIMISTA_26" sheetId="4" r:id="rId7"/>
    <sheet state="hidden" name="planej.OPS_27" sheetId="5" r:id="rId8"/>
    <sheet state="hidden" name="planej.OPS_28" sheetId="6" r:id="rId9"/>
    <sheet state="hidden" name="Overview" sheetId="7" r:id="rId10"/>
    <sheet state="hidden" name="BOLD" sheetId="8" r:id="rId11"/>
  </sheets>
  <definedNames/>
  <calcPr/>
  <extLst>
    <ext uri="GoogleSheetsCustomDataVersion2">
      <go:sheetsCustomData xmlns:go="http://customooxmlschemas.google.com/" r:id="rId12" roundtripDataChecksum="Xmf0UcPpUd3OeNrJX4X9zUaFmNdFoZMhiKs6WLuO0O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6">
      <text>
        <t xml:space="preserve">======
ID#AAAB15wGgBM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BH89">
      <text>
        <t xml:space="preserve">======
ID#AAAB2nF_yQg
DELL    (2026-03-27 16:35:15)
Premissa: app próprio captura 10% do GMV total
GMV app: R$ 321.936 × 10% = R$ 32.194 / ano</t>
      </text>
    </comment>
    <comment authorId="0" ref="J71">
      <text>
        <t xml:space="preserve">======
ID#AAAB15wGgA0
DELL    (2026-03-16 11:47:27)
SETUP  R$  48.000,00 
PRAZO 36 MESES
INÍCIO 3/1/2024
TÉRMINO 3/1/2027
MENSALIDADE  R$  199,00 
TAXA 3,9%
FERRAMENTAS VALORES DE INFOBIP</t>
      </text>
    </comment>
    <comment authorId="0" ref="J36">
      <text>
        <t xml:space="preserve">======
ID#AAAB15wGgAM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BH22">
      <text>
        <t xml:space="preserve">======
ID#AAAB8oq4bw4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99">
      <text>
        <t xml:space="preserve">======
ID#AAAB15wGgAE
DELL    (2026-03-16 11:47:27)
SETUP ISENTO 
PRAZO 36 MESES 
INÍCIO 5/3/2024 
MENSALIDADE  R$  149,00  
TAXA ESCALONADA 
TOTAL DE PEDIDOS  TAXA HANZO
0 50.000 2,0%
50.001 100.000 1,5%
100.001 EM DIANTE 1,0%</t>
      </text>
    </comment>
    <comment authorId="0" ref="J64">
      <text>
        <t xml:space="preserve">======
ID#AAAB15wGgBI
DELL    (2026-03-16 11:47:27)
SETUP  R$  -   
PRAZO 24 MESES
INÍCIO A PARTIR DA ENTRADA EM OPERAÇÃO
TÉRMINO 1/1/2027
MENSALIDADE R$ 49,90
TAXA 4%
ATÉ FATURAMENTO DE R$ 1.000.000,00 
FERRAMENTAS VALORES DE INFOBIP</t>
      </text>
    </comment>
    <comment authorId="0" ref="J94">
      <text>
        <t xml:space="preserve">======
ID#AAAB15wGgAY
DELL    (2026-03-16 11:47:27)
30 lojas em 2026</t>
      </text>
    </comment>
    <comment authorId="0" ref="BH15">
      <text>
        <t xml:space="preserve">======
ID#AAAB15wGgAw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29">
      <text>
        <t xml:space="preserve">======
ID#AAAB15wGgAQ
DELL    (2026-03-16 11:47:27)
SETUP ISENTO 
PRAZO 36 MESES 
INÍCIO 10/30/2023 
TÉRMINO 10/30/2026 
MENSALIDADE  R$  399,00  
TAXA ESCALONADA 
TOTAL DE PEDIDOS  TAXA HANZO
0 1.000 4,9%
1.001 2.500 3,9%
2.501 5.000 3,2%
ACIMA DE 5.001 2,9%
FERRAMENTAS VALORES DE INFOBIP</t>
      </text>
    </comment>
    <comment authorId="0" ref="J57">
      <text>
        <t xml:space="preserve">======
ID#AAAB15wGgBA
DELL    (2026-03-16 11:47:27)
TOTAL DE PEDIDOS  TAXA HANZO
0 10.000 3,25%
10.000 25.000 3,00%
25.000 50.000 2,75%
ACIMA DE 50.001 2,50%</t>
      </text>
    </comment>
    <comment authorId="0" ref="W134">
      <text>
        <t xml:space="preserve">======
ID#AAAB15wGgA8
DELL    (2026-03-16 11:47:27)
SETUP  R$  -   
PRAZO 36 MESES
INÍCIO A PARTIR DA ENTRADA EM OPERAÇÃO
TÉRMINO mai.-28
MENSALIDADE  R$  299,00 
TAXA 4,0%
FERRAMENTAS VALORES DE INFOBIP</t>
      </text>
    </comment>
    <comment authorId="0" ref="J120">
      <text>
        <t xml:space="preserve">======
ID#AAAB2mO71jg
    (2026-03-27 16:35:15)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K22">
      <text>
        <t xml:space="preserve">======
ID#AAAB2mO71jY
DELL    (2026-03-27 16:35:15)
Não temos ainda a remuneração deste contrato (18/03/26)</t>
      </text>
    </comment>
    <comment authorId="0" ref="J85">
      <text>
        <t xml:space="preserve">======
ID#AAAB15wGgAI
DELL    (2026-03-16 11:47:27)
SETUP  R$  255.000,00   
PRAZO 36 MESES  
INÍCIO 7/1/2025  
TÉRMINO 7/1/2028  
MENSALIDADE  R$  -     
TAXA 6%  
FERRAMENTAS GOOGLE CLOUD CERCA DE   R$  8.000,00</t>
      </text>
    </comment>
    <comment authorId="0" ref="J50">
      <text>
        <t xml:space="preserve">======
ID#AAAB15wGgAc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 authorId="0" ref="BH36">
      <text>
        <t xml:space="preserve">======
ID#AAAB8oq4bw0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113">
      <text>
        <t xml:space="preserve">======
ID#AAAB15wGgBE
DELL    (2026-03-16 11:47:27)
SETUP  R$  -   
PRAZO 36 MESES
INÍCIO A PARTIR DA ENTRADA EM OPERAÇÃO
TÉRMINO mai.-28
MENSALIDADE  R$  299,00 
TAXA 4,0%
FERRAMENTAS VALORES DE INFOBIP</t>
      </text>
    </comment>
    <comment authorId="0" ref="J15">
      <text>
        <t xml:space="preserve">======
ID#AAAB15wGgAA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 authorId="0" ref="J78">
      <text>
        <t xml:space="preserve">======
ID#AAAB15wGgAg
DELL    (2026-03-16 11:47:27)
TOTAL DE PEDIDOS  TAXA HANZO
 R$  -     R$  650.000,00  3,00%
 R$  750.001,00   R$  2.500.000,00  2,50%
 R$  2.500.001,00   R$  4.500.000,00  2,25%
 R$  4.500.001,00   R$  7.500.000,00  2,00%
 R$  7.500.001,00   R$  11.500.000,00  1,50%
 ACIMA DE  R$  11.500.000,00  1,00%
MENSALIDADE  R$  299,00 P/ LOJA</t>
      </text>
    </comment>
    <comment authorId="0" ref="J43">
      <text>
        <t xml:space="preserve">======
ID#AAAB15wGgA4
DELL    (2026-03-16 11:47:27)
TOTAL DE PEDIDOS  TAXA HANZO
 R$  -     R$  500.000,00  4,0%
 R$  500.001,00   R$  1.000.000,00  3,5%
 ACIMA DE  R$  1.000.000,00  3,0%
MENSALIDADE  R$  199,00 P/LOJA (10 LJ)</t>
      </text>
    </comment>
  </commentList>
  <extLst>
    <ext uri="GoogleSheetsCustomDataVersion2">
      <go:sheetsCustomData xmlns:go="http://customooxmlschemas.google.com/" r:id="rId1" roundtripDataSignature="AMtx7mgT9loAup3ijkiudOrZB3cYuRR8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73">
      <text>
        <t xml:space="preserve">======
ID#AAAB2mO71jk
DELL    (2026-03-16 11:47:27)
SETUP  R$  255.000,00   
PRAZO 36 MESES  
INÍCIO 7/1/2025  
TÉRMINO 7/1/2028  
MENSALIDADE  R$  -     
TAXA 6%  
FERRAMENTAS GOOGLE CLOUD CERCA DE   R$  8.000,00</t>
      </text>
    </comment>
    <comment authorId="0" ref="J7">
      <text>
        <t xml:space="preserve">======
ID#AAAB2mmvuHQ
DELL    (2026-03-16 11:47:27)
SQUAD  R$  72.000,00  
HOSTING  R$  15.000,00  
HORAS EXTRAS  R$  266,00  
PRAZO 12 MESES 
INÍCIO 3/1/2025 
MENSALIDADE  R$  -    
TAXA 4,9% 
FERRAMENTAS HOSTING  R$  15.000,00 
 SQUAD  R$  72.000,00 
 GOOGLE  R$  8.000,00</t>
      </text>
    </comment>
    <comment authorId="0" ref="J67">
      <text>
        <t xml:space="preserve">======
ID#AAAB2mO6ASE
DELL    (2026-03-16 11:47:27)
TOTAL DE PEDIDOS  TAXA HANZO
 R$  -     R$  650.000,00  3,00%
 R$  750.001,00   R$  2.500.000,00  2,50%
 R$  2.500.001,00   R$  4.500.000,00  2,25%
 R$  4.500.001,00   R$  7.500.000,00  2,00%
 R$  7.500.001,00   R$  11.500.000,00  1,50%
 ACIMA DE  R$  11.500.000,00  1,00%
MENSALIDADE  R$  299,00 P/ LOJA</t>
      </text>
    </comment>
    <comment authorId="0" ref="X77">
      <text>
        <t xml:space="preserve">======
ID#AAAB2mmvuHU
DELL    (2026-03-27 16:35:15)
Premissa: app próprio captura 10% do GMV total
GMV app: R$ 321.936 × 10% = R$ 32.194 / ano</t>
      </text>
    </comment>
    <comment authorId="0" ref="X13">
      <text>
        <t xml:space="preserve">======
ID#AAAB2mO71kI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61">
      <text>
        <t xml:space="preserve">======
ID#AAAB2mO71kQ
DELL    (2026-03-16 11:47:27)
SETUP  R$  48.000,00 
PRAZO 36 MESES
INÍCIO 3/1/2024
TÉRMINO 3/1/2027
MENSALIDADE  R$  199,00 
TAXA 3,9%
FERRAMENTAS VALORES DE INFOBIP</t>
      </text>
    </comment>
    <comment authorId="0" ref="AA77">
      <text>
        <t xml:space="preserve">======
ID#AAAB2NfjkIE
DELL    (2026-03-19 15:23:10)
Premissa: app próprio captura 10% do GMV total
GMV app: R$ 321.936 × 10% = R$ 32.194 / ano</t>
      </text>
    </comment>
    <comment authorId="0" ref="AA13">
      <text>
        <t xml:space="preserve">======
ID#AAAB2mmvuHs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X73">
      <text>
        <t xml:space="preserve">======
ID#AAAB2nF_yQo
DELL    (2026-03-16 11:47:27)
não foi incluido os meses que não chegou no minimo (150k)</t>
      </text>
    </comment>
    <comment authorId="0" ref="AA73">
      <text>
        <t xml:space="preserve">======
ID#AAAB2mmvuHA
DELL    (2026-03-16 11:47:27)
não foi incluido os meses que não chegou no minimo (150k)</t>
      </text>
    </comment>
    <comment authorId="0" ref="J55">
      <text>
        <t xml:space="preserve">======
ID#AAAB2nF_yQs
DELL    (2026-03-16 11:47:27)
SETUP  R$  -   
PRAZO 24 MESES
INÍCIO A PARTIR DA ENTRADA EM OPERAÇÃO
TÉRMINO 1/1/2027
MENSALIDADE R$ 49,90
TAXA 4%
ATÉ FATURAMENTO DE R$ 1.000.000,00 
FERRAMENTAS VALORES DE INFOBIP</t>
      </text>
    </comment>
    <comment authorId="0" ref="J49">
      <text>
        <t xml:space="preserve">======
ID#AAAB2mO71jw
DELL    (2026-03-16 11:47:27)
TOTAL DE PEDIDOS  TAXA HANZO
0 10.000 3,25%
10.000 25.000 3,00%
25.000 50.000 2,75%
ACIMA DE 50.001 2,50%</t>
      </text>
    </comment>
    <comment authorId="0" ref="X61">
      <text>
        <t xml:space="preserve">======
ID#AAAB2mmvuHc
DELL    (2026-03-16 11:47:27)
não foi considerado mensalidade das 8 lojas</t>
      </text>
    </comment>
    <comment authorId="0" ref="AA61">
      <text>
        <t xml:space="preserve">======
ID#AAAB2mmvuIA
DELL    (2026-03-16 11:47:27)
não foi considerado mensalidade das 8 lojas</t>
      </text>
    </comment>
    <comment authorId="0" ref="J43">
      <text>
        <t xml:space="preserve">======
ID#AAAB2mO71kE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 authorId="0" ref="X55">
      <text>
        <t xml:space="preserve">======
ID#AAAB2mmvuHw
DELL    (2026-03-16 11:47:27)
foi considerado apenas receita, não esta previsto mensalidade, aprox. 174k de jan - jul</t>
      </text>
    </comment>
    <comment authorId="0" ref="W117">
      <text>
        <t xml:space="preserve">======
ID#AAAB2mmvuHE
DELL    (2026-03-16 11:47:27)
SETUP  R$  -   
PRAZO 36 MESES
INÍCIO A PARTIR DA ENTRADA EM OPERAÇÃO
TÉRMINO mai.-28
MENSALIDADE  R$  299,00 
TAXA 4,0%
FERRAMENTAS VALORES DE INFOBIP</t>
      </text>
    </comment>
    <comment authorId="0" ref="J103">
      <text>
        <t xml:space="preserve">======
ID#AAAB2mO6AR4
    (2026-03-27 16:32:54)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AA55">
      <text>
        <t xml:space="preserve">======
ID#AAAB2mmvuG0
DELL    (2026-03-16 11:47:27)
foi considerado apenas receita, não esta previsto mensalidade, aprox. 174k de jan - jul</t>
      </text>
    </comment>
    <comment authorId="0" ref="J37">
      <text>
        <t xml:space="preserve">======
ID#AAAB2mO71jU
DELL    (2026-03-16 11:47:27)
TOTAL DE PEDIDOS  TAXA HANZO
 R$  -     R$  500.000,00  4,0%
 R$  500.001,00   R$  1.000.000,00  3,5%
 ACIMA DE  R$  1.000.000,00  3,0%
MENSALIDADE  R$  199,00 P/LOJA (10 LJ)</t>
      </text>
    </comment>
    <comment authorId="0" ref="J97">
      <text>
        <t xml:space="preserve">======
ID#AAAB2mmvuG4
DELL    (2026-03-16 11:47:27)
SETUP  R$  -   
PRAZO 36 MESES
INÍCIO A PARTIR DA ENTRADA EM OPERAÇÃO
TÉRMINO mai.-28
MENSALIDADE  R$  299,00 
TAXA 4,0%
FERRAMENTAS VALORES DE INFOBIP</t>
      </text>
    </comment>
    <comment authorId="0" ref="J31">
      <text>
        <t xml:space="preserve">======
ID#AAAB2mO71j0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J91">
      <text>
        <t xml:space="preserve">======
ID#AAAB2mO6ASQ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J25">
      <text>
        <t xml:space="preserve">======
ID#AAAB2mmvuHk
DELL    (2026-03-16 11:47:27)
SETUP ISENTO 
PRAZO 36 MESES 
INÍCIO 10/30/2023 
TÉRMINO 10/30/2026 
MENSALIDADE  R$  399,00  
TAXA ESCALONADA 
TOTAL DE PEDIDOS  TAXA HANZO
0 1.000 4,9%
1.001 2.500 3,9%
2.501 5.000 3,2%
ACIMA DE 5.001 2,9%
FERRAMENTAS VALORES DE INFOBIP</t>
      </text>
    </comment>
    <comment authorId="0" ref="J85">
      <text>
        <t xml:space="preserve">======
ID#AAAB2mO71j8
DELL    (2026-03-16 11:47:27)
SETUP ISENTO 
PRAZO 36 MESES 
INÍCIO 5/3/2024 
MENSALIDADE  R$  149,00  
TAXA ESCALONADA 
TOTAL DE PEDIDOS  TAXA HANZO
0 50.000 2,0%
50.001 100.000 1,5%
100.001 EM DIANTE 1,0%</t>
      </text>
    </comment>
    <comment authorId="0" ref="K19">
      <text>
        <t xml:space="preserve">======
ID#AAAB2NUl-zA
DELL    (2026-03-19 15:23:10)
Não temos ainda a remuneração deste contrato (18/03/26)</t>
      </text>
    </comment>
    <comment authorId="0" ref="J81">
      <text>
        <t xml:space="preserve">======
ID#AAAB2mmvuHY
DELL    (2026-03-16 11:47:27)
30 lojas em 2026</t>
      </text>
    </comment>
    <comment authorId="0" ref="J13">
      <text>
        <t xml:space="preserve">======
ID#AAAB2mmvuHI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List>
  <extLst>
    <ext uri="GoogleSheetsCustomDataVersion2">
      <go:sheetsCustomData xmlns:go="http://customooxmlschemas.google.com/" r:id="rId1" roundtripDataSignature="AMtx7mgrgGVt4N3yXTg35InfiLr5E168f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73">
      <text>
        <t xml:space="preserve">======
ID#AAAB2mmvuH4
DELL    (2026-03-16 11:47:27)
SETUP  R$  255.000,00   
PRAZO 36 MESES  
INÍCIO 7/1/2025  
TÉRMINO 7/1/2028  
MENSALIDADE  R$  -     
TAXA 6%  
FERRAMENTAS GOOGLE CLOUD CERCA DE   R$  8.000,00</t>
      </text>
    </comment>
    <comment authorId="0" ref="J103">
      <text>
        <t xml:space="preserve">======
ID#AAAB2mO71jc
    (2026-03-27 16:35:15)
PEDIDOS POR MÊS (DE) PEDIDOS POR MÊS (ATÉ) R$ POR PEDIDO R$ HANZO MIN R$ HANZO MAX
ped de     ped ate    R$ ped    hanzo min      hanzo max
1.000        10.000        4,00         4.000                 40.000
10.000      20.000        3,00        40.000               70.000
20.000      40.000        2,00        70.000               110.000
40.000      80.000        1,00        110.000             150.000
80.000     100.000       0,50        150.000             160.000
100.000    OU MAIS   0,25        160.000</t>
      </text>
    </comment>
    <comment authorId="0" ref="J7">
      <text>
        <t xml:space="preserve">======
ID#AAAB2mO6ASY
DELL    (2026-03-16 11:47:27)
SQUAD  R$  72.000,00  
HOSTING  R$  15.000,00  
HORAS EXTRAS  R$  266,00  
PRAZO 12 MESES 
INÍCIO 3/1/2025 
MENSALIDADE  R$  -    
TAXA 4,9% 
FERRAMENTAS HOSTING  R$  15.000,00 
 SQUAD  R$  72.000,00 
 GOOGLE  R$  8.000,00</t>
      </text>
    </comment>
    <comment authorId="0" ref="J37">
      <text>
        <t xml:space="preserve">======
ID#AAAB2mO6ASM
DELL    (2026-03-16 11:47:27)
TOTAL DE PEDIDOS  TAXA HANZO
 R$  -     R$  500.000,00  4,0%
 R$  500.001,00   R$  1.000.000,00  3,5%
 ACIMA DE  R$  1.000.000,00  3,0%
MENSALIDADE  R$  199,00 P/LOJA (10 LJ)</t>
      </text>
    </comment>
    <comment authorId="0" ref="J67">
      <text>
        <t xml:space="preserve">======
ID#AAAB2mO6ASI
DELL    (2026-03-16 11:47:27)
TOTAL DE PEDIDOS  TAXA HANZO
 R$  -     R$  650.000,00  3,00%
 R$  750.001,00   R$  2.500.000,00  2,50%
 R$  2.500.001,00   R$  4.500.000,00  2,25%
 R$  4.500.001,00   R$  7.500.000,00  2,00%
 R$  7.500.001,00   R$  11.500.000,00  1,50%
 ACIMA DE  R$  11.500.000,00  1,00%
MENSALIDADE  R$  299,00 P/ LOJA</t>
      </text>
    </comment>
    <comment authorId="0" ref="J97">
      <text>
        <t xml:space="preserve">======
ID#AAAB2mmvuH8
DELL    (2026-03-16 11:47:27)
SETUP  R$  -   
PRAZO 36 MESES
INÍCIO A PARTIR DA ENTRADA EM OPERAÇÃO
TÉRMINO mai.-28
MENSALIDADE  R$  299,00 
TAXA 4,0%
FERRAMENTAS VALORES DE INFOBIP</t>
      </text>
    </comment>
    <comment authorId="0" ref="J31">
      <text>
        <t xml:space="preserve">======
ID#AAAB2mmvuHg
DELL    (2026-03-16 11:47:27)
FATURAMENTO POR MÊS TR HANZO
De Até
R$ - R$ 500.000,00 4.90%
R$ 500.000,01 R$ 1.000.000,00 4.50%
R$ 1.000.000,01 R$ 1.500.000,00 4.25%
R$ 1.500.000,01 R$ 2.000.000,00 4.00%
R$ 2.000.000,01 R$ 2.500.000,00 3.75%
R$ 2.500.000,01 R$ 3.000.000,00 3.50%
R$ 3.000.000,01 R$ 3.500.000,00 3.25%
R$ 3.500.000,01 - 3.00%</t>
      </text>
    </comment>
    <comment authorId="0" ref="Y13">
      <text>
        <t xml:space="preserve">======
ID#AAAB2mO6ASA
DELL    (2026-03-16 11:47:27)
Considerar a estratégia de ativação de lojas, o cliente tem potencial de ativar mais de 1000 lojas, em 2025 com cliente do segmento similar ativamos mais de 500 lojas, este numero ao longo do ano nos traz uma receita de aprox. 100k</t>
      </text>
    </comment>
    <comment authorId="0" ref="J61">
      <text>
        <t xml:space="preserve">======
ID#AAAB2mO71jo
DELL    (2026-03-16 11:47:27)
SETUP  R$  48.000,00 
PRAZO 36 MESES
INÍCIO 3/1/2024
TÉRMINO 3/1/2027
MENSALIDADE  R$  199,00 
TAXA 3,9%
FERRAMENTAS VALORES DE INFOBIP</t>
      </text>
    </comment>
    <comment authorId="0" ref="J91">
      <text>
        <t xml:space="preserve">======
ID#AAAB2mmvuGw
DELL    (2026-03-16 11:47:27)
R$ 399 por loja por mês a partir da entrada em operação da Plataforma Hanzo Customizada 
e 4,9% sobre o faturamento bruto das vendas
realizadas por meio da Plataforma Hanzo Customizada (“Valor Licenciamento”), sendo
que este valor prevê um mínimo garantido de R$ 499.</t>
      </text>
    </comment>
    <comment authorId="0" ref="J25">
      <text>
        <t xml:space="preserve">======
ID#AAAB2mmvuH0
DELL    (2026-03-16 11:47:27)
SETUP ISENTO 
PRAZO 36 MESES 
INÍCIO 10/30/2023 
TÉRMINO 10/30/2026 
MENSALIDADE  R$  399,00  
TAXA ESCALONADA 
TOTAL DE PEDIDOS  TAXA HANZO
0 1.000 4,9%
1.001 2.500 3,9%
2.501 5.000 3,2%
ACIMA DE 5.001 2,9%
FERRAMENTAS VALORES DE INFOBIP</t>
      </text>
    </comment>
    <comment authorId="0" ref="J55">
      <text>
        <t xml:space="preserve">======
ID#AAAB2mO6ASc
DELL    (2026-03-16 11:47:27)
SETUP  R$  -   
PRAZO 24 MESES
INÍCIO A PARTIR DA ENTRADA EM OPERAÇÃO
TÉRMINO 1/1/2027
MENSALIDADE R$ 49,90
TAXA 4%
ATÉ FATURAMENTO DE R$ 1.000.000,00 
FERRAMENTAS VALORES DE INFOBIP</t>
      </text>
    </comment>
    <comment authorId="0" ref="J85">
      <text>
        <t xml:space="preserve">======
ID#AAAB2mO6ASg
DELL    (2026-03-16 11:47:27)
SETUP ISENTO 
PRAZO 36 MESES 
INÍCIO 5/3/2024 
MENSALIDADE  R$  149,00  
TAXA ESCALONADA 
TOTAL DE PEDIDOS  TAXA HANZO
0 50.000 2,0%
50.001 100.000 1,5%
100.001 EM DIANTE 1,0%</t>
      </text>
    </comment>
    <comment authorId="0" ref="K19">
      <text>
        <t xml:space="preserve">======
ID#AAAB2mmvuHM
DELL    (2026-03-27 16:35:15)
Não temos ainda a remuneração deste contrato (18/03/26)</t>
      </text>
    </comment>
    <comment authorId="0" ref="J81">
      <text>
        <t xml:space="preserve">======
ID#AAAB2mmvuG8
DELL    (2026-03-16 11:47:27)
30 lojas em 2026</t>
      </text>
    </comment>
    <comment authorId="0" ref="J49">
      <text>
        <t xml:space="preserve">======
ID#AAAB2mmvuHo
DELL    (2026-03-16 11:47:27)
TOTAL DE PEDIDOS  TAXA HANZO
0 10.000 3,25%
10.000 25.000 3,00%
25.000 50.000 2,75%
ACIMA DE 50.001 2,50%</t>
      </text>
    </comment>
    <comment authorId="0" ref="J13">
      <text>
        <t xml:space="preserve">======
ID#AAAB2mO6AR8
DELL    (2026-03-16 11:47:27)
SETUP ISENTO 
PRAZO 24 MESES 
INÍCIO A PARTIR DE LANÇAMENTO OU 6o MÊS CASO NÃO TENHA SIDO LANÇADO O APP, 10/10/25 
MENSALIDADE  R$  49,00  
TAXA ESCALONADA 
TOTAL DE PEDIDOS  TAXA HANZO
0 10.000  R$  1,40 
10.000 25.000  R$  1,25 
25.001 50.000  R$  1,15 
50.001 100.000  R$  0,90 
100.001 150.000  R$  0,80 
150.001 200.000  R$  0,70 
FERRAMENTAS VALORES DE INFOBIP</t>
      </text>
    </comment>
    <comment authorId="0" ref="J43">
      <text>
        <t xml:space="preserve">======
ID#AAAB2mO71j4
DELL    (2026-03-16 11:47:27)
SETUP  R$  75.000,00   / PRAZO 36 MESES  / INÍCIO 2/1/2025 
TÉRMINO 2/1/2028 / MENSALIDADE  R$  -   TAXA ESCALONADA 
 TOTAL DE PEDIDOS  TAXA HANZO
 R$  -     R$  500.000,00  3,00%
 R$  500.001,00   R$  1.000.000,00  2,50%
 R$  1.000.001,00   R$  2.000.000,00  2,25%
 R$  2.000.001,00   R$  3.000.000,00  2,00%
 R$  3.000.001,00   R$  5.000.000,00  1,75%
 ACIMA DE  R$  5.000.000,00  1,50%
FERRAMENTAS VALORES DE INFOBIP</t>
      </text>
    </comment>
  </commentList>
  <extLst>
    <ext uri="GoogleSheetsCustomDataVersion2">
      <go:sheetsCustomData xmlns:go="http://customooxmlschemas.google.com/" r:id="rId1" roundtripDataSignature="AMtx7mhjf16VjvhV7FJXuf/heL10XbDSFA=="/>
    </ext>
  </extLst>
</comments>
</file>

<file path=xl/sharedStrings.xml><?xml version="1.0" encoding="utf-8"?>
<sst xmlns="http://schemas.openxmlformats.org/spreadsheetml/2006/main" count="4826" uniqueCount="152">
  <si>
    <t>CONSOLIDADO</t>
  </si>
  <si>
    <t>CLIENTE</t>
  </si>
  <si>
    <t>PED. PLACES</t>
  </si>
  <si>
    <t>TM PLACES</t>
  </si>
  <si>
    <t>RECEITA PLACES</t>
  </si>
  <si>
    <t>FAT</t>
  </si>
  <si>
    <t>PED</t>
  </si>
  <si>
    <t>TM</t>
  </si>
  <si>
    <t>BACIO DI LATTE</t>
  </si>
  <si>
    <t>BACIO DI LATTE (+200)</t>
  </si>
  <si>
    <t>jan</t>
  </si>
  <si>
    <t>jan (real)</t>
  </si>
  <si>
    <t>Diferença (jan)</t>
  </si>
  <si>
    <t>Comparativo (jan)</t>
  </si>
  <si>
    <t>fev</t>
  </si>
  <si>
    <t>fev (real)</t>
  </si>
  <si>
    <t>Diferença (fev)</t>
  </si>
  <si>
    <t>Comparativo (fev)</t>
  </si>
  <si>
    <t>mar</t>
  </si>
  <si>
    <t>mar (real)</t>
  </si>
  <si>
    <t>Diferença (mar)</t>
  </si>
  <si>
    <t>Comparativo (mar)</t>
  </si>
  <si>
    <t>abr</t>
  </si>
  <si>
    <t>abr (real)</t>
  </si>
  <si>
    <t>Diferença (abr)</t>
  </si>
  <si>
    <t>Comparativo (abr)</t>
  </si>
  <si>
    <t>mai</t>
  </si>
  <si>
    <t>mai (real)</t>
  </si>
  <si>
    <t>Diferença (mai)</t>
  </si>
  <si>
    <t>Comparativo (mai)</t>
  </si>
  <si>
    <t>jun</t>
  </si>
  <si>
    <t>jun (real)</t>
  </si>
  <si>
    <t>Diferença (jun)</t>
  </si>
  <si>
    <t>Comparativo (jun)</t>
  </si>
  <si>
    <t>jul</t>
  </si>
  <si>
    <t>jul (real)</t>
  </si>
  <si>
    <t>Diferença (jul)</t>
  </si>
  <si>
    <t>Comparativo (jul)</t>
  </si>
  <si>
    <t>ago</t>
  </si>
  <si>
    <t>ago (real)</t>
  </si>
  <si>
    <t>Diferença (ago)</t>
  </si>
  <si>
    <t>Comparativo (ago)</t>
  </si>
  <si>
    <t>set</t>
  </si>
  <si>
    <t>set (real)</t>
  </si>
  <si>
    <t>Diferença (set)</t>
  </si>
  <si>
    <t>Comparativo (set)</t>
  </si>
  <si>
    <t>out</t>
  </si>
  <si>
    <t>out (real)</t>
  </si>
  <si>
    <t>Diferença (out)</t>
  </si>
  <si>
    <t>Comparativo (out)</t>
  </si>
  <si>
    <t>nov</t>
  </si>
  <si>
    <t>nov (real)</t>
  </si>
  <si>
    <t>Diferença (nov)</t>
  </si>
  <si>
    <t>Comparativo (nov)</t>
  </si>
  <si>
    <t>dez</t>
  </si>
  <si>
    <t>dez (real)</t>
  </si>
  <si>
    <t>Diferença (dez)</t>
  </si>
  <si>
    <t>Comparativo (dez)</t>
  </si>
  <si>
    <t>2026 (real)</t>
  </si>
  <si>
    <t>2026 (Projeção x Real)</t>
  </si>
  <si>
    <t>-</t>
  </si>
  <si>
    <t>% do mês no ano</t>
  </si>
  <si>
    <t>Taxa</t>
  </si>
  <si>
    <t>GMV</t>
  </si>
  <si>
    <t>Pedidos</t>
  </si>
  <si>
    <t>Ticket Médio</t>
  </si>
  <si>
    <t>Receita Hanzo</t>
  </si>
  <si>
    <t>CHIQUINHO (+1000)</t>
  </si>
  <si>
    <t>DRUMATTOS/ALIFE NINO</t>
  </si>
  <si>
    <t>CAMARADA CAMARÃO</t>
  </si>
  <si>
    <t>ESFIHA IMIGRANTES</t>
  </si>
  <si>
    <t>ESFIHA IMIGRANTES (4)</t>
  </si>
  <si>
    <t>FROOTY</t>
  </si>
  <si>
    <t>FROOTY (2)</t>
  </si>
  <si>
    <t>GULA GULA</t>
  </si>
  <si>
    <t>l</t>
  </si>
  <si>
    <t>GULA GULA (10)</t>
  </si>
  <si>
    <t>ITAL'IN HOUSE</t>
  </si>
  <si>
    <t>Repres. do mês no ano</t>
  </si>
  <si>
    <t>ITAL'IN HOUSE (200)</t>
  </si>
  <si>
    <t>MANA POKE</t>
  </si>
  <si>
    <t>MANA POKE (70)</t>
  </si>
  <si>
    <t>MILKY MOO</t>
  </si>
  <si>
    <t>MILK MOO (+780)</t>
  </si>
  <si>
    <t>OLIVERS</t>
  </si>
  <si>
    <t>OLIVERS (8)</t>
  </si>
  <si>
    <t>PAPILA</t>
  </si>
  <si>
    <t>PAPILA (7)</t>
  </si>
  <si>
    <t>PIZZA HUT</t>
  </si>
  <si>
    <t>PIZZA HUT (+250)</t>
  </si>
  <si>
    <t>mar(real)</t>
  </si>
  <si>
    <t>Comparativo(abr)</t>
  </si>
  <si>
    <t>abr(real)</t>
  </si>
  <si>
    <t>QUI O QUA</t>
  </si>
  <si>
    <t>TASTEFY</t>
  </si>
  <si>
    <t>TASTEFY (+180)</t>
  </si>
  <si>
    <t>VINIL BURGER</t>
  </si>
  <si>
    <t>VINIL BURGER (05)</t>
  </si>
  <si>
    <t>WE COFFEE</t>
  </si>
  <si>
    <t>WE COFFEE (15)</t>
  </si>
  <si>
    <t>OUTBACK (180)</t>
  </si>
  <si>
    <t>NINETTO</t>
  </si>
  <si>
    <t>TT</t>
  </si>
  <si>
    <t>2026 (Real)</t>
  </si>
  <si>
    <t>Diferença (2026)</t>
  </si>
  <si>
    <t>2026 vs 2025</t>
  </si>
  <si>
    <t>2026 (Real) vs 2026</t>
  </si>
  <si>
    <t>jun (semana1)</t>
  </si>
  <si>
    <t>jun (semana2)</t>
  </si>
  <si>
    <t>jun (semana3)</t>
  </si>
  <si>
    <t>jun (semana4)</t>
  </si>
  <si>
    <t>jun (semana5)</t>
  </si>
  <si>
    <t>Projeção semanal</t>
  </si>
  <si>
    <t>-%</t>
  </si>
  <si>
    <t>2026-otim</t>
  </si>
  <si>
    <t>CHIQUINHO SORVETES</t>
  </si>
  <si>
    <t>Otimista</t>
  </si>
  <si>
    <t>Realista</t>
  </si>
  <si>
    <t>2027 vs 2026</t>
  </si>
  <si>
    <t>RECEITA MKTP</t>
  </si>
  <si>
    <t>Cresc vs 2027</t>
  </si>
  <si>
    <t>Part GMV MKTP:</t>
  </si>
  <si>
    <t>NINO CUCINA</t>
  </si>
  <si>
    <t>TATU BOLA</t>
  </si>
  <si>
    <t>BOA PRAÇA</t>
  </si>
  <si>
    <t>RAINHA</t>
  </si>
  <si>
    <t>DEAL WISH LIST</t>
  </si>
  <si>
    <t>Verificar inclusão de outra 
marca grupo Bold</t>
  </si>
  <si>
    <t>2028 vs 2027</t>
  </si>
  <si>
    <t>2028 vs 2025</t>
  </si>
  <si>
    <t>01 DEAL WISH LIST</t>
  </si>
  <si>
    <t>02 DEAL WISH LIST</t>
  </si>
  <si>
    <t>Mês</t>
  </si>
  <si>
    <t>Peso %</t>
  </si>
  <si>
    <t>valor - mi</t>
  </si>
  <si>
    <t>Justificativa Estratégica</t>
  </si>
  <si>
    <t>Junho</t>
  </si>
  <si>
    <t>Go-Live + Copa do Mundo + Dia dos Namorados. O Outback é o local nº 1 para casais e grupos assistindo jogos à tarde/noite.</t>
  </si>
  <si>
    <t>Julho</t>
  </si>
  <si>
    <t>Finais da Copa + Férias Escolares. Fluxo altíssimo de famílias durante o dia e grupos celebrando o encerramento do evento.</t>
  </si>
  <si>
    <t>Agosto</t>
  </si>
  <si>
    <t>Dia dos Pais. Estabilização pós-Copa, mas com um pico forte no segundo domingo.</t>
  </si>
  <si>
    <t>Setembro</t>
  </si>
  <si>
    <t>Mês de rotatividade padrão (sustentação).</t>
  </si>
  <si>
    <t>Outubro</t>
  </si>
  <si>
    <t>Dia das Crianças + Início de Happy Hours. O Outback atrai muitas famílias por causa do menu Kids.</t>
  </si>
  <si>
    <t>Novembro</t>
  </si>
  <si>
    <t>Confraternizações + Black Friday. Início das festas de empresa e grupos de amigos.</t>
  </si>
  <si>
    <t>Dezembro</t>
  </si>
  <si>
    <t>Pico Máximo. Natal, Amigo Secreto e férias. É o mês de maior faturamento histórico do segmento.</t>
  </si>
  <si>
    <t>TOTAL</t>
  </si>
  <si>
    <t>Distribuição dos R$ 24 Milhões e ~171k pedidos.</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</si>
</sst>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00"/>
    <numFmt numFmtId="165" formatCode="&quot;R$&quot;\ #,##0"/>
    <numFmt numFmtId="166" formatCode="[$R$ -416]#,##0.00"/>
    <numFmt numFmtId="167" formatCode="[Color10]&quot;R$ &quot;#,##0;[Red]\-&quot;R$ &quot;#,##0;[Color10]&quot;R$ &quot;0"/>
    <numFmt numFmtId="168" formatCode="[Color10]0.00%;[Red]\-0.00%;[Color10]0.00%"/>
    <numFmt numFmtId="169" formatCode="[Color10]0.0%;[Red]\-0.0%;[Color10]0.0%"/>
    <numFmt numFmtId="170" formatCode="[Color10]0;[Red]\-0;[Color10]0"/>
    <numFmt numFmtId="171" formatCode="&quot;R$&quot;\ #,##0.00"/>
    <numFmt numFmtId="172" formatCode="_-&quot;R$&quot;\ * #,##0.00_-;\-&quot;R$&quot;\ * #,##0.00_-;_-&quot;R$&quot;\ * &quot;-&quot;??_-;_-@"/>
    <numFmt numFmtId="173" formatCode="[$R$ -416]#,##0"/>
    <numFmt numFmtId="174" formatCode="[Color10]0%;[Red]\-0%;[Color10]0%"/>
    <numFmt numFmtId="175" formatCode="0.0%"/>
    <numFmt numFmtId="176" formatCode="_-* #,##0.00_-;\-* #,##0.00_-;_-* &quot;-&quot;??_-;_-@"/>
  </numFmts>
  <fonts count="16">
    <font>
      <sz val="11.0"/>
      <color theme="1"/>
      <name val="Calibri"/>
      <scheme val="minor"/>
    </font>
    <font>
      <sz val="10.0"/>
      <color rgb="FF000000"/>
      <name val="Calibri"/>
    </font>
    <font>
      <sz val="10.0"/>
      <color theme="1"/>
      <name val="Calibri"/>
    </font>
    <font>
      <b/>
      <sz val="10.0"/>
      <color theme="1"/>
      <name val="Calibri"/>
    </font>
    <font/>
    <font>
      <b/>
      <sz val="24.0"/>
      <color rgb="FF000000"/>
      <name val="Calibri"/>
    </font>
    <font>
      <b/>
      <sz val="10.0"/>
      <color rgb="FF000000"/>
      <name val="Calibri"/>
    </font>
    <font>
      <sz val="10.0"/>
      <color theme="0"/>
      <name val="Calibri"/>
    </font>
    <font>
      <b/>
      <sz val="12.0"/>
      <color rgb="FF000000"/>
      <name val="Calibri"/>
    </font>
    <font>
      <sz val="11.0"/>
      <color theme="1"/>
      <name val="Calibri"/>
    </font>
    <font>
      <b/>
      <sz val="10.0"/>
      <color rgb="FF3A7D22"/>
      <name val="Calibri"/>
    </font>
    <font>
      <color theme="1"/>
      <name val="Calibri"/>
      <scheme val="minor"/>
    </font>
    <font>
      <b/>
      <sz val="11.0"/>
      <color theme="1"/>
      <name val="Calibri"/>
    </font>
    <font>
      <color rgb="FF000000"/>
      <name val="Calibri"/>
      <scheme val="minor"/>
    </font>
    <font>
      <sz val="11.0"/>
      <color rgb="FF000000"/>
      <name val="Calibri"/>
    </font>
    <font>
      <sz val="10.0"/>
      <color rgb="FFFFFFFF"/>
      <name val="Calibri"/>
    </font>
  </fonts>
  <fills count="27">
    <fill>
      <patternFill patternType="none"/>
    </fill>
    <fill>
      <patternFill patternType="lightGray"/>
    </fill>
    <fill>
      <patternFill patternType="solid">
        <fgColor rgb="FFD9F1F3"/>
        <bgColor rgb="FFD9F1F3"/>
      </patternFill>
    </fill>
    <fill>
      <patternFill patternType="solid">
        <fgColor rgb="FFF3F3F3"/>
        <bgColor rgb="FFF3F3F3"/>
      </patternFill>
    </fill>
    <fill>
      <patternFill patternType="solid">
        <fgColor rgb="FF277E3E"/>
        <bgColor rgb="FF277E3E"/>
      </patternFill>
    </fill>
    <fill>
      <patternFill patternType="solid">
        <fgColor rgb="FFFAD9D6"/>
        <bgColor rgb="FFFAD9D6"/>
      </patternFill>
    </fill>
    <fill>
      <patternFill patternType="solid">
        <fgColor theme="9"/>
        <bgColor theme="9"/>
      </patternFill>
    </fill>
    <fill>
      <patternFill patternType="solid">
        <fgColor rgb="FFFFFF00"/>
        <bgColor rgb="FFFFFF00"/>
      </patternFill>
    </fill>
    <fill>
      <patternFill patternType="solid">
        <fgColor rgb="FFCAEDFB"/>
        <bgColor rgb="FFCAEDFB"/>
      </patternFill>
    </fill>
    <fill>
      <patternFill patternType="solid">
        <fgColor rgb="FF95DCF7"/>
        <bgColor rgb="FF95DCF7"/>
      </patternFill>
    </fill>
    <fill>
      <patternFill patternType="solid">
        <fgColor rgb="FF60CBF3"/>
        <bgColor rgb="FF60CBF3"/>
      </patternFill>
    </fill>
    <fill>
      <patternFill patternType="solid">
        <fgColor rgb="FFFF99FF"/>
        <bgColor rgb="FFFF99FF"/>
      </patternFill>
    </fill>
    <fill>
      <patternFill patternType="solid">
        <fgColor rgb="FFE8E8E8"/>
        <bgColor rgb="FFE8E8E8"/>
      </patternFill>
    </fill>
    <fill>
      <patternFill patternType="solid">
        <fgColor rgb="FFFFC000"/>
        <bgColor rgb="FFFFC000"/>
      </patternFill>
    </fill>
    <fill>
      <patternFill patternType="solid">
        <fgColor theme="0"/>
        <bgColor theme="0"/>
      </patternFill>
    </fill>
    <fill>
      <patternFill patternType="solid">
        <fgColor rgb="FFF2F2F2"/>
        <bgColor rgb="FFF2F2F2"/>
      </patternFill>
    </fill>
    <fill>
      <patternFill patternType="solid">
        <fgColor rgb="FFC1E4F5"/>
        <bgColor rgb="FFC1E4F5"/>
      </patternFill>
    </fill>
    <fill>
      <patternFill patternType="solid">
        <fgColor rgb="FFE8E9E8"/>
        <bgColor rgb="FFE8E9E8"/>
      </patternFill>
    </fill>
    <fill>
      <patternFill patternType="solid">
        <fgColor rgb="FFFEF1CC"/>
        <bgColor rgb="FFFEF1CC"/>
      </patternFill>
    </fill>
    <fill>
      <patternFill patternType="solid">
        <fgColor rgb="FF4EA72E"/>
        <bgColor rgb="FF4EA72E"/>
      </patternFill>
    </fill>
    <fill>
      <patternFill patternType="solid">
        <fgColor rgb="FFEAD1DC"/>
        <bgColor rgb="FFEAD1DC"/>
      </patternFill>
    </fill>
    <fill>
      <patternFill patternType="solid">
        <fgColor rgb="FFEFEFEF"/>
        <bgColor rgb="FFEFEFEF"/>
      </patternFill>
    </fill>
    <fill>
      <patternFill patternType="solid">
        <fgColor rgb="FFD9EAD3"/>
        <bgColor rgb="FFD9EAD3"/>
      </patternFill>
    </fill>
    <fill>
      <patternFill patternType="solid">
        <fgColor rgb="FFEA9999"/>
        <bgColor rgb="FFEA9999"/>
      </patternFill>
    </fill>
    <fill>
      <patternFill patternType="solid">
        <fgColor rgb="FFD5A6BD"/>
        <bgColor rgb="FFD5A6BD"/>
      </patternFill>
    </fill>
    <fill>
      <patternFill patternType="solid">
        <fgColor rgb="FFB6D7A8"/>
        <bgColor rgb="FFB6D7A8"/>
      </patternFill>
    </fill>
    <fill>
      <patternFill patternType="solid">
        <fgColor rgb="FFFFFFFF"/>
        <bgColor rgb="FFFFFFFF"/>
      </patternFill>
    </fill>
  </fills>
  <borders count="72">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356854"/>
      </left>
      <right/>
      <top style="thin">
        <color rgb="FF356854"/>
      </top>
      <bottom style="medium">
        <color rgb="FF000000"/>
      </bottom>
    </border>
    <border>
      <left/>
      <right/>
      <top style="thin">
        <color rgb="FF356854"/>
      </top>
      <bottom style="medium">
        <color rgb="FF000000"/>
      </bottom>
    </border>
    <border>
      <left style="thin">
        <color rgb="FF000000"/>
      </left>
      <right style="thin">
        <color rgb="FF000000"/>
      </right>
      <top style="thin">
        <color rgb="FF000000"/>
      </top>
      <bottom style="medium">
        <color rgb="FF000000"/>
      </bottom>
    </border>
    <border>
      <bottom style="thin">
        <color rgb="FF000000"/>
      </bottom>
    </border>
    <border>
      <right style="hair">
        <color rgb="FF000000"/>
      </right>
      <bottom style="hair">
        <color rgb="FF000000"/>
      </bottom>
    </border>
    <border>
      <left style="hair">
        <color rgb="FF000000"/>
      </left>
      <right style="hair">
        <color rgb="FF000000"/>
      </right>
      <bottom style="hair">
        <color rgb="FF000000"/>
      </bottom>
    </border>
    <border>
      <left style="hair">
        <color rgb="FF000000"/>
      </left>
      <right style="hair">
        <color rgb="FF000000"/>
      </right>
      <top/>
      <bottom style="hair">
        <color rgb="FF000000"/>
      </bottom>
    </border>
    <border>
      <left style="hair">
        <color rgb="FF000000"/>
      </left>
      <right style="thin">
        <color rgb="FF000000"/>
      </right>
      <top/>
      <bottom style="hair">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right style="thin">
        <color rgb="FF000000"/>
      </right>
      <top style="thin">
        <color rgb="FF000000"/>
      </top>
    </border>
    <border>
      <left style="thin">
        <color rgb="FF000000"/>
      </left>
      <right/>
      <top/>
      <bottom/>
    </border>
    <border>
      <left/>
      <right style="thin">
        <color rgb="FF000000"/>
      </right>
      <top/>
      <bottom/>
    </border>
    <border>
      <left style="thin">
        <color rgb="FF000000"/>
      </left>
      <right style="thin">
        <color rgb="FF000000"/>
      </right>
      <top/>
      <bottom/>
    </border>
    <border>
      <right style="thin">
        <color rgb="FF000000"/>
      </right>
    </border>
    <border>
      <left style="thin">
        <color rgb="FF000000"/>
      </left>
      <right style="thin">
        <color rgb="FF000000"/>
      </right>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top style="thin">
        <color rgb="FF000000"/>
      </top>
    </border>
    <border>
      <left style="thin">
        <color rgb="FF000000"/>
      </left>
    </border>
    <border>
      <left style="hair">
        <color rgb="FF000000"/>
      </left>
      <right/>
      <top style="hair">
        <color rgb="FF000000"/>
      </top>
      <bottom style="hair">
        <color rgb="FF000000"/>
      </bottom>
    </border>
    <border>
      <left style="hair">
        <color rgb="FF000000"/>
      </left>
      <right/>
      <top/>
      <bottom style="hair">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medium">
        <color rgb="FF000000"/>
      </left>
      <right style="medium">
        <color rgb="FF000000"/>
      </right>
      <top style="medium">
        <color rgb="FF000000"/>
      </top>
      <bottom style="medium">
        <color rgb="FF000000"/>
      </bottom>
    </border>
    <border>
      <left/>
      <right style="medium">
        <color rgb="FF000000"/>
      </right>
      <top style="medium">
        <color rgb="FF000000"/>
      </top>
      <bottom/>
    </border>
    <border>
      <left/>
      <right/>
      <top style="medium">
        <color rgb="FF000000"/>
      </top>
      <bottom/>
    </border>
    <border>
      <left/>
      <right style="medium">
        <color rgb="FF000000"/>
      </right>
      <top style="medium">
        <color rgb="FF000000"/>
      </top>
      <bottom style="medium">
        <color rgb="FF000000"/>
      </bottom>
    </border>
    <border>
      <left style="medium">
        <color rgb="FF000000"/>
      </left>
      <right style="medium">
        <color rgb="FF000000"/>
      </right>
      <top/>
      <bottom/>
    </border>
    <border>
      <left style="medium">
        <color rgb="FF000000"/>
      </left>
      <right style="medium">
        <color rgb="FF000000"/>
      </right>
      <top style="medium">
        <color rgb="FF000000"/>
      </top>
    </border>
    <border>
      <left style="medium">
        <color rgb="FF000000"/>
      </left>
      <top style="medium">
        <color rgb="FF000000"/>
      </top>
    </border>
    <border>
      <left style="medium">
        <color rgb="FF000000"/>
      </left>
      <right/>
      <top/>
      <bottom/>
    </border>
    <border>
      <left style="thin">
        <color rgb="FF000000"/>
      </left>
      <right style="medium">
        <color rgb="FF000000"/>
      </right>
      <top/>
      <bottom/>
    </border>
    <border>
      <left style="medium">
        <color rgb="FF000000"/>
      </left>
      <right/>
      <top/>
      <bottom style="medium">
        <color rgb="FF000000"/>
      </bottom>
    </border>
    <border>
      <left style="medium">
        <color rgb="FF000000"/>
      </left>
      <right style="medium">
        <color rgb="FF000000"/>
      </right>
      <top/>
      <bottom style="medium">
        <color rgb="FF000000"/>
      </bottom>
    </border>
    <border>
      <left style="thin">
        <color rgb="FF000000"/>
      </left>
      <right/>
      <bottom/>
    </border>
    <border>
      <left/>
      <right/>
      <bottom/>
    </border>
    <border>
      <left/>
      <right style="thin">
        <color rgb="FF000000"/>
      </right>
      <bottom/>
    </border>
    <border>
      <left style="thin">
        <color rgb="FF000000"/>
      </left>
      <right style="thin">
        <color rgb="FF000000"/>
      </right>
      <bottom/>
    </border>
    <border>
      <left/>
      <bottom/>
    </border>
    <border>
      <right/>
      <bottom/>
    </border>
    <border>
      <left style="thin">
        <color rgb="FF000000"/>
      </left>
      <right/>
      <top/>
    </border>
    <border>
      <left/>
      <right/>
      <top/>
    </border>
    <border>
      <left/>
      <top/>
      <bottom style="thin">
        <color rgb="FF000000"/>
      </bottom>
    </border>
    <border>
      <left style="thin">
        <color rgb="FF000000"/>
      </left>
      <bottom style="thin">
        <color rgb="FF000000"/>
      </bottom>
    </border>
    <border>
      <left style="thin">
        <color rgb="FF000000"/>
      </left>
      <top/>
      <bottom style="thin">
        <color rgb="FF000000"/>
      </bottom>
    </border>
    <border>
      <right/>
      <top/>
      <bottom style="thin">
        <color rgb="FF000000"/>
      </bottom>
    </border>
    <border>
      <left style="hair">
        <color rgb="FF000000"/>
      </left>
      <top style="hair">
        <color rgb="FF000000"/>
      </top>
      <bottom style="hair">
        <color rgb="FF000000"/>
      </bottom>
    </border>
    <border>
      <left style="hair">
        <color rgb="FF000000"/>
      </left>
      <right style="hair">
        <color rgb="FF000000"/>
      </right>
      <top style="hair">
        <color rgb="FF000000"/>
      </top>
    </border>
    <border>
      <left style="hair">
        <color rgb="FF000000"/>
      </left>
      <right style="thin">
        <color rgb="FF000000"/>
      </right>
      <top style="hair">
        <color rgb="FF000000"/>
      </top>
    </border>
    <border>
      <left style="medium">
        <color rgb="FF000000"/>
      </left>
      <right/>
      <top style="medium">
        <color rgb="FF000000"/>
      </top>
      <bottom/>
    </border>
    <border>
      <left style="thin">
        <color rgb="FF000000"/>
      </left>
      <top style="thin">
        <color rgb="FF000000"/>
      </top>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top style="hair">
        <color rgb="FF000000"/>
      </top>
      <bottom style="thin">
        <color rgb="FF000000"/>
      </bottom>
    </border>
  </borders>
  <cellStyleXfs count="1">
    <xf borderId="0" fillId="0" fontId="0" numFmtId="0" applyAlignment="1" applyFont="1"/>
  </cellStyleXfs>
  <cellXfs count="462">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2" numFmtId="165" xfId="0" applyFont="1" applyNumberFormat="1"/>
    <xf borderId="1" fillId="2" fontId="3" numFmtId="3" xfId="0" applyAlignment="1" applyBorder="1" applyFill="1" applyFont="1" applyNumberFormat="1">
      <alignment horizontal="center"/>
    </xf>
    <xf borderId="2" fillId="0" fontId="4" numFmtId="0" xfId="0" applyBorder="1" applyFont="1"/>
    <xf borderId="3" fillId="0" fontId="4" numFmtId="0" xfId="0" applyBorder="1" applyFont="1"/>
    <xf borderId="4" fillId="3" fontId="1" numFmtId="0" xfId="0" applyAlignment="1" applyBorder="1" applyFill="1" applyFont="1">
      <alignment horizontal="right"/>
    </xf>
    <xf borderId="4" fillId="3" fontId="1" numFmtId="0" xfId="0" applyAlignment="1" applyBorder="1" applyFont="1">
      <alignment horizontal="center"/>
    </xf>
    <xf borderId="4" fillId="3" fontId="1" numFmtId="3" xfId="0" applyAlignment="1" applyBorder="1" applyFont="1" applyNumberFormat="1">
      <alignment horizontal="right"/>
    </xf>
    <xf borderId="0" fillId="0" fontId="5" numFmtId="3" xfId="0" applyAlignment="1" applyFont="1" applyNumberFormat="1">
      <alignment vertical="center"/>
    </xf>
    <xf borderId="0" fillId="0" fontId="1" numFmtId="0" xfId="0" applyAlignment="1" applyFont="1">
      <alignment horizontal="right"/>
    </xf>
    <xf borderId="0" fillId="0" fontId="6" numFmtId="0" xfId="0" applyAlignment="1" applyFont="1">
      <alignment horizontal="right"/>
    </xf>
    <xf borderId="0" fillId="0" fontId="3" numFmtId="0" xfId="0" applyAlignment="1" applyFont="1">
      <alignment horizontal="right"/>
    </xf>
    <xf borderId="0" fillId="0" fontId="2" numFmtId="0" xfId="0" applyAlignment="1" applyFont="1">
      <alignment horizontal="right"/>
    </xf>
    <xf borderId="5" fillId="4" fontId="7" numFmtId="0" xfId="0" applyAlignment="1" applyBorder="1" applyFill="1" applyFont="1">
      <alignment horizontal="center" vertical="center"/>
    </xf>
    <xf borderId="6" fillId="4" fontId="7" numFmtId="49" xfId="0" applyAlignment="1" applyBorder="1" applyFont="1" applyNumberFormat="1">
      <alignment horizontal="center" shrinkToFit="0" vertical="center" wrapText="1"/>
    </xf>
    <xf borderId="6" fillId="4" fontId="7" numFmtId="166" xfId="0" applyAlignment="1" applyBorder="1" applyFont="1" applyNumberFormat="1">
      <alignment horizontal="center" shrinkToFit="0" vertical="center" wrapText="1"/>
    </xf>
    <xf borderId="6" fillId="4" fontId="7" numFmtId="165" xfId="0" applyAlignment="1" applyBorder="1" applyFont="1" applyNumberFormat="1">
      <alignment horizontal="center" shrinkToFit="0" vertical="center" wrapText="1"/>
    </xf>
    <xf borderId="7" fillId="2" fontId="3" numFmtId="3" xfId="0" applyAlignment="1" applyBorder="1" applyFont="1" applyNumberFormat="1">
      <alignment horizontal="center" vertical="center"/>
    </xf>
    <xf borderId="4" fillId="3" fontId="1" numFmtId="0" xfId="0" applyAlignment="1" applyBorder="1" applyFont="1">
      <alignment horizontal="right" vertical="center"/>
    </xf>
    <xf borderId="4" fillId="3" fontId="1" numFmtId="0" xfId="0" applyAlignment="1" applyBorder="1" applyFont="1">
      <alignment horizontal="center" vertical="center"/>
    </xf>
    <xf borderId="0" fillId="0" fontId="8" numFmtId="3" xfId="0" applyAlignment="1" applyFont="1" applyNumberFormat="1">
      <alignment horizontal="center" vertical="center"/>
    </xf>
    <xf borderId="8" fillId="0" fontId="5" numFmtId="3" xfId="0" applyAlignment="1" applyBorder="1" applyFont="1" applyNumberFormat="1">
      <alignment vertical="center"/>
    </xf>
    <xf borderId="0" fillId="0" fontId="9" numFmtId="0" xfId="0" applyFont="1"/>
    <xf borderId="9" fillId="0" fontId="1" numFmtId="164" xfId="0" applyAlignment="1" applyBorder="1" applyFont="1" applyNumberFormat="1">
      <alignment horizontal="center" vertical="center"/>
    </xf>
    <xf borderId="10" fillId="0" fontId="2" numFmtId="3" xfId="0" applyAlignment="1" applyBorder="1" applyFont="1" applyNumberFormat="1">
      <alignment horizontal="left" vertical="center"/>
    </xf>
    <xf borderId="11" fillId="5" fontId="2" numFmtId="3" xfId="0" applyAlignment="1" applyBorder="1" applyFill="1" applyFont="1" applyNumberFormat="1">
      <alignment horizontal="center" vertical="center"/>
    </xf>
    <xf borderId="11" fillId="5" fontId="2" numFmtId="166" xfId="0" applyAlignment="1" applyBorder="1" applyFont="1" applyNumberFormat="1">
      <alignment horizontal="center" vertical="center"/>
    </xf>
    <xf borderId="11" fillId="5" fontId="1" numFmtId="165" xfId="0" applyAlignment="1" applyBorder="1" applyFont="1" applyNumberFormat="1">
      <alignment horizontal="center" vertical="center"/>
    </xf>
    <xf borderId="11" fillId="2" fontId="1" numFmtId="165" xfId="0" applyAlignment="1" applyBorder="1" applyFont="1" applyNumberFormat="1">
      <alignment horizontal="center"/>
    </xf>
    <xf borderId="11" fillId="2" fontId="1" numFmtId="3" xfId="0" applyAlignment="1" applyBorder="1" applyFont="1" applyNumberFormat="1">
      <alignment horizontal="center"/>
    </xf>
    <xf borderId="12" fillId="2" fontId="1" numFmtId="165" xfId="0" applyAlignment="1" applyBorder="1" applyFont="1" applyNumberFormat="1">
      <alignment horizontal="center"/>
    </xf>
    <xf borderId="13" fillId="6" fontId="6" numFmtId="0" xfId="0" applyAlignment="1" applyBorder="1" applyFill="1" applyFont="1">
      <alignment horizontal="right"/>
    </xf>
    <xf borderId="13" fillId="3" fontId="1" numFmtId="0" xfId="0" applyAlignment="1" applyBorder="1" applyFont="1">
      <alignment horizontal="center"/>
    </xf>
    <xf borderId="13" fillId="7" fontId="6" numFmtId="0" xfId="0" applyAlignment="1" applyBorder="1" applyFill="1" applyFont="1">
      <alignment horizontal="right"/>
    </xf>
    <xf borderId="14" fillId="8" fontId="6" numFmtId="0" xfId="0" applyAlignment="1" applyBorder="1" applyFill="1" applyFont="1">
      <alignment horizontal="right"/>
    </xf>
    <xf borderId="14" fillId="9" fontId="6" numFmtId="0" xfId="0" applyAlignment="1" applyBorder="1" applyFill="1" applyFont="1">
      <alignment horizontal="right"/>
    </xf>
    <xf borderId="15" fillId="10" fontId="6" numFmtId="0" xfId="0" applyAlignment="1" applyBorder="1" applyFill="1" applyFont="1">
      <alignment horizontal="right"/>
    </xf>
    <xf borderId="14" fillId="7" fontId="6" numFmtId="3" xfId="0" applyAlignment="1" applyBorder="1" applyFont="1" applyNumberFormat="1">
      <alignment horizontal="right"/>
    </xf>
    <xf borderId="14" fillId="8" fontId="6" numFmtId="3" xfId="0" applyAlignment="1" applyBorder="1" applyFont="1" applyNumberFormat="1">
      <alignment horizontal="right"/>
    </xf>
    <xf borderId="14" fillId="10" fontId="6" numFmtId="3" xfId="0" applyAlignment="1" applyBorder="1" applyFont="1" applyNumberFormat="1">
      <alignment horizontal="right"/>
    </xf>
    <xf borderId="13" fillId="11" fontId="6" numFmtId="0" xfId="0" applyAlignment="1" applyBorder="1" applyFill="1" applyFont="1">
      <alignment horizontal="right"/>
    </xf>
    <xf borderId="13" fillId="11" fontId="6" numFmtId="3" xfId="0" applyAlignment="1" applyBorder="1" applyFont="1" applyNumberFormat="1">
      <alignment horizontal="right"/>
    </xf>
    <xf borderId="15" fillId="10" fontId="6" numFmtId="3" xfId="0" applyAlignment="1" applyBorder="1" applyFont="1" applyNumberFormat="1">
      <alignment horizontal="right"/>
    </xf>
    <xf borderId="16" fillId="12" fontId="6" numFmtId="0" xfId="0" applyAlignment="1" applyBorder="1" applyFill="1" applyFont="1">
      <alignment horizontal="right"/>
    </xf>
    <xf borderId="16" fillId="10" fontId="6" numFmtId="0" xfId="0" applyAlignment="1" applyBorder="1" applyFont="1">
      <alignment horizontal="right"/>
    </xf>
    <xf borderId="14" fillId="13" fontId="3" numFmtId="0" xfId="0" applyAlignment="1" applyBorder="1" applyFill="1" applyFont="1">
      <alignment horizontal="right"/>
    </xf>
    <xf borderId="17" fillId="0" fontId="2" numFmtId="0" xfId="0" applyAlignment="1" applyBorder="1" applyFont="1">
      <alignment horizontal="right"/>
    </xf>
    <xf borderId="18" fillId="3" fontId="6" numFmtId="0" xfId="0" applyAlignment="1" applyBorder="1" applyFont="1">
      <alignment horizontal="right"/>
    </xf>
    <xf borderId="18" fillId="3" fontId="6" numFmtId="0" xfId="0" applyAlignment="1" applyBorder="1" applyFont="1">
      <alignment horizontal="center"/>
    </xf>
    <xf borderId="18" fillId="7" fontId="2" numFmtId="10" xfId="0" applyAlignment="1" applyBorder="1" applyFont="1" applyNumberFormat="1">
      <alignment horizontal="right"/>
    </xf>
    <xf borderId="4" fillId="8" fontId="2" numFmtId="10" xfId="0" applyAlignment="1" applyBorder="1" applyFont="1" applyNumberFormat="1">
      <alignment horizontal="right"/>
    </xf>
    <xf borderId="4" fillId="9" fontId="2" numFmtId="10" xfId="0" applyAlignment="1" applyBorder="1" applyFont="1" applyNumberFormat="1">
      <alignment horizontal="right"/>
    </xf>
    <xf borderId="19" fillId="10" fontId="2" numFmtId="10" xfId="0" applyAlignment="1" applyBorder="1" applyFont="1" applyNumberFormat="1">
      <alignment horizontal="right"/>
    </xf>
    <xf borderId="4" fillId="7" fontId="2" numFmtId="10" xfId="0" applyAlignment="1" applyBorder="1" applyFont="1" applyNumberFormat="1">
      <alignment horizontal="right"/>
    </xf>
    <xf borderId="4" fillId="10" fontId="2" numFmtId="10" xfId="0" applyAlignment="1" applyBorder="1" applyFont="1" applyNumberFormat="1">
      <alignment horizontal="right"/>
    </xf>
    <xf borderId="18" fillId="11" fontId="2" numFmtId="10" xfId="0" applyAlignment="1" applyBorder="1" applyFont="1" applyNumberFormat="1">
      <alignment horizontal="right"/>
    </xf>
    <xf borderId="4" fillId="8" fontId="3" numFmtId="10" xfId="0" applyAlignment="1" applyBorder="1" applyFont="1" applyNumberFormat="1">
      <alignment horizontal="right"/>
    </xf>
    <xf borderId="20" fillId="12" fontId="6" numFmtId="10" xfId="0" applyAlignment="1" applyBorder="1" applyFont="1" applyNumberFormat="1">
      <alignment horizontal="right"/>
    </xf>
    <xf borderId="4" fillId="8" fontId="6" numFmtId="10" xfId="0" applyAlignment="1" applyBorder="1" applyFont="1" applyNumberFormat="1">
      <alignment horizontal="right"/>
    </xf>
    <xf borderId="20" fillId="10" fontId="6" numFmtId="10" xfId="0" applyAlignment="1" applyBorder="1" applyFont="1" applyNumberFormat="1">
      <alignment horizontal="right"/>
    </xf>
    <xf borderId="4" fillId="13" fontId="3" numFmtId="0" xfId="0" applyAlignment="1" applyBorder="1" applyFont="1">
      <alignment horizontal="right"/>
    </xf>
    <xf borderId="21" fillId="0" fontId="2" numFmtId="0" xfId="0" applyAlignment="1" applyBorder="1" applyFont="1">
      <alignment horizontal="right"/>
    </xf>
    <xf borderId="18" fillId="14" fontId="1" numFmtId="165" xfId="0" applyAlignment="1" applyBorder="1" applyFill="1" applyFont="1" applyNumberFormat="1">
      <alignment horizontal="right"/>
    </xf>
    <xf borderId="4" fillId="15" fontId="1" numFmtId="165" xfId="0" applyAlignment="1" applyBorder="1" applyFill="1" applyFont="1" applyNumberFormat="1">
      <alignment horizontal="right"/>
    </xf>
    <xf borderId="4" fillId="15" fontId="10" numFmtId="167" xfId="0" applyAlignment="1" applyBorder="1" applyFont="1" applyNumberFormat="1">
      <alignment horizontal="right"/>
    </xf>
    <xf borderId="19" fillId="15" fontId="10" numFmtId="168" xfId="0" applyAlignment="1" applyBorder="1" applyFont="1" applyNumberFormat="1">
      <alignment horizontal="right"/>
    </xf>
    <xf borderId="4" fillId="14" fontId="1" numFmtId="165" xfId="0" applyAlignment="1" applyBorder="1" applyFont="1" applyNumberFormat="1">
      <alignment horizontal="right"/>
    </xf>
    <xf borderId="4" fillId="15" fontId="10" numFmtId="168" xfId="0" applyAlignment="1" applyBorder="1" applyFont="1" applyNumberFormat="1">
      <alignment horizontal="right"/>
    </xf>
    <xf borderId="18" fillId="15" fontId="1" numFmtId="165" xfId="0" applyAlignment="1" applyBorder="1" applyFont="1" applyNumberFormat="1">
      <alignment horizontal="right"/>
    </xf>
    <xf borderId="4" fillId="15" fontId="2" numFmtId="165" xfId="0" applyAlignment="1" applyBorder="1" applyFont="1" applyNumberFormat="1">
      <alignment vertical="center"/>
    </xf>
    <xf borderId="4" fillId="15" fontId="1" numFmtId="165" xfId="0" applyAlignment="1" applyBorder="1" applyFont="1" applyNumberFormat="1">
      <alignment horizontal="right" readingOrder="0"/>
    </xf>
    <xf borderId="22" fillId="0" fontId="6" numFmtId="165" xfId="0" applyAlignment="1" applyBorder="1" applyFont="1" applyNumberFormat="1">
      <alignment horizontal="right"/>
    </xf>
    <xf borderId="0" fillId="0" fontId="6" numFmtId="165" xfId="0" applyAlignment="1" applyFont="1" applyNumberFormat="1">
      <alignment horizontal="right"/>
    </xf>
    <xf borderId="20" fillId="15" fontId="10" numFmtId="169" xfId="0" applyAlignment="1" applyBorder="1" applyFont="1" applyNumberFormat="1">
      <alignment horizontal="right"/>
    </xf>
    <xf borderId="4" fillId="13" fontId="3" numFmtId="165" xfId="0" applyAlignment="1" applyBorder="1" applyFont="1" applyNumberFormat="1">
      <alignment horizontal="right"/>
    </xf>
    <xf borderId="19" fillId="12" fontId="2" numFmtId="9" xfId="0" applyAlignment="1" applyBorder="1" applyFont="1" applyNumberFormat="1">
      <alignment horizontal="right"/>
    </xf>
    <xf borderId="18" fillId="3" fontId="6" numFmtId="165" xfId="0" applyAlignment="1" applyBorder="1" applyFont="1" applyNumberFormat="1">
      <alignment horizontal="center"/>
    </xf>
    <xf borderId="18" fillId="14" fontId="1" numFmtId="3" xfId="0" applyAlignment="1" applyBorder="1" applyFont="1" applyNumberFormat="1">
      <alignment horizontal="right"/>
    </xf>
    <xf borderId="4" fillId="15" fontId="1" numFmtId="3" xfId="0" applyAlignment="1" applyBorder="1" applyFont="1" applyNumberFormat="1">
      <alignment horizontal="right"/>
    </xf>
    <xf borderId="4" fillId="15" fontId="10" numFmtId="170" xfId="0" applyAlignment="1" applyBorder="1" applyFont="1" applyNumberFormat="1">
      <alignment horizontal="right"/>
    </xf>
    <xf borderId="4" fillId="14" fontId="1" numFmtId="3" xfId="0" applyAlignment="1" applyBorder="1" applyFont="1" applyNumberFormat="1">
      <alignment horizontal="right"/>
    </xf>
    <xf borderId="18" fillId="15" fontId="1" numFmtId="3" xfId="0" applyAlignment="1" applyBorder="1" applyFont="1" applyNumberFormat="1">
      <alignment horizontal="right"/>
    </xf>
    <xf borderId="4" fillId="15" fontId="1" numFmtId="3" xfId="0" applyAlignment="1" applyBorder="1" applyFont="1" applyNumberFormat="1">
      <alignment horizontal="right" readingOrder="0"/>
    </xf>
    <xf borderId="20" fillId="12" fontId="6" numFmtId="3" xfId="0" applyAlignment="1" applyBorder="1" applyFont="1" applyNumberFormat="1">
      <alignment horizontal="right"/>
    </xf>
    <xf borderId="4" fillId="12" fontId="6" numFmtId="3" xfId="0" applyAlignment="1" applyBorder="1" applyFont="1" applyNumberFormat="1">
      <alignment horizontal="right"/>
    </xf>
    <xf borderId="4" fillId="13" fontId="3" numFmtId="3" xfId="0" applyAlignment="1" applyBorder="1" applyFont="1" applyNumberFormat="1">
      <alignment horizontal="right"/>
    </xf>
    <xf borderId="20" fillId="12" fontId="6" numFmtId="165" xfId="0" applyAlignment="1" applyBorder="1" applyFont="1" applyNumberFormat="1">
      <alignment horizontal="right"/>
    </xf>
    <xf borderId="4" fillId="12" fontId="6" numFmtId="165" xfId="0" applyAlignment="1" applyBorder="1" applyFont="1" applyNumberFormat="1">
      <alignment horizontal="right"/>
    </xf>
    <xf borderId="23" fillId="3" fontId="6" numFmtId="0" xfId="0" applyAlignment="1" applyBorder="1" applyFont="1">
      <alignment horizontal="right"/>
    </xf>
    <xf borderId="23" fillId="3" fontId="6" numFmtId="10" xfId="0" applyAlignment="1" applyBorder="1" applyFont="1" applyNumberFormat="1">
      <alignment horizontal="center"/>
    </xf>
    <xf borderId="23" fillId="15" fontId="1" numFmtId="165" xfId="0" applyAlignment="1" applyBorder="1" applyFont="1" applyNumberFormat="1">
      <alignment horizontal="right"/>
    </xf>
    <xf borderId="24" fillId="3" fontId="1" numFmtId="165" xfId="0" applyAlignment="1" applyBorder="1" applyFont="1" applyNumberFormat="1">
      <alignment horizontal="right"/>
    </xf>
    <xf borderId="24" fillId="15" fontId="10" numFmtId="167" xfId="0" applyAlignment="1" applyBorder="1" applyFont="1" applyNumberFormat="1">
      <alignment horizontal="right"/>
    </xf>
    <xf borderId="25" fillId="15" fontId="10" numFmtId="168" xfId="0" applyAlignment="1" applyBorder="1" applyFont="1" applyNumberFormat="1">
      <alignment horizontal="right"/>
    </xf>
    <xf borderId="24" fillId="15" fontId="1" numFmtId="165" xfId="0" applyAlignment="1" applyBorder="1" applyFont="1" applyNumberFormat="1">
      <alignment horizontal="right"/>
    </xf>
    <xf borderId="24" fillId="15" fontId="10" numFmtId="168" xfId="0" applyAlignment="1" applyBorder="1" applyFont="1" applyNumberFormat="1">
      <alignment horizontal="right"/>
    </xf>
    <xf borderId="23" fillId="3" fontId="1" numFmtId="165" xfId="0" applyAlignment="1" applyBorder="1" applyFont="1" applyNumberFormat="1">
      <alignment horizontal="right"/>
    </xf>
    <xf borderId="26" fillId="12" fontId="6" numFmtId="165" xfId="0" applyAlignment="1" applyBorder="1" applyFont="1" applyNumberFormat="1">
      <alignment horizontal="right"/>
    </xf>
    <xf borderId="24" fillId="12" fontId="6" numFmtId="165" xfId="0" applyAlignment="1" applyBorder="1" applyFont="1" applyNumberFormat="1">
      <alignment horizontal="right"/>
    </xf>
    <xf borderId="26" fillId="15" fontId="10" numFmtId="169" xfId="0" applyAlignment="1" applyBorder="1" applyFont="1" applyNumberFormat="1">
      <alignment horizontal="right"/>
    </xf>
    <xf borderId="24" fillId="13" fontId="3" numFmtId="165" xfId="0" applyAlignment="1" applyBorder="1" applyFont="1" applyNumberFormat="1">
      <alignment horizontal="right"/>
    </xf>
    <xf borderId="25" fillId="12" fontId="2" numFmtId="9" xfId="0" applyAlignment="1" applyBorder="1" applyFont="1" applyNumberFormat="1">
      <alignment horizontal="right"/>
    </xf>
    <xf borderId="27" fillId="0" fontId="1" numFmtId="164" xfId="0" applyAlignment="1" applyBorder="1" applyFont="1" applyNumberFormat="1">
      <alignment horizontal="center" vertical="center"/>
    </xf>
    <xf borderId="28" fillId="0" fontId="2" numFmtId="3" xfId="0" applyAlignment="1" applyBorder="1" applyFont="1" applyNumberFormat="1">
      <alignment horizontal="left" vertical="center"/>
    </xf>
    <xf borderId="28" fillId="5" fontId="2" numFmtId="3" xfId="0" applyAlignment="1" applyBorder="1" applyFont="1" applyNumberFormat="1">
      <alignment horizontal="center" vertical="center"/>
    </xf>
    <xf borderId="28" fillId="5" fontId="2" numFmtId="1" xfId="0" applyAlignment="1" applyBorder="1" applyFont="1" applyNumberFormat="1">
      <alignment horizontal="center" vertical="center"/>
    </xf>
    <xf borderId="28" fillId="5" fontId="1" numFmtId="165" xfId="0" applyAlignment="1" applyBorder="1" applyFont="1" applyNumberFormat="1">
      <alignment horizontal="center" vertical="center"/>
    </xf>
    <xf borderId="28" fillId="2" fontId="1" numFmtId="165" xfId="0" applyAlignment="1" applyBorder="1" applyFont="1" applyNumberFormat="1">
      <alignment horizontal="center"/>
    </xf>
    <xf borderId="28" fillId="2" fontId="1" numFmtId="3" xfId="0" applyAlignment="1" applyBorder="1" applyFont="1" applyNumberFormat="1">
      <alignment horizontal="center"/>
    </xf>
    <xf borderId="29" fillId="2" fontId="1" numFmtId="165" xfId="0" applyAlignment="1" applyBorder="1" applyFont="1" applyNumberFormat="1">
      <alignment horizontal="center"/>
    </xf>
    <xf borderId="0" fillId="0" fontId="6" numFmtId="10" xfId="0" applyAlignment="1" applyFont="1" applyNumberFormat="1">
      <alignment horizontal="center"/>
    </xf>
    <xf borderId="0" fillId="0" fontId="1" numFmtId="165" xfId="0" applyAlignment="1" applyFont="1" applyNumberFormat="1">
      <alignment horizontal="right"/>
    </xf>
    <xf borderId="0" fillId="0" fontId="2" numFmtId="1" xfId="0" applyAlignment="1" applyFont="1" applyNumberFormat="1">
      <alignment horizontal="right"/>
    </xf>
    <xf borderId="0" fillId="0" fontId="3" numFmtId="165" xfId="0" applyAlignment="1" applyFont="1" applyNumberFormat="1">
      <alignment horizontal="right"/>
    </xf>
    <xf borderId="2" fillId="0" fontId="9" numFmtId="0" xfId="0" applyBorder="1" applyFont="1"/>
    <xf borderId="30" fillId="0" fontId="9" numFmtId="0" xfId="0" applyBorder="1" applyFont="1"/>
    <xf borderId="13" fillId="7" fontId="6" numFmtId="3" xfId="0" applyAlignment="1" applyBorder="1" applyFont="1" applyNumberFormat="1">
      <alignment horizontal="right"/>
    </xf>
    <xf borderId="14" fillId="8" fontId="3" numFmtId="3" xfId="0" applyAlignment="1" applyBorder="1" applyFont="1" applyNumberFormat="1">
      <alignment horizontal="right"/>
    </xf>
    <xf borderId="15" fillId="10" fontId="3" numFmtId="3" xfId="0" applyAlignment="1" applyBorder="1" applyFont="1" applyNumberFormat="1">
      <alignment horizontal="right"/>
    </xf>
    <xf borderId="15" fillId="12" fontId="6" numFmtId="0" xfId="0" applyAlignment="1" applyBorder="1" applyFont="1">
      <alignment horizontal="right"/>
    </xf>
    <xf borderId="13" fillId="8" fontId="6" numFmtId="0" xfId="0" applyAlignment="1" applyBorder="1" applyFont="1">
      <alignment horizontal="right"/>
    </xf>
    <xf borderId="13" fillId="13" fontId="3" numFmtId="0" xfId="0" applyAlignment="1" applyBorder="1" applyFont="1">
      <alignment horizontal="right"/>
    </xf>
    <xf borderId="4" fillId="12" fontId="6" numFmtId="10" xfId="0" applyAlignment="1" applyBorder="1" applyFont="1" applyNumberFormat="1">
      <alignment horizontal="right"/>
    </xf>
    <xf borderId="18" fillId="8" fontId="6" numFmtId="10" xfId="0" applyAlignment="1" applyBorder="1" applyFont="1" applyNumberFormat="1">
      <alignment horizontal="right"/>
    </xf>
    <xf borderId="31" fillId="0" fontId="1" numFmtId="165" xfId="0" applyAlignment="1" applyBorder="1" applyFont="1" applyNumberFormat="1">
      <alignment horizontal="right"/>
    </xf>
    <xf borderId="31" fillId="0" fontId="6" numFmtId="165" xfId="0" applyAlignment="1" applyBorder="1" applyFont="1" applyNumberFormat="1">
      <alignment horizontal="right"/>
    </xf>
    <xf borderId="31" fillId="0" fontId="1" numFmtId="3" xfId="0" applyAlignment="1" applyBorder="1" applyFont="1" applyNumberFormat="1">
      <alignment horizontal="right"/>
    </xf>
    <xf borderId="18" fillId="12" fontId="6" numFmtId="3" xfId="0" applyAlignment="1" applyBorder="1" applyFont="1" applyNumberFormat="1">
      <alignment horizontal="right"/>
    </xf>
    <xf borderId="18" fillId="12" fontId="6" numFmtId="165" xfId="0" applyAlignment="1" applyBorder="1" applyFont="1" applyNumberFormat="1">
      <alignment horizontal="right"/>
    </xf>
    <xf borderId="19" fillId="12" fontId="2" numFmtId="165" xfId="0" applyAlignment="1" applyBorder="1" applyFont="1" applyNumberFormat="1">
      <alignment horizontal="right"/>
    </xf>
    <xf borderId="23" fillId="3" fontId="6" numFmtId="171" xfId="0" applyAlignment="1" applyBorder="1" applyFont="1" applyNumberFormat="1">
      <alignment horizontal="center"/>
    </xf>
    <xf borderId="23" fillId="12" fontId="6" numFmtId="165" xfId="0" applyAlignment="1" applyBorder="1" applyFont="1" applyNumberFormat="1">
      <alignment horizontal="right"/>
    </xf>
    <xf borderId="0" fillId="0" fontId="6" numFmtId="171" xfId="0" applyAlignment="1" applyFont="1" applyNumberFormat="1">
      <alignment horizontal="center"/>
    </xf>
    <xf borderId="0" fillId="0" fontId="1" numFmtId="172" xfId="0" applyAlignment="1" applyFont="1" applyNumberFormat="1">
      <alignment horizontal="right"/>
    </xf>
    <xf borderId="0" fillId="0" fontId="6" numFmtId="172" xfId="0" applyAlignment="1" applyFont="1" applyNumberFormat="1">
      <alignment horizontal="right"/>
    </xf>
    <xf borderId="31" fillId="0" fontId="9" numFmtId="0" xfId="0" applyBorder="1" applyFont="1"/>
    <xf borderId="21" fillId="0" fontId="9" numFmtId="0" xfId="0" applyBorder="1" applyFont="1"/>
    <xf borderId="32" fillId="2" fontId="1" numFmtId="165" xfId="0" applyAlignment="1" applyBorder="1" applyFont="1" applyNumberFormat="1">
      <alignment horizontal="center"/>
    </xf>
    <xf borderId="13" fillId="7" fontId="3" numFmtId="3" xfId="0" applyAlignment="1" applyBorder="1" applyFont="1" applyNumberFormat="1">
      <alignment horizontal="right"/>
    </xf>
    <xf borderId="13" fillId="7" fontId="3" numFmtId="0" xfId="0" applyAlignment="1" applyBorder="1" applyFont="1">
      <alignment horizontal="right"/>
    </xf>
    <xf borderId="14" fillId="12" fontId="6" numFmtId="0" xfId="0" applyAlignment="1" applyBorder="1" applyFont="1">
      <alignment horizontal="right"/>
    </xf>
    <xf borderId="28" fillId="5" fontId="2" numFmtId="166" xfId="0" applyAlignment="1" applyBorder="1" applyFont="1" applyNumberFormat="1">
      <alignment horizontal="center" vertical="center"/>
    </xf>
    <xf borderId="33" fillId="2" fontId="1" numFmtId="165" xfId="0" applyAlignment="1" applyBorder="1" applyFont="1" applyNumberFormat="1">
      <alignment horizontal="center"/>
    </xf>
    <xf borderId="18" fillId="12" fontId="1" numFmtId="165" xfId="0" applyAlignment="1" applyBorder="1" applyFont="1" applyNumberFormat="1">
      <alignment horizontal="right"/>
    </xf>
    <xf borderId="0" fillId="0" fontId="2" numFmtId="9" xfId="0" applyFont="1" applyNumberFormat="1"/>
    <xf borderId="0" fillId="0" fontId="1" numFmtId="0" xfId="0" applyAlignment="1" applyFont="1">
      <alignment horizontal="center"/>
    </xf>
    <xf borderId="0" fillId="0" fontId="1" numFmtId="3" xfId="0" applyAlignment="1" applyFont="1" applyNumberFormat="1">
      <alignment horizontal="right"/>
    </xf>
    <xf borderId="0" fillId="0" fontId="1" numFmtId="9" xfId="0" applyAlignment="1" applyFont="1" applyNumberFormat="1">
      <alignment horizontal="right"/>
    </xf>
    <xf borderId="13" fillId="3" fontId="6" numFmtId="0" xfId="0" applyAlignment="1" applyBorder="1" applyFont="1">
      <alignment horizontal="center"/>
    </xf>
    <xf borderId="14" fillId="16" fontId="6" numFmtId="3" xfId="0" applyAlignment="1" applyBorder="1" applyFill="1" applyFont="1" applyNumberFormat="1">
      <alignment horizontal="right"/>
    </xf>
    <xf borderId="14" fillId="11" fontId="6" numFmtId="3" xfId="0" applyAlignment="1" applyBorder="1" applyFont="1" applyNumberFormat="1">
      <alignment horizontal="right"/>
    </xf>
    <xf borderId="4" fillId="16" fontId="2" numFmtId="10" xfId="0" applyAlignment="1" applyBorder="1" applyFont="1" applyNumberFormat="1">
      <alignment horizontal="right"/>
    </xf>
    <xf borderId="4" fillId="11" fontId="2" numFmtId="10" xfId="0" applyAlignment="1" applyBorder="1" applyFont="1" applyNumberFormat="1">
      <alignment horizontal="right"/>
    </xf>
    <xf borderId="20" fillId="17" fontId="3" numFmtId="3" xfId="0" applyBorder="1" applyFill="1" applyFont="1" applyNumberFormat="1"/>
    <xf borderId="0" fillId="0" fontId="2" numFmtId="3" xfId="0" applyFont="1" applyNumberFormat="1"/>
    <xf borderId="24" fillId="15" fontId="2" numFmtId="165" xfId="0" applyAlignment="1" applyBorder="1" applyFont="1" applyNumberFormat="1">
      <alignment horizontal="right"/>
    </xf>
    <xf borderId="23" fillId="15" fontId="2" numFmtId="165" xfId="0" applyAlignment="1" applyBorder="1" applyFont="1" applyNumberFormat="1">
      <alignment horizontal="right"/>
    </xf>
    <xf borderId="8" fillId="0" fontId="8" numFmtId="3" xfId="0" applyAlignment="1" applyBorder="1" applyFont="1" applyNumberFormat="1">
      <alignment horizontal="center" vertical="center"/>
    </xf>
    <xf borderId="14" fillId="10" fontId="6" numFmtId="0" xfId="0" applyAlignment="1" applyBorder="1" applyFont="1">
      <alignment horizontal="right"/>
    </xf>
    <xf borderId="0" fillId="0" fontId="11" numFmtId="0" xfId="0" applyFont="1"/>
    <xf borderId="20" fillId="15" fontId="6" numFmtId="165" xfId="0" applyAlignment="1" applyBorder="1" applyFont="1" applyNumberFormat="1">
      <alignment horizontal="right"/>
    </xf>
    <xf borderId="13" fillId="11" fontId="3" numFmtId="0" xfId="0" applyAlignment="1" applyBorder="1" applyFont="1">
      <alignment horizontal="right"/>
    </xf>
    <xf borderId="19" fillId="12" fontId="6" numFmtId="10" xfId="0" applyAlignment="1" applyBorder="1" applyFont="1" applyNumberFormat="1">
      <alignment horizontal="right"/>
    </xf>
    <xf borderId="21" fillId="0" fontId="6" numFmtId="165" xfId="0" applyAlignment="1" applyBorder="1" applyFont="1" applyNumberFormat="1">
      <alignment horizontal="right"/>
    </xf>
    <xf borderId="19" fillId="17" fontId="3" numFmtId="3" xfId="0" applyBorder="1" applyFont="1" applyNumberFormat="1"/>
    <xf borderId="19" fillId="12" fontId="6" numFmtId="165" xfId="0" applyAlignment="1" applyBorder="1" applyFont="1" applyNumberFormat="1">
      <alignment horizontal="right"/>
    </xf>
    <xf borderId="25" fillId="12" fontId="6" numFmtId="165" xfId="0" applyAlignment="1" applyBorder="1" applyFont="1" applyNumberFormat="1">
      <alignment horizontal="right"/>
    </xf>
    <xf borderId="0" fillId="0" fontId="2" numFmtId="9" xfId="0" applyAlignment="1" applyFont="1" applyNumberFormat="1">
      <alignment horizontal="right"/>
    </xf>
    <xf borderId="32" fillId="2" fontId="1" numFmtId="10" xfId="0" applyAlignment="1" applyBorder="1" applyFont="1" applyNumberFormat="1">
      <alignment horizontal="center"/>
    </xf>
    <xf borderId="0" fillId="0" fontId="1" numFmtId="1" xfId="0" applyAlignment="1" applyFont="1" applyNumberFormat="1">
      <alignment horizontal="right"/>
    </xf>
    <xf borderId="29" fillId="2" fontId="1" numFmtId="10" xfId="0" applyAlignment="1" applyBorder="1" applyFont="1" applyNumberFormat="1">
      <alignment horizontal="center"/>
    </xf>
    <xf borderId="18" fillId="15" fontId="1" numFmtId="171" xfId="0" applyAlignment="1" applyBorder="1" applyFont="1" applyNumberFormat="1">
      <alignment horizontal="right"/>
    </xf>
    <xf borderId="0" fillId="0" fontId="6" numFmtId="0" xfId="0" applyAlignment="1" applyFont="1">
      <alignment horizontal="center"/>
    </xf>
    <xf borderId="21" fillId="0" fontId="6" numFmtId="3" xfId="0" applyAlignment="1" applyBorder="1" applyFont="1" applyNumberFormat="1">
      <alignment horizontal="right"/>
    </xf>
    <xf borderId="4" fillId="10" fontId="1" numFmtId="165" xfId="0" applyAlignment="1" applyBorder="1" applyFont="1" applyNumberFormat="1">
      <alignment horizontal="right"/>
    </xf>
    <xf borderId="28" fillId="2" fontId="1" numFmtId="165" xfId="0" applyAlignment="1" applyBorder="1" applyFont="1" applyNumberFormat="1">
      <alignment horizontal="center" vertical="center"/>
    </xf>
    <xf borderId="28" fillId="2" fontId="1" numFmtId="3" xfId="0" applyAlignment="1" applyBorder="1" applyFont="1" applyNumberFormat="1">
      <alignment horizontal="center" vertical="center"/>
    </xf>
    <xf borderId="29" fillId="2" fontId="1" numFmtId="165" xfId="0" applyAlignment="1" applyBorder="1" applyFont="1" applyNumberFormat="1">
      <alignment horizontal="center" vertical="center"/>
    </xf>
    <xf borderId="28" fillId="18" fontId="2" numFmtId="3" xfId="0" applyAlignment="1" applyBorder="1" applyFill="1" applyFont="1" applyNumberFormat="1">
      <alignment horizontal="left" vertical="center"/>
    </xf>
    <xf borderId="28" fillId="18" fontId="2" numFmtId="3" xfId="0" applyAlignment="1" applyBorder="1" applyFont="1" applyNumberFormat="1">
      <alignment horizontal="center" vertical="center"/>
    </xf>
    <xf borderId="28" fillId="18" fontId="2" numFmtId="166" xfId="0" applyAlignment="1" applyBorder="1" applyFont="1" applyNumberFormat="1">
      <alignment horizontal="center" vertical="center"/>
    </xf>
    <xf borderId="28" fillId="18" fontId="1" numFmtId="165" xfId="0" applyAlignment="1" applyBorder="1" applyFont="1" applyNumberFormat="1">
      <alignment horizontal="center" vertical="center"/>
    </xf>
    <xf borderId="28" fillId="18" fontId="1" numFmtId="3" xfId="0" applyAlignment="1" applyBorder="1" applyFont="1" applyNumberFormat="1">
      <alignment horizontal="center"/>
    </xf>
    <xf borderId="29" fillId="18" fontId="1" numFmtId="3" xfId="0" applyAlignment="1" applyBorder="1" applyFont="1" applyNumberFormat="1">
      <alignment horizontal="center"/>
    </xf>
    <xf borderId="4" fillId="13" fontId="3" numFmtId="173" xfId="0" applyAlignment="1" applyBorder="1" applyFont="1" applyNumberFormat="1">
      <alignment horizontal="right"/>
    </xf>
    <xf borderId="0" fillId="0" fontId="2" numFmtId="0" xfId="0" applyAlignment="1" applyFont="1">
      <alignment horizontal="center"/>
    </xf>
    <xf borderId="23" fillId="3" fontId="6" numFmtId="165" xfId="0" applyAlignment="1" applyBorder="1" applyFont="1" applyNumberFormat="1">
      <alignment horizontal="center"/>
    </xf>
    <xf borderId="34" fillId="2" fontId="1" numFmtId="165" xfId="0" applyAlignment="1" applyBorder="1" applyFont="1" applyNumberFormat="1">
      <alignment horizontal="center"/>
    </xf>
    <xf borderId="34" fillId="2" fontId="1" numFmtId="3" xfId="0" applyAlignment="1" applyBorder="1" applyFont="1" applyNumberFormat="1">
      <alignment horizontal="center"/>
    </xf>
    <xf borderId="35" fillId="2" fontId="1" numFmtId="165" xfId="0" applyAlignment="1" applyBorder="1" applyFont="1" applyNumberFormat="1">
      <alignment horizontal="center"/>
    </xf>
    <xf borderId="23" fillId="3" fontId="6" numFmtId="9" xfId="0" applyAlignment="1" applyBorder="1" applyFont="1" applyNumberFormat="1">
      <alignment horizontal="center"/>
    </xf>
    <xf borderId="27" fillId="0" fontId="9" numFmtId="164" xfId="0" applyAlignment="1" applyBorder="1" applyFont="1" applyNumberFormat="1">
      <alignment horizontal="center"/>
    </xf>
    <xf borderId="28" fillId="0" fontId="9" numFmtId="3" xfId="0" applyBorder="1" applyFont="1" applyNumberFormat="1"/>
    <xf borderId="28" fillId="5" fontId="9" numFmtId="3" xfId="0" applyAlignment="1" applyBorder="1" applyFont="1" applyNumberFormat="1">
      <alignment horizontal="center"/>
    </xf>
    <xf borderId="28" fillId="5" fontId="9" numFmtId="166" xfId="0" applyAlignment="1" applyBorder="1" applyFont="1" applyNumberFormat="1">
      <alignment horizontal="center"/>
    </xf>
    <xf borderId="28" fillId="5" fontId="9" numFmtId="165" xfId="0" applyAlignment="1" applyBorder="1" applyFont="1" applyNumberFormat="1">
      <alignment horizontal="center"/>
    </xf>
    <xf borderId="34" fillId="2" fontId="9" numFmtId="165" xfId="0" applyAlignment="1" applyBorder="1" applyFont="1" applyNumberFormat="1">
      <alignment horizontal="center"/>
    </xf>
    <xf borderId="34" fillId="2" fontId="9" numFmtId="3" xfId="0" applyAlignment="1" applyBorder="1" applyFont="1" applyNumberFormat="1">
      <alignment horizontal="center"/>
    </xf>
    <xf borderId="35" fillId="2" fontId="9" numFmtId="165" xfId="0" applyAlignment="1" applyBorder="1" applyFont="1" applyNumberFormat="1">
      <alignment horizontal="center"/>
    </xf>
    <xf borderId="4" fillId="14" fontId="12" numFmtId="0" xfId="0" applyAlignment="1" applyBorder="1" applyFont="1">
      <alignment horizontal="right"/>
    </xf>
    <xf borderId="27" fillId="0" fontId="9" numFmtId="164" xfId="0" applyBorder="1" applyFont="1" applyNumberFormat="1"/>
    <xf borderId="28" fillId="5" fontId="9" numFmtId="3" xfId="0" applyBorder="1" applyFont="1" applyNumberFormat="1"/>
    <xf borderId="28" fillId="5" fontId="9" numFmtId="166" xfId="0" applyBorder="1" applyFont="1" applyNumberFormat="1"/>
    <xf borderId="28" fillId="5" fontId="9" numFmtId="165" xfId="0" applyBorder="1" applyFont="1" applyNumberFormat="1"/>
    <xf borderId="28" fillId="2" fontId="9" numFmtId="165" xfId="0" applyBorder="1" applyFont="1" applyNumberFormat="1"/>
    <xf borderId="28" fillId="2" fontId="9" numFmtId="3" xfId="0" applyBorder="1" applyFont="1" applyNumberFormat="1"/>
    <xf borderId="29" fillId="2" fontId="9" numFmtId="165" xfId="0" applyBorder="1" applyFont="1" applyNumberFormat="1"/>
    <xf borderId="4" fillId="14" fontId="12" numFmtId="10" xfId="0" applyAlignment="1" applyBorder="1" applyFont="1" applyNumberFormat="1">
      <alignment horizontal="right"/>
    </xf>
    <xf borderId="4" fillId="14" fontId="12" numFmtId="165" xfId="0" applyAlignment="1" applyBorder="1" applyFont="1" applyNumberFormat="1">
      <alignment horizontal="right"/>
    </xf>
    <xf borderId="0" fillId="0" fontId="9" numFmtId="9" xfId="0" applyFont="1" applyNumberFormat="1"/>
    <xf borderId="23" fillId="3" fontId="6" numFmtId="4" xfId="0" applyAlignment="1" applyBorder="1" applyFont="1" applyNumberFormat="1">
      <alignment horizontal="center" readingOrder="0"/>
    </xf>
    <xf borderId="4" fillId="14" fontId="12" numFmtId="3" xfId="0" applyAlignment="1" applyBorder="1" applyFont="1" applyNumberFormat="1">
      <alignment horizontal="right"/>
    </xf>
    <xf borderId="19" fillId="12" fontId="12" numFmtId="165" xfId="0" applyAlignment="1" applyBorder="1" applyFont="1" applyNumberFormat="1">
      <alignment horizontal="right"/>
    </xf>
    <xf borderId="13" fillId="19" fontId="3" numFmtId="0" xfId="0" applyAlignment="1" applyBorder="1" applyFill="1" applyFont="1">
      <alignment horizontal="right"/>
    </xf>
    <xf borderId="13" fillId="3" fontId="2" numFmtId="0" xfId="0" applyBorder="1" applyFont="1"/>
    <xf borderId="13" fillId="11" fontId="3" numFmtId="3" xfId="0" applyAlignment="1" applyBorder="1" applyFont="1" applyNumberFormat="1">
      <alignment horizontal="right"/>
    </xf>
    <xf borderId="14" fillId="11" fontId="3" numFmtId="3" xfId="0" applyAlignment="1" applyBorder="1" applyFont="1" applyNumberFormat="1">
      <alignment horizontal="right"/>
    </xf>
    <xf borderId="16" fillId="12" fontId="3" numFmtId="0" xfId="0" applyAlignment="1" applyBorder="1" applyFont="1">
      <alignment horizontal="right"/>
    </xf>
    <xf borderId="17" fillId="0" fontId="2" numFmtId="0" xfId="0" applyBorder="1" applyFont="1"/>
    <xf borderId="18" fillId="3" fontId="3" numFmtId="0" xfId="0" applyAlignment="1" applyBorder="1" applyFont="1">
      <alignment horizontal="right"/>
    </xf>
    <xf borderId="18" fillId="3" fontId="2" numFmtId="0" xfId="0" applyBorder="1" applyFont="1"/>
    <xf borderId="21" fillId="0" fontId="2" numFmtId="0" xfId="0" applyBorder="1" applyFont="1"/>
    <xf borderId="31" fillId="0" fontId="2" numFmtId="165" xfId="0" applyBorder="1" applyFont="1" applyNumberFormat="1"/>
    <xf borderId="18" fillId="14" fontId="2" numFmtId="165" xfId="0" applyAlignment="1" applyBorder="1" applyFont="1" applyNumberFormat="1">
      <alignment horizontal="right"/>
    </xf>
    <xf borderId="18" fillId="15" fontId="2" numFmtId="165" xfId="0" applyAlignment="1" applyBorder="1" applyFont="1" applyNumberFormat="1">
      <alignment horizontal="right"/>
    </xf>
    <xf borderId="4" fillId="15" fontId="2" numFmtId="165" xfId="0" applyAlignment="1" applyBorder="1" applyFont="1" applyNumberFormat="1">
      <alignment horizontal="right"/>
    </xf>
    <xf borderId="22" fillId="0" fontId="3" numFmtId="165" xfId="0" applyAlignment="1" applyBorder="1" applyFont="1" applyNumberFormat="1">
      <alignment horizontal="right"/>
    </xf>
    <xf borderId="18" fillId="3" fontId="3" numFmtId="165" xfId="0" applyAlignment="1" applyBorder="1" applyFont="1" applyNumberFormat="1">
      <alignment horizontal="center"/>
    </xf>
    <xf borderId="31" fillId="0" fontId="2" numFmtId="3" xfId="0" applyBorder="1" applyFont="1" applyNumberFormat="1"/>
    <xf borderId="18" fillId="15" fontId="2" numFmtId="3" xfId="0" applyAlignment="1" applyBorder="1" applyFont="1" applyNumberFormat="1">
      <alignment horizontal="right"/>
    </xf>
    <xf borderId="4" fillId="15" fontId="2" numFmtId="3" xfId="0" applyAlignment="1" applyBorder="1" applyFont="1" applyNumberFormat="1">
      <alignment horizontal="right"/>
    </xf>
    <xf borderId="23" fillId="3" fontId="3" numFmtId="0" xfId="0" applyAlignment="1" applyBorder="1" applyFont="1">
      <alignment horizontal="right"/>
    </xf>
    <xf borderId="23" fillId="3" fontId="3" numFmtId="9" xfId="0" applyAlignment="1" applyBorder="1" applyFont="1" applyNumberFormat="1">
      <alignment horizontal="center"/>
    </xf>
    <xf borderId="23" fillId="3" fontId="2" numFmtId="165" xfId="0" applyAlignment="1" applyBorder="1" applyFont="1" applyNumberFormat="1">
      <alignment horizontal="right"/>
    </xf>
    <xf borderId="24" fillId="3" fontId="2" numFmtId="165" xfId="0" applyAlignment="1" applyBorder="1" applyFont="1" applyNumberFormat="1">
      <alignment horizontal="right"/>
    </xf>
    <xf borderId="36" fillId="7" fontId="6" numFmtId="0" xfId="0" applyAlignment="1" applyBorder="1" applyFont="1">
      <alignment horizontal="right"/>
    </xf>
    <xf borderId="37" fillId="12" fontId="6" numFmtId="0" xfId="0" applyAlignment="1" applyBorder="1" applyFont="1">
      <alignment horizontal="right"/>
    </xf>
    <xf borderId="38" fillId="12" fontId="6" numFmtId="0" xfId="0" applyAlignment="1" applyBorder="1" applyFont="1">
      <alignment horizontal="right"/>
    </xf>
    <xf borderId="36" fillId="20" fontId="6" numFmtId="0" xfId="0" applyAlignment="1" applyBorder="1" applyFill="1" applyFont="1">
      <alignment horizontal="right"/>
    </xf>
    <xf borderId="39" fillId="20" fontId="6" numFmtId="0" xfId="0" applyAlignment="1" applyBorder="1" applyFont="1">
      <alignment horizontal="right"/>
    </xf>
    <xf borderId="0" fillId="0" fontId="2" numFmtId="165" xfId="0" applyAlignment="1" applyFont="1" applyNumberFormat="1">
      <alignment horizontal="right"/>
    </xf>
    <xf borderId="40" fillId="3" fontId="6" numFmtId="0" xfId="0" applyAlignment="1" applyBorder="1" applyFont="1">
      <alignment horizontal="right"/>
    </xf>
    <xf borderId="41" fillId="0" fontId="6" numFmtId="165" xfId="0" applyAlignment="1" applyBorder="1" applyFont="1" applyNumberFormat="1">
      <alignment horizontal="right"/>
    </xf>
    <xf borderId="42" fillId="0" fontId="6" numFmtId="165" xfId="0" applyAlignment="1" applyBorder="1" applyFont="1" applyNumberFormat="1">
      <alignment horizontal="right"/>
    </xf>
    <xf borderId="36" fillId="14" fontId="10" numFmtId="167" xfId="0" applyAlignment="1" applyBorder="1" applyFont="1" applyNumberFormat="1">
      <alignment horizontal="right"/>
    </xf>
    <xf borderId="39" fillId="14" fontId="10" numFmtId="174" xfId="0" applyAlignment="1" applyBorder="1" applyFont="1" applyNumberFormat="1">
      <alignment horizontal="right"/>
    </xf>
    <xf borderId="36" fillId="14" fontId="10" numFmtId="174" xfId="0" applyAlignment="1" applyBorder="1" applyFont="1" applyNumberFormat="1">
      <alignment horizontal="right"/>
    </xf>
    <xf borderId="0" fillId="0" fontId="2" numFmtId="171" xfId="0" applyAlignment="1" applyFont="1" applyNumberFormat="1">
      <alignment horizontal="right"/>
    </xf>
    <xf borderId="43" fillId="3" fontId="6" numFmtId="0" xfId="0" applyAlignment="1" applyBorder="1" applyFont="1">
      <alignment horizontal="right"/>
    </xf>
    <xf borderId="40" fillId="14" fontId="6" numFmtId="3" xfId="0" applyAlignment="1" applyBorder="1" applyFont="1" applyNumberFormat="1">
      <alignment horizontal="right"/>
    </xf>
    <xf borderId="43" fillId="14" fontId="6" numFmtId="3" xfId="0" applyAlignment="1" applyBorder="1" applyFont="1" applyNumberFormat="1">
      <alignment horizontal="right"/>
    </xf>
    <xf borderId="36" fillId="14" fontId="10" numFmtId="170" xfId="0" applyAlignment="1" applyBorder="1" applyFont="1" applyNumberFormat="1">
      <alignment horizontal="right"/>
    </xf>
    <xf borderId="40" fillId="14" fontId="6" numFmtId="165" xfId="0" applyAlignment="1" applyBorder="1" applyFont="1" applyNumberFormat="1">
      <alignment horizontal="right"/>
    </xf>
    <xf borderId="44" fillId="14" fontId="6" numFmtId="165" xfId="0" applyAlignment="1" applyBorder="1" applyFont="1" applyNumberFormat="1">
      <alignment horizontal="right"/>
    </xf>
    <xf borderId="18" fillId="14" fontId="6" numFmtId="165" xfId="0" applyAlignment="1" applyBorder="1" applyFont="1" applyNumberFormat="1">
      <alignment horizontal="right"/>
    </xf>
    <xf borderId="45" fillId="3" fontId="6" numFmtId="0" xfId="0" applyAlignment="1" applyBorder="1" applyFont="1">
      <alignment horizontal="right"/>
    </xf>
    <xf borderId="46" fillId="14" fontId="6" numFmtId="165" xfId="0" applyAlignment="1" applyBorder="1" applyFont="1" applyNumberFormat="1">
      <alignment horizontal="right"/>
    </xf>
    <xf borderId="45" fillId="14" fontId="6" numFmtId="165" xfId="0" applyAlignment="1" applyBorder="1" applyFont="1" applyNumberFormat="1">
      <alignment horizontal="right"/>
    </xf>
    <xf borderId="14" fillId="8" fontId="6" numFmtId="3" xfId="0" applyAlignment="1" applyBorder="1" applyFont="1" applyNumberFormat="1">
      <alignment horizontal="right" readingOrder="0"/>
    </xf>
    <xf borderId="14" fillId="8" fontId="6" numFmtId="3" xfId="0" applyAlignment="1" applyBorder="1" applyFont="1" applyNumberFormat="1">
      <alignment horizontal="right" readingOrder="0" vertical="bottom"/>
    </xf>
    <xf borderId="47" fillId="3" fontId="6" numFmtId="0" xfId="0" applyAlignment="1" applyBorder="1" applyFont="1">
      <alignment horizontal="right" readingOrder="0"/>
    </xf>
    <xf borderId="47" fillId="3" fontId="6" numFmtId="0" xfId="0" applyAlignment="1" applyBorder="1" applyFont="1">
      <alignment horizontal="center"/>
    </xf>
    <xf borderId="47" fillId="7" fontId="2" numFmtId="10" xfId="0" applyAlignment="1" applyBorder="1" applyFont="1" applyNumberFormat="1">
      <alignment horizontal="right"/>
    </xf>
    <xf borderId="48" fillId="8" fontId="2" numFmtId="10" xfId="0" applyAlignment="1" applyBorder="1" applyFont="1" applyNumberFormat="1">
      <alignment horizontal="right"/>
    </xf>
    <xf borderId="48" fillId="9" fontId="2" numFmtId="10" xfId="0" applyAlignment="1" applyBorder="1" applyFont="1" applyNumberFormat="1">
      <alignment horizontal="right"/>
    </xf>
    <xf borderId="49" fillId="10" fontId="2" numFmtId="10" xfId="0" applyAlignment="1" applyBorder="1" applyFont="1" applyNumberFormat="1">
      <alignment horizontal="right"/>
    </xf>
    <xf borderId="48" fillId="7" fontId="2" numFmtId="10" xfId="0" applyAlignment="1" applyBorder="1" applyFont="1" applyNumberFormat="1">
      <alignment horizontal="right"/>
    </xf>
    <xf borderId="48" fillId="10" fontId="2" numFmtId="10" xfId="0" applyAlignment="1" applyBorder="1" applyFont="1" applyNumberFormat="1">
      <alignment horizontal="right"/>
    </xf>
    <xf borderId="47" fillId="11" fontId="2" numFmtId="10" xfId="0" applyAlignment="1" applyBorder="1" applyFont="1" applyNumberFormat="1">
      <alignment horizontal="right"/>
    </xf>
    <xf borderId="48" fillId="8" fontId="3" numFmtId="10" xfId="0" applyAlignment="1" applyBorder="1" applyFont="1" applyNumberFormat="1">
      <alignment horizontal="right"/>
    </xf>
    <xf borderId="48" fillId="8" fontId="6" numFmtId="10" xfId="0" applyAlignment="1" applyBorder="1" applyFont="1" applyNumberFormat="1">
      <alignment horizontal="right" readingOrder="0"/>
    </xf>
    <xf borderId="48" fillId="8" fontId="6" numFmtId="10" xfId="0" applyAlignment="1" applyBorder="1" applyFont="1" applyNumberFormat="1">
      <alignment horizontal="right" vertical="bottom"/>
    </xf>
    <xf borderId="50" fillId="12" fontId="6" numFmtId="10" xfId="0" applyAlignment="1" applyBorder="1" applyFont="1" applyNumberFormat="1">
      <alignment horizontal="right"/>
    </xf>
    <xf borderId="48" fillId="8" fontId="6" numFmtId="10" xfId="0" applyAlignment="1" applyBorder="1" applyFont="1" applyNumberFormat="1">
      <alignment horizontal="right"/>
    </xf>
    <xf borderId="50" fillId="10" fontId="6" numFmtId="10" xfId="0" applyAlignment="1" applyBorder="1" applyFont="1" applyNumberFormat="1">
      <alignment horizontal="right"/>
    </xf>
    <xf borderId="48" fillId="13" fontId="3" numFmtId="0" xfId="0" applyAlignment="1" applyBorder="1" applyFont="1">
      <alignment horizontal="right"/>
    </xf>
    <xf borderId="4" fillId="8" fontId="6" numFmtId="10" xfId="0" applyAlignment="1" applyBorder="1" applyFont="1" applyNumberFormat="1">
      <alignment horizontal="right" vertical="bottom"/>
    </xf>
    <xf borderId="4" fillId="9" fontId="3" numFmtId="168" xfId="0" applyAlignment="1" applyBorder="1" applyFont="1" applyNumberFormat="1">
      <alignment horizontal="right"/>
    </xf>
    <xf borderId="4" fillId="15" fontId="1" numFmtId="165" xfId="0" applyAlignment="1" applyBorder="1" applyFont="1" applyNumberFormat="1">
      <alignment horizontal="right" readingOrder="0" vertical="bottom"/>
    </xf>
    <xf borderId="4" fillId="15" fontId="1" numFmtId="165" xfId="0" applyAlignment="1" applyBorder="1" applyFont="1" applyNumberFormat="1">
      <alignment readingOrder="0" vertical="bottom"/>
    </xf>
    <xf borderId="4" fillId="3" fontId="6" numFmtId="173" xfId="0" applyAlignment="1" applyBorder="1" applyFont="1" applyNumberFormat="1">
      <alignment horizontal="right" vertical="bottom"/>
    </xf>
    <xf borderId="4" fillId="15" fontId="1" numFmtId="3" xfId="0" applyAlignment="1" applyBorder="1" applyFont="1" applyNumberFormat="1">
      <alignment horizontal="right" readingOrder="0" vertical="bottom"/>
    </xf>
    <xf borderId="4" fillId="15" fontId="1" numFmtId="3" xfId="0" applyAlignment="1" applyBorder="1" applyFont="1" applyNumberFormat="1">
      <alignment readingOrder="0" vertical="bottom"/>
    </xf>
    <xf borderId="4" fillId="3" fontId="6" numFmtId="3" xfId="0" applyAlignment="1" applyBorder="1" applyFont="1" applyNumberFormat="1">
      <alignment horizontal="right" vertical="bottom"/>
    </xf>
    <xf borderId="4" fillId="15" fontId="1" numFmtId="165" xfId="0" applyAlignment="1" applyBorder="1" applyFont="1" applyNumberFormat="1">
      <alignment horizontal="right" vertical="bottom"/>
    </xf>
    <xf borderId="4" fillId="15" fontId="6" numFmtId="165" xfId="0" applyAlignment="1" applyBorder="1" applyFont="1" applyNumberFormat="1">
      <alignment horizontal="right" vertical="bottom"/>
    </xf>
    <xf borderId="24" fillId="15" fontId="1" numFmtId="165" xfId="0" applyAlignment="1" applyBorder="1" applyFont="1" applyNumberFormat="1">
      <alignment horizontal="right" vertical="bottom"/>
    </xf>
    <xf borderId="24" fillId="15" fontId="6" numFmtId="165" xfId="0" applyAlignment="1" applyBorder="1" applyFont="1" applyNumberFormat="1">
      <alignment horizontal="right" vertical="bottom"/>
    </xf>
    <xf borderId="0" fillId="0" fontId="13" numFmtId="0" xfId="0" applyFont="1"/>
    <xf borderId="51" fillId="12" fontId="6" numFmtId="10" xfId="0" applyAlignment="1" applyBorder="1" applyFont="1" applyNumberFormat="1">
      <alignment horizontal="right"/>
    </xf>
    <xf borderId="47" fillId="8" fontId="6" numFmtId="10" xfId="0" applyAlignment="1" applyBorder="1" applyFont="1" applyNumberFormat="1">
      <alignment horizontal="right"/>
    </xf>
    <xf borderId="52" fillId="13" fontId="3" numFmtId="0" xfId="0" applyAlignment="1" applyBorder="1" applyFont="1">
      <alignment horizontal="right"/>
    </xf>
    <xf borderId="53" fillId="15" fontId="1" numFmtId="165" xfId="0" applyAlignment="1" applyBorder="1" applyFont="1" applyNumberFormat="1">
      <alignment horizontal="right"/>
    </xf>
    <xf borderId="54" fillId="15" fontId="1" numFmtId="165" xfId="0" applyAlignment="1" applyBorder="1" applyFont="1" applyNumberFormat="1">
      <alignment horizontal="right"/>
    </xf>
    <xf borderId="54" fillId="15" fontId="1" numFmtId="165" xfId="0" applyAlignment="1" applyBorder="1" applyFont="1" applyNumberFormat="1">
      <alignment horizontal="right" vertical="bottom"/>
    </xf>
    <xf borderId="54" fillId="15" fontId="6" numFmtId="165" xfId="0" applyAlignment="1" applyBorder="1" applyFont="1" applyNumberFormat="1">
      <alignment horizontal="right" vertical="bottom"/>
    </xf>
    <xf borderId="55" fillId="15" fontId="10" numFmtId="168" xfId="0" applyAlignment="1" applyBorder="1" applyFont="1" applyNumberFormat="1">
      <alignment horizontal="right"/>
    </xf>
    <xf borderId="56" fillId="3" fontId="1" numFmtId="165" xfId="0" applyAlignment="1" applyBorder="1" applyFont="1" applyNumberFormat="1">
      <alignment horizontal="right"/>
    </xf>
    <xf borderId="8" fillId="3" fontId="1" numFmtId="165" xfId="0" applyAlignment="1" applyBorder="1" applyFont="1" applyNumberFormat="1">
      <alignment horizontal="right"/>
    </xf>
    <xf borderId="8" fillId="3" fontId="6" numFmtId="165" xfId="0" applyAlignment="1" applyBorder="1" applyFont="1" applyNumberFormat="1">
      <alignment horizontal="right"/>
    </xf>
    <xf borderId="0" fillId="0" fontId="14" numFmtId="0" xfId="0" applyFont="1"/>
    <xf borderId="48" fillId="12" fontId="6" numFmtId="10" xfId="0" applyAlignment="1" applyBorder="1" applyFont="1" applyNumberFormat="1">
      <alignment horizontal="right"/>
    </xf>
    <xf borderId="56" fillId="15" fontId="1" numFmtId="165" xfId="0" applyAlignment="1" applyBorder="1" applyFont="1" applyNumberFormat="1">
      <alignment horizontal="right"/>
    </xf>
    <xf borderId="8" fillId="15" fontId="1" numFmtId="165" xfId="0" applyAlignment="1" applyBorder="1" applyFont="1" applyNumberFormat="1">
      <alignment horizontal="right"/>
    </xf>
    <xf borderId="48" fillId="16" fontId="2" numFmtId="10" xfId="0" applyAlignment="1" applyBorder="1" applyFont="1" applyNumberFormat="1">
      <alignment horizontal="right"/>
    </xf>
    <xf borderId="48" fillId="11" fontId="2" numFmtId="10" xfId="0" applyAlignment="1" applyBorder="1" applyFont="1" applyNumberFormat="1">
      <alignment horizontal="right"/>
    </xf>
    <xf borderId="18" fillId="15" fontId="1" numFmtId="173" xfId="0" applyAlignment="1" applyBorder="1" applyFont="1" applyNumberFormat="1">
      <alignment horizontal="right"/>
    </xf>
    <xf borderId="57" fillId="3" fontId="1" numFmtId="165" xfId="0" applyAlignment="1" applyBorder="1" applyFont="1" applyNumberFormat="1">
      <alignment horizontal="right"/>
    </xf>
    <xf borderId="58" fillId="15" fontId="10" numFmtId="167" xfId="0" applyAlignment="1" applyBorder="1" applyFont="1" applyNumberFormat="1">
      <alignment horizontal="right"/>
    </xf>
    <xf borderId="53" fillId="15" fontId="1" numFmtId="173" xfId="0" applyAlignment="1" applyBorder="1" applyFont="1" applyNumberFormat="1">
      <alignment horizontal="right"/>
    </xf>
    <xf borderId="8" fillId="15" fontId="6" numFmtId="165" xfId="0" applyAlignment="1" applyBorder="1" applyFont="1" applyNumberFormat="1">
      <alignment horizontal="right"/>
    </xf>
    <xf borderId="49" fillId="12" fontId="6" numFmtId="10" xfId="0" applyAlignment="1" applyBorder="1" applyFont="1" applyNumberFormat="1">
      <alignment horizontal="right"/>
    </xf>
    <xf borderId="18" fillId="3" fontId="6" numFmtId="0" xfId="0" applyAlignment="1" applyBorder="1" applyFont="1">
      <alignment horizontal="right" readingOrder="0"/>
    </xf>
    <xf borderId="54" fillId="15" fontId="2" numFmtId="165" xfId="0" applyAlignment="1" applyBorder="1" applyFont="1" applyNumberFormat="1">
      <alignment horizontal="right"/>
    </xf>
    <xf borderId="8" fillId="3" fontId="2" numFmtId="165" xfId="0" applyAlignment="1" applyBorder="1" applyFont="1" applyNumberFormat="1">
      <alignment horizontal="right"/>
    </xf>
    <xf borderId="59" fillId="2" fontId="1" numFmtId="165" xfId="0" applyAlignment="1" applyBorder="1" applyFont="1" applyNumberFormat="1">
      <alignment horizontal="center"/>
    </xf>
    <xf borderId="54" fillId="15" fontId="10" numFmtId="167" xfId="0" applyAlignment="1" applyBorder="1" applyFont="1" applyNumberFormat="1">
      <alignment horizontal="right"/>
    </xf>
    <xf borderId="60" fillId="2" fontId="1" numFmtId="165" xfId="0" applyAlignment="1" applyBorder="1" applyFont="1" applyNumberFormat="1">
      <alignment horizontal="center"/>
    </xf>
    <xf borderId="60" fillId="2" fontId="1" numFmtId="3" xfId="0" applyAlignment="1" applyBorder="1" applyFont="1" applyNumberFormat="1">
      <alignment horizontal="center"/>
    </xf>
    <xf borderId="61" fillId="2" fontId="1" numFmtId="165" xfId="0" applyAlignment="1" applyBorder="1" applyFont="1" applyNumberFormat="1">
      <alignment horizontal="center"/>
    </xf>
    <xf borderId="0" fillId="0" fontId="1" numFmtId="164" xfId="0" applyAlignment="1" applyFont="1" applyNumberFormat="1">
      <alignment horizontal="center" vertical="center"/>
    </xf>
    <xf borderId="0" fillId="0" fontId="2" numFmtId="3" xfId="0" applyAlignment="1" applyFont="1" applyNumberFormat="1">
      <alignment horizontal="left" vertical="center"/>
    </xf>
    <xf borderId="0" fillId="5" fontId="2" numFmtId="3" xfId="0" applyAlignment="1" applyFont="1" applyNumberFormat="1">
      <alignment horizontal="center" vertical="center"/>
    </xf>
    <xf borderId="0" fillId="5" fontId="2" numFmtId="166" xfId="0" applyAlignment="1" applyFont="1" applyNumberFormat="1">
      <alignment horizontal="center" vertical="center"/>
    </xf>
    <xf borderId="0" fillId="5" fontId="1" numFmtId="165" xfId="0" applyAlignment="1" applyFont="1" applyNumberFormat="1">
      <alignment horizontal="center" vertical="center"/>
    </xf>
    <xf borderId="0" fillId="2" fontId="1" numFmtId="165" xfId="0" applyAlignment="1" applyFont="1" applyNumberFormat="1">
      <alignment horizontal="center"/>
    </xf>
    <xf borderId="0" fillId="2" fontId="1" numFmtId="3" xfId="0" applyAlignment="1" applyFont="1" applyNumberFormat="1">
      <alignment horizontal="center"/>
    </xf>
    <xf borderId="0" fillId="0" fontId="9" numFmtId="164" xfId="0" applyAlignment="1" applyFont="1" applyNumberFormat="1">
      <alignment horizontal="center"/>
    </xf>
    <xf borderId="0" fillId="0" fontId="9" numFmtId="3" xfId="0" applyFont="1" applyNumberFormat="1"/>
    <xf borderId="0" fillId="5" fontId="9" numFmtId="3" xfId="0" applyAlignment="1" applyFont="1" applyNumberFormat="1">
      <alignment horizontal="center"/>
    </xf>
    <xf borderId="0" fillId="5" fontId="9" numFmtId="166" xfId="0" applyAlignment="1" applyFont="1" applyNumberFormat="1">
      <alignment horizontal="center"/>
    </xf>
    <xf borderId="0" fillId="5" fontId="9" numFmtId="165" xfId="0" applyAlignment="1" applyFont="1" applyNumberFormat="1">
      <alignment horizontal="center"/>
    </xf>
    <xf borderId="0" fillId="2" fontId="9" numFmtId="165" xfId="0" applyAlignment="1" applyFont="1" applyNumberFormat="1">
      <alignment horizontal="center"/>
    </xf>
    <xf borderId="0" fillId="2" fontId="9" numFmtId="3" xfId="0" applyAlignment="1" applyFont="1" applyNumberFormat="1">
      <alignment horizontal="center"/>
    </xf>
    <xf borderId="0" fillId="14" fontId="12" numFmtId="0" xfId="0" applyAlignment="1" applyFont="1">
      <alignment horizontal="right"/>
    </xf>
    <xf borderId="47" fillId="3" fontId="2" numFmtId="0" xfId="0" applyBorder="1" applyFont="1"/>
    <xf borderId="48" fillId="8" fontId="6" numFmtId="0" xfId="0" applyAlignment="1" applyBorder="1" applyFont="1">
      <alignment horizontal="right" readingOrder="0"/>
    </xf>
    <xf borderId="53" fillId="14" fontId="1" numFmtId="166" xfId="0" applyAlignment="1" applyBorder="1" applyFont="1" applyNumberFormat="1">
      <alignment horizontal="right"/>
    </xf>
    <xf borderId="56" fillId="3" fontId="2" numFmtId="165" xfId="0" applyAlignment="1" applyBorder="1" applyFont="1" applyNumberFormat="1">
      <alignment horizontal="right"/>
    </xf>
    <xf borderId="16" fillId="3" fontId="1" numFmtId="0" xfId="0" applyAlignment="1" applyBorder="1" applyFont="1">
      <alignment horizontal="center"/>
    </xf>
    <xf borderId="14" fillId="7" fontId="6" numFmtId="0" xfId="0" applyAlignment="1" applyBorder="1" applyFont="1">
      <alignment horizontal="right"/>
    </xf>
    <xf borderId="30" fillId="0" fontId="6" numFmtId="0" xfId="0" applyAlignment="1" applyBorder="1" applyFont="1">
      <alignment horizontal="right"/>
    </xf>
    <xf borderId="30" fillId="0" fontId="6" numFmtId="3" xfId="0" applyAlignment="1" applyBorder="1" applyFont="1" applyNumberFormat="1">
      <alignment horizontal="right"/>
    </xf>
    <xf borderId="13" fillId="8" fontId="3" numFmtId="0" xfId="0" applyAlignment="1" applyBorder="1" applyFont="1">
      <alignment horizontal="right"/>
    </xf>
    <xf borderId="20" fillId="3" fontId="6" numFmtId="0" xfId="0" applyAlignment="1" applyBorder="1" applyFont="1">
      <alignment horizontal="center"/>
    </xf>
    <xf borderId="0" fillId="0" fontId="2" numFmtId="10" xfId="0" applyAlignment="1" applyFont="1" applyNumberFormat="1">
      <alignment horizontal="right"/>
    </xf>
    <xf borderId="18" fillId="8" fontId="3" numFmtId="0" xfId="0" applyAlignment="1" applyBorder="1" applyFont="1">
      <alignment horizontal="right"/>
    </xf>
    <xf borderId="18" fillId="8" fontId="3" numFmtId="165" xfId="0" applyAlignment="1" applyBorder="1" applyFont="1" applyNumberFormat="1">
      <alignment horizontal="right"/>
    </xf>
    <xf borderId="20" fillId="3" fontId="6" numFmtId="165" xfId="0" applyAlignment="1" applyBorder="1" applyFont="1" applyNumberFormat="1">
      <alignment horizontal="center"/>
    </xf>
    <xf borderId="19" fillId="12" fontId="6" numFmtId="3" xfId="0" applyAlignment="1" applyBorder="1" applyFont="1" applyNumberFormat="1">
      <alignment horizontal="right"/>
    </xf>
    <xf borderId="18" fillId="8" fontId="3" numFmtId="3" xfId="0" applyAlignment="1" applyBorder="1" applyFont="1" applyNumberFormat="1">
      <alignment horizontal="right"/>
    </xf>
    <xf borderId="26" fillId="3" fontId="6" numFmtId="10" xfId="0" applyAlignment="1" applyBorder="1" applyFont="1" applyNumberFormat="1">
      <alignment horizontal="center"/>
    </xf>
    <xf borderId="23" fillId="8" fontId="3" numFmtId="165" xfId="0" applyAlignment="1" applyBorder="1" applyFont="1" applyNumberFormat="1">
      <alignment horizontal="right"/>
    </xf>
    <xf borderId="26" fillId="3" fontId="6" numFmtId="171" xfId="0" applyAlignment="1" applyBorder="1" applyFont="1" applyNumberFormat="1">
      <alignment horizontal="center"/>
    </xf>
    <xf borderId="16" fillId="3" fontId="6" numFmtId="0" xfId="0" applyAlignment="1" applyBorder="1" applyFont="1">
      <alignment horizontal="center"/>
    </xf>
    <xf borderId="4" fillId="15" fontId="1" numFmtId="171" xfId="0" applyAlignment="1" applyBorder="1" applyFont="1" applyNumberFormat="1">
      <alignment horizontal="right"/>
    </xf>
    <xf borderId="18" fillId="8" fontId="3" numFmtId="166" xfId="0" applyAlignment="1" applyBorder="1" applyFont="1" applyNumberFormat="1">
      <alignment horizontal="right"/>
    </xf>
    <xf borderId="26" fillId="3" fontId="6" numFmtId="165" xfId="0" applyAlignment="1" applyBorder="1" applyFont="1" applyNumberFormat="1">
      <alignment horizontal="center"/>
    </xf>
    <xf borderId="26" fillId="3" fontId="6" numFmtId="9" xfId="0" applyAlignment="1" applyBorder="1" applyFont="1" applyNumberFormat="1">
      <alignment horizontal="center"/>
    </xf>
    <xf borderId="13" fillId="19" fontId="12" numFmtId="0" xfId="0" applyAlignment="1" applyBorder="1" applyFont="1">
      <alignment horizontal="right"/>
    </xf>
    <xf borderId="16" fillId="3" fontId="9" numFmtId="0" xfId="0" applyBorder="1" applyFont="1"/>
    <xf borderId="14" fillId="7" fontId="12" numFmtId="0" xfId="0" applyAlignment="1" applyBorder="1" applyFont="1">
      <alignment horizontal="right"/>
    </xf>
    <xf borderId="14" fillId="7" fontId="12" numFmtId="3" xfId="0" applyAlignment="1" applyBorder="1" applyFont="1" applyNumberFormat="1">
      <alignment horizontal="right"/>
    </xf>
    <xf borderId="30" fillId="0" fontId="12" numFmtId="0" xfId="0" applyAlignment="1" applyBorder="1" applyFont="1">
      <alignment horizontal="right"/>
    </xf>
    <xf borderId="30" fillId="0" fontId="12" numFmtId="3" xfId="0" applyAlignment="1" applyBorder="1" applyFont="1" applyNumberFormat="1">
      <alignment horizontal="right"/>
    </xf>
    <xf borderId="15" fillId="12" fontId="12" numFmtId="0" xfId="0" applyAlignment="1" applyBorder="1" applyFont="1">
      <alignment horizontal="right"/>
    </xf>
    <xf borderId="13" fillId="8" fontId="12" numFmtId="0" xfId="0" applyAlignment="1" applyBorder="1" applyFont="1">
      <alignment horizontal="right"/>
    </xf>
    <xf borderId="17" fillId="0" fontId="9" numFmtId="0" xfId="0" applyBorder="1" applyFont="1"/>
    <xf borderId="18" fillId="3" fontId="12" numFmtId="0" xfId="0" applyAlignment="1" applyBorder="1" applyFont="1">
      <alignment horizontal="right"/>
    </xf>
    <xf borderId="20" fillId="3" fontId="9" numFmtId="0" xfId="0" applyBorder="1" applyFont="1"/>
    <xf borderId="4" fillId="7" fontId="9" numFmtId="10" xfId="0" applyAlignment="1" applyBorder="1" applyFont="1" applyNumberFormat="1">
      <alignment horizontal="right"/>
    </xf>
    <xf borderId="0" fillId="0" fontId="9" numFmtId="10" xfId="0" applyFont="1" applyNumberFormat="1"/>
    <xf borderId="0" fillId="0" fontId="9" numFmtId="10" xfId="0" applyAlignment="1" applyFont="1" applyNumberFormat="1">
      <alignment horizontal="right"/>
    </xf>
    <xf borderId="19" fillId="12" fontId="12" numFmtId="10" xfId="0" applyAlignment="1" applyBorder="1" applyFont="1" applyNumberFormat="1">
      <alignment horizontal="right"/>
    </xf>
    <xf borderId="18" fillId="8" fontId="12" numFmtId="0" xfId="0" applyAlignment="1" applyBorder="1" applyFont="1">
      <alignment horizontal="right"/>
    </xf>
    <xf borderId="0" fillId="0" fontId="9" numFmtId="165" xfId="0" applyFont="1" applyNumberFormat="1"/>
    <xf borderId="4" fillId="15" fontId="9" numFmtId="165" xfId="0" applyAlignment="1" applyBorder="1" applyFont="1" applyNumberFormat="1">
      <alignment horizontal="right"/>
    </xf>
    <xf borderId="21" fillId="0" fontId="12" numFmtId="165" xfId="0" applyAlignment="1" applyBorder="1" applyFont="1" applyNumberFormat="1">
      <alignment horizontal="right"/>
    </xf>
    <xf borderId="18" fillId="8" fontId="12" numFmtId="165" xfId="0" applyAlignment="1" applyBorder="1" applyFont="1" applyNumberFormat="1">
      <alignment horizontal="right"/>
    </xf>
    <xf borderId="19" fillId="12" fontId="9" numFmtId="9" xfId="0" applyAlignment="1" applyBorder="1" applyFont="1" applyNumberFormat="1">
      <alignment horizontal="right"/>
    </xf>
    <xf borderId="20" fillId="3" fontId="12" numFmtId="165" xfId="0" applyAlignment="1" applyBorder="1" applyFont="1" applyNumberFormat="1">
      <alignment horizontal="center"/>
    </xf>
    <xf borderId="4" fillId="15" fontId="9" numFmtId="3" xfId="0" applyAlignment="1" applyBorder="1" applyFont="1" applyNumberFormat="1">
      <alignment horizontal="right"/>
    </xf>
    <xf borderId="19" fillId="12" fontId="12" numFmtId="3" xfId="0" applyAlignment="1" applyBorder="1" applyFont="1" applyNumberFormat="1">
      <alignment horizontal="right"/>
    </xf>
    <xf borderId="18" fillId="8" fontId="12" numFmtId="3" xfId="0" applyAlignment="1" applyBorder="1" applyFont="1" applyNumberFormat="1">
      <alignment horizontal="right"/>
    </xf>
    <xf borderId="23" fillId="3" fontId="12" numFmtId="0" xfId="0" applyAlignment="1" applyBorder="1" applyFont="1">
      <alignment horizontal="right"/>
    </xf>
    <xf borderId="26" fillId="3" fontId="12" numFmtId="9" xfId="0" applyAlignment="1" applyBorder="1" applyFont="1" applyNumberFormat="1">
      <alignment horizontal="center"/>
    </xf>
    <xf borderId="24" fillId="3" fontId="9" numFmtId="165" xfId="0" applyBorder="1" applyFont="1" applyNumberFormat="1"/>
    <xf borderId="24" fillId="3" fontId="9" numFmtId="165" xfId="0" applyAlignment="1" applyBorder="1" applyFont="1" applyNumberFormat="1">
      <alignment horizontal="right"/>
    </xf>
    <xf borderId="25" fillId="12" fontId="12" numFmtId="165" xfId="0" applyAlignment="1" applyBorder="1" applyFont="1" applyNumberFormat="1">
      <alignment horizontal="right"/>
    </xf>
    <xf borderId="23" fillId="8" fontId="12" numFmtId="165" xfId="0" applyAlignment="1" applyBorder="1" applyFont="1" applyNumberFormat="1">
      <alignment horizontal="right"/>
    </xf>
    <xf borderId="25" fillId="12" fontId="9" numFmtId="9" xfId="0" applyAlignment="1" applyBorder="1" applyFont="1" applyNumberFormat="1">
      <alignment horizontal="right"/>
    </xf>
    <xf borderId="62" fillId="7" fontId="6" numFmtId="0" xfId="0" applyAlignment="1" applyBorder="1" applyFont="1">
      <alignment horizontal="right"/>
    </xf>
    <xf borderId="36" fillId="0" fontId="6" numFmtId="165" xfId="0" applyAlignment="1" applyBorder="1" applyFont="1" applyNumberFormat="1">
      <alignment horizontal="right"/>
    </xf>
    <xf borderId="36" fillId="0" fontId="6" numFmtId="175" xfId="0" applyAlignment="1" applyBorder="1" applyFont="1" applyNumberFormat="1">
      <alignment horizontal="right"/>
    </xf>
    <xf borderId="36" fillId="3" fontId="6" numFmtId="3" xfId="0" applyAlignment="1" applyBorder="1" applyFont="1" applyNumberFormat="1">
      <alignment horizontal="right"/>
    </xf>
    <xf borderId="36" fillId="3" fontId="6" numFmtId="175" xfId="0" applyAlignment="1" applyBorder="1" applyFont="1" applyNumberFormat="1">
      <alignment horizontal="right"/>
    </xf>
    <xf borderId="1" fillId="2" fontId="3" numFmtId="166" xfId="0" applyAlignment="1" applyBorder="1" applyFont="1" applyNumberFormat="1">
      <alignment horizontal="center"/>
    </xf>
    <xf borderId="6" fillId="4" fontId="15" numFmtId="165" xfId="0" applyAlignment="1" applyBorder="1" applyFont="1" applyNumberFormat="1">
      <alignment horizontal="center" shrinkToFit="0" vertical="center" wrapText="1"/>
    </xf>
    <xf borderId="7" fillId="2" fontId="3" numFmtId="166" xfId="0" applyAlignment="1" applyBorder="1" applyFont="1" applyNumberFormat="1">
      <alignment horizontal="center" vertical="center"/>
    </xf>
    <xf borderId="0" fillId="0" fontId="1" numFmtId="0" xfId="0" applyAlignment="1" applyFont="1">
      <alignment horizontal="right" vertical="center"/>
    </xf>
    <xf borderId="4" fillId="12" fontId="6" numFmtId="0" xfId="0" applyAlignment="1" applyBorder="1" applyFont="1">
      <alignment horizontal="right"/>
    </xf>
    <xf borderId="11" fillId="2" fontId="1" numFmtId="166" xfId="0" applyAlignment="1" applyBorder="1" applyFont="1" applyNumberFormat="1">
      <alignment horizontal="center"/>
    </xf>
    <xf borderId="13" fillId="3" fontId="6" numFmtId="0" xfId="0" applyAlignment="1" applyBorder="1" applyFont="1">
      <alignment horizontal="right"/>
    </xf>
    <xf borderId="18" fillId="8" fontId="3" numFmtId="10" xfId="0" applyAlignment="1" applyBorder="1" applyFont="1" applyNumberFormat="1">
      <alignment horizontal="right"/>
    </xf>
    <xf borderId="4" fillId="3" fontId="6" numFmtId="0" xfId="0" applyAlignment="1" applyBorder="1" applyFont="1">
      <alignment horizontal="right"/>
    </xf>
    <xf borderId="0" fillId="0" fontId="2" numFmtId="1" xfId="0" applyFont="1" applyNumberFormat="1"/>
    <xf borderId="28" fillId="2" fontId="1" numFmtId="166" xfId="0" applyAlignment="1" applyBorder="1" applyFont="1" applyNumberFormat="1">
      <alignment horizontal="center"/>
    </xf>
    <xf borderId="0" fillId="0" fontId="3" numFmtId="172" xfId="0" applyAlignment="1" applyFont="1" applyNumberFormat="1">
      <alignment horizontal="right"/>
    </xf>
    <xf borderId="0" fillId="0" fontId="2" numFmtId="176" xfId="0" applyFont="1" applyNumberFormat="1"/>
    <xf borderId="28" fillId="7" fontId="2" numFmtId="3" xfId="0" applyAlignment="1" applyBorder="1" applyFont="1" applyNumberFormat="1">
      <alignment horizontal="left" vertical="center"/>
    </xf>
    <xf borderId="13" fillId="21" fontId="6" numFmtId="0" xfId="0" applyAlignment="1" applyBorder="1" applyFill="1" applyFont="1">
      <alignment horizontal="right"/>
    </xf>
    <xf borderId="63" fillId="0" fontId="6" numFmtId="0" xfId="0" applyAlignment="1" applyBorder="1" applyFont="1">
      <alignment horizontal="right"/>
    </xf>
    <xf borderId="0" fillId="0" fontId="6" numFmtId="3" xfId="0" applyAlignment="1" applyFont="1" applyNumberFormat="1">
      <alignment horizontal="right"/>
    </xf>
    <xf borderId="0" fillId="0" fontId="3" numFmtId="3" xfId="0" applyAlignment="1" applyFont="1" applyNumberFormat="1">
      <alignment horizontal="right"/>
    </xf>
    <xf borderId="20" fillId="22" fontId="6" numFmtId="165" xfId="0" applyAlignment="1" applyBorder="1" applyFill="1" applyFont="1" applyNumberFormat="1">
      <alignment horizontal="center"/>
    </xf>
    <xf borderId="28" fillId="2" fontId="1" numFmtId="166" xfId="0" applyAlignment="1" applyBorder="1" applyFont="1" applyNumberFormat="1">
      <alignment horizontal="center" vertical="center"/>
    </xf>
    <xf borderId="13" fillId="23" fontId="6" numFmtId="0" xfId="0" applyAlignment="1" applyBorder="1" applyFill="1" applyFont="1">
      <alignment horizontal="right"/>
    </xf>
    <xf borderId="4" fillId="3" fontId="2" numFmtId="0" xfId="0" applyBorder="1" applyFont="1"/>
    <xf borderId="28" fillId="18" fontId="1" numFmtId="166" xfId="0" applyAlignment="1" applyBorder="1" applyFont="1" applyNumberFormat="1">
      <alignment horizontal="center"/>
    </xf>
    <xf borderId="28" fillId="0" fontId="1" numFmtId="164" xfId="0" applyAlignment="1" applyBorder="1" applyFont="1" applyNumberFormat="1">
      <alignment horizontal="center" vertical="center"/>
    </xf>
    <xf borderId="34" fillId="2" fontId="1" numFmtId="166" xfId="0" applyAlignment="1" applyBorder="1" applyFont="1" applyNumberFormat="1">
      <alignment horizontal="center"/>
    </xf>
    <xf borderId="0" fillId="0" fontId="9" numFmtId="166" xfId="0" applyFont="1" applyNumberFormat="1"/>
    <xf borderId="4" fillId="3" fontId="2" numFmtId="0" xfId="0" applyAlignment="1" applyBorder="1" applyFont="1">
      <alignment horizontal="right"/>
    </xf>
    <xf borderId="18" fillId="8" fontId="3" numFmtId="9" xfId="0" applyAlignment="1" applyBorder="1" applyFont="1" applyNumberFormat="1">
      <alignment horizontal="right"/>
    </xf>
    <xf borderId="0" fillId="0" fontId="2" numFmtId="166" xfId="0" applyFont="1" applyNumberFormat="1"/>
    <xf borderId="4" fillId="7" fontId="2" numFmtId="0" xfId="0" applyBorder="1" applyFont="1"/>
    <xf borderId="36" fillId="12" fontId="6" numFmtId="0" xfId="0" applyAlignment="1" applyBorder="1" applyFont="1">
      <alignment horizontal="right"/>
    </xf>
    <xf borderId="36" fillId="24" fontId="6" numFmtId="0" xfId="0" applyAlignment="1" applyBorder="1" applyFill="1" applyFont="1">
      <alignment horizontal="right"/>
    </xf>
    <xf borderId="36" fillId="25" fontId="6" numFmtId="0" xfId="0" applyAlignment="1" applyBorder="1" applyFill="1" applyFont="1">
      <alignment horizontal="right"/>
    </xf>
    <xf borderId="0" fillId="0" fontId="2" numFmtId="49" xfId="0" applyAlignment="1" applyFont="1" applyNumberFormat="1">
      <alignment horizontal="left" shrinkToFit="0" vertical="top" wrapText="1"/>
    </xf>
    <xf borderId="36" fillId="3" fontId="6" numFmtId="0" xfId="0" applyAlignment="1" applyBorder="1" applyFont="1">
      <alignment horizontal="right"/>
    </xf>
    <xf borderId="4" fillId="3" fontId="9" numFmtId="0" xfId="0" applyBorder="1" applyFont="1"/>
    <xf borderId="0" fillId="0" fontId="2" numFmtId="9" xfId="0" applyAlignment="1" applyFont="1" applyNumberFormat="1">
      <alignment horizontal="center"/>
    </xf>
    <xf borderId="17" fillId="0" fontId="3" numFmtId="9" xfId="0" applyAlignment="1" applyBorder="1" applyFont="1" applyNumberFormat="1">
      <alignment horizontal="center"/>
    </xf>
    <xf borderId="21" fillId="0" fontId="2" numFmtId="9" xfId="0" applyAlignment="1" applyBorder="1" applyFont="1" applyNumberFormat="1">
      <alignment horizontal="center"/>
    </xf>
    <xf borderId="21" fillId="0" fontId="6" numFmtId="166" xfId="0" applyAlignment="1" applyBorder="1" applyFont="1" applyNumberFormat="1">
      <alignment horizontal="right"/>
    </xf>
    <xf borderId="17" fillId="0" fontId="2" numFmtId="9" xfId="0" applyAlignment="1" applyBorder="1" applyFont="1" applyNumberFormat="1">
      <alignment horizontal="center"/>
    </xf>
    <xf borderId="2" fillId="0" fontId="2" numFmtId="9" xfId="0" applyAlignment="1" applyBorder="1" applyFont="1" applyNumberFormat="1">
      <alignment horizontal="center"/>
    </xf>
    <xf borderId="36" fillId="0" fontId="6" numFmtId="10" xfId="0" applyAlignment="1" applyBorder="1" applyFont="1" applyNumberFormat="1">
      <alignment horizontal="right"/>
    </xf>
    <xf borderId="0" fillId="0" fontId="9" numFmtId="9" xfId="0" applyAlignment="1" applyFont="1" applyNumberFormat="1">
      <alignment horizontal="center"/>
    </xf>
    <xf borderId="0" fillId="0" fontId="9" numFmtId="172" xfId="0" applyFont="1" applyNumberFormat="1"/>
    <xf borderId="23" fillId="8" fontId="9" numFmtId="165" xfId="0" applyBorder="1" applyFont="1" applyNumberFormat="1"/>
    <xf borderId="18" fillId="8" fontId="12" numFmtId="166" xfId="0" applyAlignment="1" applyBorder="1" applyFont="1" applyNumberFormat="1">
      <alignment horizontal="right"/>
    </xf>
    <xf borderId="0" fillId="0" fontId="9" numFmtId="1" xfId="0" applyFont="1" applyNumberFormat="1"/>
    <xf borderId="18" fillId="8" fontId="9" numFmtId="165" xfId="0" applyBorder="1" applyFont="1" applyNumberFormat="1"/>
    <xf borderId="18" fillId="8" fontId="9" numFmtId="3" xfId="0" applyBorder="1" applyFont="1" applyNumberFormat="1"/>
    <xf borderId="0" fillId="0" fontId="9" numFmtId="0" xfId="0" applyAlignment="1" applyFont="1">
      <alignment horizontal="center"/>
    </xf>
    <xf borderId="64" fillId="26" fontId="12" numFmtId="0" xfId="0" applyAlignment="1" applyBorder="1" applyFill="1" applyFont="1">
      <alignment horizontal="center"/>
    </xf>
    <xf borderId="65" fillId="26" fontId="12" numFmtId="0" xfId="0" applyAlignment="1" applyBorder="1" applyFont="1">
      <alignment horizontal="center"/>
    </xf>
    <xf borderId="66" fillId="26" fontId="12" numFmtId="0" xfId="0" applyBorder="1" applyFont="1"/>
    <xf borderId="67" fillId="0" fontId="9" numFmtId="0" xfId="0" applyAlignment="1" applyBorder="1" applyFont="1">
      <alignment horizontal="left"/>
    </xf>
    <xf borderId="0" fillId="0" fontId="9" numFmtId="165" xfId="0" applyAlignment="1" applyFont="1" applyNumberFormat="1">
      <alignment horizontal="center"/>
    </xf>
    <xf borderId="68" fillId="0" fontId="9" numFmtId="0" xfId="0" applyBorder="1" applyFont="1"/>
    <xf borderId="69" fillId="0" fontId="9" numFmtId="0" xfId="0" applyAlignment="1" applyBorder="1" applyFont="1">
      <alignment horizontal="left"/>
    </xf>
    <xf borderId="29" fillId="0" fontId="9" numFmtId="0" xfId="0" applyBorder="1" applyFont="1"/>
    <xf borderId="70" fillId="0" fontId="12" numFmtId="0" xfId="0" applyAlignment="1" applyBorder="1" applyFont="1">
      <alignment horizontal="left"/>
    </xf>
    <xf borderId="34" fillId="0" fontId="12" numFmtId="9" xfId="0" applyAlignment="1" applyBorder="1" applyFont="1" applyNumberFormat="1">
      <alignment horizontal="center"/>
    </xf>
    <xf borderId="71" fillId="0" fontId="12" numFmtId="165" xfId="0" applyAlignment="1" applyBorder="1" applyFont="1" applyNumberFormat="1">
      <alignment horizontal="center"/>
    </xf>
    <xf borderId="35" fillId="0" fontId="12" numFmtId="0" xfId="0" applyBorder="1" applyFont="1"/>
  </cellXfs>
  <cellStyles count="1">
    <cellStyle xfId="0" name="Normal" builtinId="0"/>
  </cellStyles>
  <dxfs count="3">
    <dxf>
      <font/>
      <fill>
        <patternFill patternType="solid">
          <fgColor rgb="FFFAE2D5"/>
          <bgColor rgb="FFFAE2D5"/>
        </patternFill>
      </fill>
      <border/>
    </dxf>
    <dxf>
      <font/>
      <fill>
        <patternFill patternType="solid">
          <fgColor rgb="FFD9F2D0"/>
          <bgColor rgb="FFD9F2D0"/>
        </patternFill>
      </fill>
      <border/>
    </dxf>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0.71"/>
    <col customWidth="1" min="11" max="11" width="7.29"/>
    <col customWidth="1" min="12" max="12" width="15.14"/>
    <col customWidth="1" min="13" max="13" width="11.57"/>
    <col customWidth="1" min="14" max="14" width="15.0"/>
    <col customWidth="1" min="15" max="15" width="16.86"/>
    <col customWidth="1" min="16" max="16" width="15.43"/>
    <col customWidth="1" min="17" max="17" width="15.14"/>
    <col customWidth="1" min="18" max="19" width="16.43"/>
    <col customWidth="1" min="20" max="20" width="15.86"/>
    <col customWidth="1" min="21" max="22" width="16.43"/>
    <col customWidth="1" min="23" max="23" width="15.29"/>
    <col customWidth="1" min="24" max="24" width="16.14"/>
    <col customWidth="1" min="25" max="25" width="14.86"/>
    <col customWidth="1" min="26" max="27" width="15.57"/>
    <col customWidth="1" min="28" max="29" width="17.0"/>
    <col customWidth="1" min="30" max="30" width="15.14"/>
    <col customWidth="1" min="31" max="31" width="15.0"/>
    <col customWidth="1" min="32" max="32" width="14.57"/>
    <col customWidth="1" min="35" max="35" width="15.43"/>
    <col hidden="1" min="36" max="37" width="14.43"/>
    <col customWidth="1" hidden="1" min="38" max="38" width="15.14"/>
    <col hidden="1" min="39" max="40" width="14.43"/>
    <col customWidth="1" hidden="1" min="41" max="43" width="15.43"/>
    <col customWidth="1" hidden="1" min="44" max="44" width="15.57"/>
    <col hidden="1" min="45" max="46" width="14.43"/>
    <col customWidth="1" hidden="1" min="47" max="47" width="15.43"/>
    <col hidden="1" min="48" max="48" width="14.43"/>
    <col customWidth="1" hidden="1" min="49" max="49" width="12.57"/>
    <col customWidth="1" hidden="1" min="50" max="51" width="18.57"/>
    <col hidden="1" min="52" max="52" width="14.43"/>
    <col customWidth="1" hidden="1" min="53" max="53" width="18.57"/>
    <col customWidth="1" hidden="1" min="54" max="55" width="15.57"/>
    <col hidden="1" min="56" max="57" width="14.43"/>
    <col customWidth="1" hidden="1" min="58" max="59" width="15.43"/>
    <col customWidth="1" min="62" max="62" width="18.57"/>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3"/>
      <c r="AB1" s="3"/>
      <c r="AC1" s="3"/>
      <c r="AD1" s="3"/>
      <c r="AE1" s="3"/>
      <c r="AF1" s="3"/>
    </row>
    <row r="2" ht="15.75" customHeight="1">
      <c r="A2" s="1"/>
      <c r="B2" s="2"/>
      <c r="C2" s="16" t="s">
        <v>1</v>
      </c>
      <c r="D2" s="17" t="s">
        <v>2</v>
      </c>
      <c r="E2" s="18" t="s">
        <v>3</v>
      </c>
      <c r="F2" s="19" t="s">
        <v>4</v>
      </c>
      <c r="G2" s="20" t="s">
        <v>5</v>
      </c>
      <c r="H2" s="20" t="s">
        <v>6</v>
      </c>
      <c r="I2" s="20" t="s">
        <v>7</v>
      </c>
      <c r="J2" s="21"/>
      <c r="K2" s="22"/>
      <c r="L2" s="21"/>
      <c r="M2" s="21"/>
      <c r="N2" s="11"/>
      <c r="O2" s="11"/>
      <c r="P2" s="11"/>
      <c r="Q2" s="23"/>
      <c r="R2" s="24"/>
      <c r="S2" s="11"/>
      <c r="T2" s="11"/>
      <c r="U2" s="11"/>
      <c r="V2" s="11"/>
      <c r="W2" s="12"/>
      <c r="X2" s="13"/>
      <c r="Y2" s="14"/>
      <c r="Z2" s="15"/>
      <c r="AA2" s="3"/>
      <c r="AB2" s="3"/>
      <c r="AC2" s="3"/>
      <c r="AD2" s="3"/>
      <c r="AE2" s="3"/>
      <c r="AF2" s="3"/>
      <c r="AX2" s="25"/>
    </row>
    <row r="3">
      <c r="A3" s="1"/>
      <c r="B3" s="26">
        <v>1.0</v>
      </c>
      <c r="C3" s="27" t="s">
        <v>8</v>
      </c>
      <c r="D3" s="28"/>
      <c r="E3" s="29"/>
      <c r="F3" s="30"/>
      <c r="G3" s="31">
        <v>3.442912982002714E7</v>
      </c>
      <c r="H3" s="32">
        <v>329237.0</v>
      </c>
      <c r="I3" s="33">
        <v>104.57248067509771</v>
      </c>
      <c r="J3" s="34" t="s">
        <v>9</v>
      </c>
      <c r="K3" s="35"/>
      <c r="L3" s="36" t="s">
        <v>10</v>
      </c>
      <c r="M3" s="37" t="s">
        <v>11</v>
      </c>
      <c r="N3" s="38" t="s">
        <v>12</v>
      </c>
      <c r="O3" s="39" t="s">
        <v>13</v>
      </c>
      <c r="P3" s="40" t="s">
        <v>14</v>
      </c>
      <c r="Q3" s="41" t="s">
        <v>15</v>
      </c>
      <c r="R3" s="38" t="s">
        <v>16</v>
      </c>
      <c r="S3" s="42" t="s">
        <v>17</v>
      </c>
      <c r="T3" s="43" t="s">
        <v>18</v>
      </c>
      <c r="U3" s="37" t="s">
        <v>19</v>
      </c>
      <c r="V3" s="38" t="s">
        <v>20</v>
      </c>
      <c r="W3" s="39" t="s">
        <v>21</v>
      </c>
      <c r="X3" s="44" t="s">
        <v>22</v>
      </c>
      <c r="Y3" s="41" t="s">
        <v>23</v>
      </c>
      <c r="Z3" s="38" t="s">
        <v>24</v>
      </c>
      <c r="AA3" s="45" t="s">
        <v>25</v>
      </c>
      <c r="AB3" s="43" t="s">
        <v>26</v>
      </c>
      <c r="AC3" s="41" t="s">
        <v>27</v>
      </c>
      <c r="AD3" s="38" t="s">
        <v>28</v>
      </c>
      <c r="AE3" s="45" t="s">
        <v>29</v>
      </c>
      <c r="AF3" s="44" t="s">
        <v>30</v>
      </c>
      <c r="AG3" s="41" t="s">
        <v>31</v>
      </c>
      <c r="AH3" s="38" t="s">
        <v>32</v>
      </c>
      <c r="AI3" s="45" t="s">
        <v>33</v>
      </c>
      <c r="AJ3" s="43" t="s">
        <v>34</v>
      </c>
      <c r="AK3" s="41" t="s">
        <v>35</v>
      </c>
      <c r="AL3" s="38" t="s">
        <v>36</v>
      </c>
      <c r="AM3" s="45" t="s">
        <v>37</v>
      </c>
      <c r="AN3" s="44" t="s">
        <v>38</v>
      </c>
      <c r="AO3" s="41" t="s">
        <v>39</v>
      </c>
      <c r="AP3" s="38" t="s">
        <v>40</v>
      </c>
      <c r="AQ3" s="45" t="s">
        <v>41</v>
      </c>
      <c r="AR3" s="43" t="s">
        <v>42</v>
      </c>
      <c r="AS3" s="41" t="s">
        <v>43</v>
      </c>
      <c r="AT3" s="38" t="s">
        <v>44</v>
      </c>
      <c r="AU3" s="45" t="s">
        <v>45</v>
      </c>
      <c r="AV3" s="44" t="s">
        <v>46</v>
      </c>
      <c r="AW3" s="41" t="s">
        <v>47</v>
      </c>
      <c r="AX3" s="38" t="s">
        <v>48</v>
      </c>
      <c r="AY3" s="45" t="s">
        <v>49</v>
      </c>
      <c r="AZ3" s="43" t="s">
        <v>50</v>
      </c>
      <c r="BA3" s="41" t="s">
        <v>51</v>
      </c>
      <c r="BB3" s="38" t="s">
        <v>52</v>
      </c>
      <c r="BC3" s="45" t="s">
        <v>53</v>
      </c>
      <c r="BD3" s="44" t="s">
        <v>54</v>
      </c>
      <c r="BE3" s="41" t="s">
        <v>55</v>
      </c>
      <c r="BF3" s="38" t="s">
        <v>56</v>
      </c>
      <c r="BG3" s="45" t="s">
        <v>57</v>
      </c>
      <c r="BH3" s="46">
        <v>2026.0</v>
      </c>
      <c r="BI3" s="37" t="s">
        <v>58</v>
      </c>
      <c r="BJ3" s="47" t="s">
        <v>59</v>
      </c>
      <c r="BK3" s="48">
        <v>2025.0</v>
      </c>
      <c r="BL3" s="49" t="s">
        <v>60</v>
      </c>
      <c r="BM3" s="3"/>
      <c r="BN3" s="3"/>
      <c r="BO3" s="3"/>
      <c r="BP3" s="3"/>
      <c r="BQ3" s="3"/>
      <c r="BR3" s="3"/>
    </row>
    <row r="4">
      <c r="A4" s="1"/>
      <c r="B4" s="26"/>
      <c r="C4" s="27"/>
      <c r="D4" s="28"/>
      <c r="E4" s="29"/>
      <c r="F4" s="30"/>
      <c r="G4" s="31"/>
      <c r="H4" s="32"/>
      <c r="I4" s="33"/>
      <c r="J4" s="50" t="s">
        <v>61</v>
      </c>
      <c r="K4" s="51"/>
      <c r="L4" s="52" t="s">
        <v>60</v>
      </c>
      <c r="M4" s="53" t="s">
        <v>60</v>
      </c>
      <c r="N4" s="54" t="s">
        <v>60</v>
      </c>
      <c r="O4" s="55" t="s">
        <v>62</v>
      </c>
      <c r="P4" s="56" t="s">
        <v>60</v>
      </c>
      <c r="Q4" s="53" t="s">
        <v>60</v>
      </c>
      <c r="R4" s="54" t="s">
        <v>60</v>
      </c>
      <c r="S4" s="57" t="s">
        <v>62</v>
      </c>
      <c r="T4" s="58">
        <v>0.04</v>
      </c>
      <c r="U4" s="59">
        <f>U5/(BH5-(L5 + P5))</f>
        <v>0.1186525251</v>
      </c>
      <c r="V4" s="54" t="s">
        <v>60</v>
      </c>
      <c r="W4" s="55" t="s">
        <v>62</v>
      </c>
      <c r="X4" s="58">
        <v>0.06</v>
      </c>
      <c r="Y4" s="59">
        <f>Y5/(BH5-(L5+P5))</f>
        <v>0.08226236219</v>
      </c>
      <c r="Z4" s="54" t="s">
        <v>60</v>
      </c>
      <c r="AA4" s="55" t="s">
        <v>62</v>
      </c>
      <c r="AB4" s="58">
        <v>0.08</v>
      </c>
      <c r="AC4" s="59">
        <f>AC5/(BH5-(L5+P5))</f>
        <v>0.07963860664</v>
      </c>
      <c r="AD4" s="54" t="s">
        <v>60</v>
      </c>
      <c r="AE4" s="55" t="s">
        <v>62</v>
      </c>
      <c r="AF4" s="58">
        <v>0.08</v>
      </c>
      <c r="AG4" s="59">
        <f>AG5/(BH5-(L5+P5))</f>
        <v>0.04148654761</v>
      </c>
      <c r="AH4" s="54" t="s">
        <v>60</v>
      </c>
      <c r="AI4" s="55" t="s">
        <v>62</v>
      </c>
      <c r="AJ4" s="58">
        <v>0.1</v>
      </c>
      <c r="AK4" s="59">
        <f>AK5/(BH5-(L5+P5))</f>
        <v>0</v>
      </c>
      <c r="AL4" s="54" t="s">
        <v>60</v>
      </c>
      <c r="AM4" s="55" t="s">
        <v>62</v>
      </c>
      <c r="AN4" s="58">
        <v>0.06</v>
      </c>
      <c r="AO4" s="59">
        <f>AO5/(BH5-(L5+P5))</f>
        <v>0</v>
      </c>
      <c r="AP4" s="54" t="s">
        <v>60</v>
      </c>
      <c r="AQ4" s="55" t="s">
        <v>62</v>
      </c>
      <c r="AR4" s="58">
        <v>0.14</v>
      </c>
      <c r="AS4" s="59">
        <f>AS5/(BH5-(L5+P5))</f>
        <v>0</v>
      </c>
      <c r="AT4" s="54" t="s">
        <v>60</v>
      </c>
      <c r="AU4" s="55" t="s">
        <v>62</v>
      </c>
      <c r="AV4" s="58">
        <v>0.14</v>
      </c>
      <c r="AW4" s="59">
        <f>AW5/(BH5-(L5+P5))</f>
        <v>0</v>
      </c>
      <c r="AX4" s="54" t="s">
        <v>60</v>
      </c>
      <c r="AY4" s="55" t="s">
        <v>62</v>
      </c>
      <c r="AZ4" s="58">
        <v>0.16</v>
      </c>
      <c r="BA4" s="59">
        <f>BA5/(BH5-(L5+P5))</f>
        <v>0</v>
      </c>
      <c r="BB4" s="54" t="s">
        <v>60</v>
      </c>
      <c r="BC4" s="55" t="s">
        <v>62</v>
      </c>
      <c r="BD4" s="58">
        <v>0.14</v>
      </c>
      <c r="BE4" s="59">
        <f>BE5/(CI5-(AV5 + AZ5))</f>
        <v>0</v>
      </c>
      <c r="BF4" s="54" t="s">
        <v>60</v>
      </c>
      <c r="BG4" s="55" t="s">
        <v>62</v>
      </c>
      <c r="BH4" s="60">
        <f t="shared" ref="BH4:BI4" si="1">SUM(T4,X4,AB4,AF4,AJ4,AN4,AR4,AV4,AZ4,BD4)</f>
        <v>1</v>
      </c>
      <c r="BI4" s="61">
        <f t="shared" si="1"/>
        <v>0.3220400415</v>
      </c>
      <c r="BJ4" s="62"/>
      <c r="BK4" s="63"/>
      <c r="BL4" s="64"/>
      <c r="BM4" s="3"/>
      <c r="BN4" s="3"/>
      <c r="BO4" s="3"/>
      <c r="BP4" s="3"/>
      <c r="BQ4" s="3"/>
      <c r="BR4" s="3"/>
    </row>
    <row r="5">
      <c r="A5" s="1"/>
      <c r="B5" s="26"/>
      <c r="C5" s="27"/>
      <c r="D5" s="28"/>
      <c r="E5" s="29"/>
      <c r="F5" s="30"/>
      <c r="G5" s="31"/>
      <c r="H5" s="32"/>
      <c r="I5" s="33"/>
      <c r="J5" s="50" t="s">
        <v>63</v>
      </c>
      <c r="K5" s="51"/>
      <c r="L5" s="65">
        <v>2864120.0</v>
      </c>
      <c r="M5" s="66">
        <v>3131157.88</v>
      </c>
      <c r="N5" s="67">
        <f t="shared" ref="N5:N8" si="2">IFERROR(M5-L5,"-")</f>
        <v>267037.88</v>
      </c>
      <c r="O5" s="68">
        <f t="shared" ref="O5:O8" si="3">IFERROR(M5/L5-1,"-")</f>
        <v>0.09323557672</v>
      </c>
      <c r="P5" s="69">
        <v>2553655.0</v>
      </c>
      <c r="Q5" s="66">
        <v>2769592.71</v>
      </c>
      <c r="R5" s="67">
        <f t="shared" ref="R5:R8" si="4">IFERROR(Q5-P5,"-")</f>
        <v>215937.71</v>
      </c>
      <c r="S5" s="70">
        <f t="shared" ref="S5:S8" si="5">IFERROR(Q5/P5-1,"-")</f>
        <v>0.08456025187</v>
      </c>
      <c r="T5" s="71">
        <f>($BH$5-($L$5+$P$5))*T4</f>
        <v>1783289</v>
      </c>
      <c r="U5" s="66">
        <v>5289793.57</v>
      </c>
      <c r="V5" s="67">
        <f t="shared" ref="V5:V8" si="6">IFERROR(U5-T5,"-")</f>
        <v>3506504.57</v>
      </c>
      <c r="W5" s="68">
        <f t="shared" ref="W5:W8" si="7">IFERROR(U5/T5-1,"-")</f>
        <v>1.966313127</v>
      </c>
      <c r="X5" s="71">
        <f>($BH$5-($L$5+$P$5))*X4</f>
        <v>2674933.5</v>
      </c>
      <c r="Y5" s="72">
        <v>3667439.14</v>
      </c>
      <c r="Z5" s="67">
        <f t="shared" ref="Z5:Z8" si="8">IFERROR(Y5-X5,"-")</f>
        <v>992505.64</v>
      </c>
      <c r="AA5" s="68">
        <f t="shared" ref="AA5:AA8" si="9">IFERROR(Y5/X5-1,"-")</f>
        <v>0.3710393698</v>
      </c>
      <c r="AB5" s="71">
        <f>($BH$5-($L$5+$P$5))*AB4</f>
        <v>3566578</v>
      </c>
      <c r="AC5" s="66">
        <v>3550466.28</v>
      </c>
      <c r="AD5" s="67">
        <f t="shared" ref="AD5:AD8" si="10">IFERROR(AC5-AB5,"-")</f>
        <v>-16111.72</v>
      </c>
      <c r="AE5" s="68">
        <f t="shared" ref="AE5:AE8" si="11">IFERROR(AC5/AB5-1,"-")</f>
        <v>-0.004517416975</v>
      </c>
      <c r="AF5" s="71">
        <f>($BH$5-($L$5+$P$5))*AF4</f>
        <v>3566578</v>
      </c>
      <c r="AG5" s="73">
        <v>1849562.6</v>
      </c>
      <c r="AH5" s="67">
        <f t="shared" ref="AH5:AH8" si="12">IFERROR(AG5-AF5,"-")</f>
        <v>-1717015.4</v>
      </c>
      <c r="AI5" s="68">
        <f t="shared" ref="AI5:AI8" si="13">IFERROR(AG5/AF5-1,"-")</f>
        <v>-0.4814181549</v>
      </c>
      <c r="AJ5" s="71">
        <f>($BH$5-($L$5+$P$5))*AJ4</f>
        <v>4458222.5</v>
      </c>
      <c r="AK5" s="66"/>
      <c r="AL5" s="67">
        <f t="shared" ref="AL5:AL8" si="14">IFERROR(AK5-AJ5,"-")</f>
        <v>-4458222.5</v>
      </c>
      <c r="AM5" s="68">
        <f t="shared" ref="AM5:AM8" si="15">IFERROR(AK5/AJ5-1,"-")</f>
        <v>-1</v>
      </c>
      <c r="AN5" s="71">
        <f>($BH$5-($L$5+$P$5))*AN4</f>
        <v>2674933.5</v>
      </c>
      <c r="AO5" s="66"/>
      <c r="AP5" s="67">
        <f t="shared" ref="AP5:AP8" si="16">IFERROR(AO5-AN5,"-")</f>
        <v>-2674933.5</v>
      </c>
      <c r="AQ5" s="68">
        <f t="shared" ref="AQ5:AQ8" si="17">IFERROR(AO5/AN5-1,"-")</f>
        <v>-1</v>
      </c>
      <c r="AR5" s="71">
        <f>($BH$5-($L$5+$P$5))*AR4</f>
        <v>6241511.5</v>
      </c>
      <c r="AS5" s="66"/>
      <c r="AT5" s="67">
        <f t="shared" ref="AT5:AT8" si="18">IFERROR(AS5-AR5,"-")</f>
        <v>-6241511.5</v>
      </c>
      <c r="AU5" s="68">
        <f t="shared" ref="AU5:AU8" si="19">IFERROR(AS5/AR5-1,"-")</f>
        <v>-1</v>
      </c>
      <c r="AV5" s="71">
        <f>($BH$5-($L$5+$P$5))*AV4</f>
        <v>6241511.5</v>
      </c>
      <c r="AW5" s="66"/>
      <c r="AX5" s="67">
        <f t="shared" ref="AX5:AX8" si="20">IFERROR(AW5-AV5,"-")</f>
        <v>-6241511.5</v>
      </c>
      <c r="AY5" s="68">
        <f t="shared" ref="AY5:AY8" si="21">IFERROR(AW5/AV5-1,"-")</f>
        <v>-1</v>
      </c>
      <c r="AZ5" s="71">
        <f>($BH$5-($L$5+$P$5))*AZ4</f>
        <v>7133156</v>
      </c>
      <c r="BA5" s="66"/>
      <c r="BB5" s="67">
        <f t="shared" ref="BB5:BB8" si="22">IFERROR(BA5-AZ5,"-")</f>
        <v>-7133156</v>
      </c>
      <c r="BC5" s="68">
        <f t="shared" ref="BC5:BC8" si="23">IFERROR(BA5/AZ5-1,"-")</f>
        <v>-1</v>
      </c>
      <c r="BD5" s="71">
        <f>($BH$5-($L$5+$P$5))*BD4</f>
        <v>6241511.5</v>
      </c>
      <c r="BE5" s="66"/>
      <c r="BF5" s="67">
        <f t="shared" ref="BF5:BF8" si="24">IFERROR(BE5-BD5,"-")</f>
        <v>-6241511.5</v>
      </c>
      <c r="BG5" s="68">
        <f t="shared" ref="BG5:BG8" si="25">IFERROR(BE5/BD5-1,"-")</f>
        <v>-1</v>
      </c>
      <c r="BH5" s="74">
        <v>5.0E7</v>
      </c>
      <c r="BI5" s="75">
        <f>SUM(M5,Q5,U5,Y5,AC5,AG5,AK5,AO5,AS5,AW5,BA5,BE5)</f>
        <v>20258012.18</v>
      </c>
      <c r="BJ5" s="76">
        <f>IFERROR(BI5/BH5-1,"-")</f>
        <v>-0.5948397564</v>
      </c>
      <c r="BK5" s="77">
        <v>3.46450673E7</v>
      </c>
      <c r="BL5" s="78">
        <f t="shared" ref="BL5:BL8" si="27">BH5/BK5-1</f>
        <v>0.4432068949</v>
      </c>
      <c r="BM5" s="3"/>
      <c r="BN5" s="3"/>
      <c r="BO5" s="3"/>
      <c r="BP5" s="3"/>
      <c r="BQ5" s="3"/>
      <c r="BR5" s="3"/>
    </row>
    <row r="6">
      <c r="A6" s="1"/>
      <c r="B6" s="26"/>
      <c r="C6" s="27"/>
      <c r="D6" s="28"/>
      <c r="E6" s="29"/>
      <c r="F6" s="30"/>
      <c r="G6" s="31"/>
      <c r="H6" s="32"/>
      <c r="I6" s="33"/>
      <c r="J6" s="50" t="s">
        <v>64</v>
      </c>
      <c r="K6" s="79"/>
      <c r="L6" s="80">
        <v>33527.0</v>
      </c>
      <c r="M6" s="81">
        <v>33320.0</v>
      </c>
      <c r="N6" s="82">
        <f t="shared" si="2"/>
        <v>-207</v>
      </c>
      <c r="O6" s="68">
        <f t="shared" si="3"/>
        <v>-0.006174128314</v>
      </c>
      <c r="P6" s="83">
        <v>28807.0</v>
      </c>
      <c r="Q6" s="81">
        <v>28740.0</v>
      </c>
      <c r="R6" s="82">
        <f t="shared" si="4"/>
        <v>-67</v>
      </c>
      <c r="S6" s="70">
        <f t="shared" si="5"/>
        <v>-0.002325823585</v>
      </c>
      <c r="T6" s="84">
        <f>T5/$K$7</f>
        <v>19814.32222</v>
      </c>
      <c r="U6" s="81">
        <v>41947.0</v>
      </c>
      <c r="V6" s="82">
        <f t="shared" si="6"/>
        <v>22132.67778</v>
      </c>
      <c r="W6" s="68">
        <f t="shared" si="7"/>
        <v>1.11700403</v>
      </c>
      <c r="X6" s="84">
        <f>X5/$K$7</f>
        <v>29721.48333</v>
      </c>
      <c r="Y6" s="81">
        <v>37395.0</v>
      </c>
      <c r="Z6" s="82">
        <f t="shared" si="8"/>
        <v>7673.516667</v>
      </c>
      <c r="AA6" s="68">
        <f t="shared" si="9"/>
        <v>0.2581808109</v>
      </c>
      <c r="AB6" s="84">
        <f>AB5/$K$7</f>
        <v>39628.64444</v>
      </c>
      <c r="AC6" s="81">
        <v>35712.0</v>
      </c>
      <c r="AD6" s="82">
        <f t="shared" si="10"/>
        <v>-3916.644444</v>
      </c>
      <c r="AE6" s="68">
        <f t="shared" si="11"/>
        <v>-0.09883367194</v>
      </c>
      <c r="AF6" s="84">
        <f>AF5/$K$7</f>
        <v>39628.64444</v>
      </c>
      <c r="AG6" s="85">
        <v>21712.0</v>
      </c>
      <c r="AH6" s="82">
        <f t="shared" si="12"/>
        <v>-17916.64444</v>
      </c>
      <c r="AI6" s="68">
        <f t="shared" si="13"/>
        <v>-0.4521134824</v>
      </c>
      <c r="AJ6" s="84">
        <f>AJ5/$K$7</f>
        <v>49535.80556</v>
      </c>
      <c r="AK6" s="81"/>
      <c r="AL6" s="82">
        <f t="shared" si="14"/>
        <v>-49535.80556</v>
      </c>
      <c r="AM6" s="68">
        <f t="shared" si="15"/>
        <v>-1</v>
      </c>
      <c r="AN6" s="84">
        <f>AN5/$K$7</f>
        <v>29721.48333</v>
      </c>
      <c r="AO6" s="81"/>
      <c r="AP6" s="82">
        <f t="shared" si="16"/>
        <v>-29721.48333</v>
      </c>
      <c r="AQ6" s="68">
        <f t="shared" si="17"/>
        <v>-1</v>
      </c>
      <c r="AR6" s="84">
        <f>AR5/$K$7</f>
        <v>69350.12778</v>
      </c>
      <c r="AS6" s="81"/>
      <c r="AT6" s="82">
        <f t="shared" si="18"/>
        <v>-69350.12778</v>
      </c>
      <c r="AU6" s="68">
        <f t="shared" si="19"/>
        <v>-1</v>
      </c>
      <c r="AV6" s="84">
        <f>AV5/$K$7</f>
        <v>69350.12778</v>
      </c>
      <c r="AW6" s="81"/>
      <c r="AX6" s="82">
        <f t="shared" si="20"/>
        <v>-69350.12778</v>
      </c>
      <c r="AY6" s="68">
        <f t="shared" si="21"/>
        <v>-1</v>
      </c>
      <c r="AZ6" s="84">
        <f>AZ5/$K$7</f>
        <v>79257.28889</v>
      </c>
      <c r="BA6" s="81"/>
      <c r="BB6" s="82">
        <f t="shared" si="22"/>
        <v>-79257.28889</v>
      </c>
      <c r="BC6" s="68">
        <f t="shared" si="23"/>
        <v>-1</v>
      </c>
      <c r="BD6" s="84">
        <f>BD5/$K$7</f>
        <v>69350.12778</v>
      </c>
      <c r="BE6" s="81"/>
      <c r="BF6" s="82">
        <f t="shared" si="24"/>
        <v>-69350.12778</v>
      </c>
      <c r="BG6" s="68">
        <f t="shared" si="25"/>
        <v>-1</v>
      </c>
      <c r="BH6" s="86">
        <f t="shared" ref="BH6:BI6" si="26">SUM(L6,P6,T6,X6,AB6,AF6,AJ6,AN6,AR6,AV6,AZ6,BD6)</f>
        <v>557692.0556</v>
      </c>
      <c r="BI6" s="87">
        <f t="shared" si="26"/>
        <v>198826</v>
      </c>
      <c r="BJ6" s="76">
        <f t="shared" ref="BJ6:BJ8" si="30">(BI6/BH6-1)</f>
        <v>-0.6434842526</v>
      </c>
      <c r="BK6" s="88">
        <v>329232.0</v>
      </c>
      <c r="BL6" s="78">
        <f t="shared" si="27"/>
        <v>0.6939181354</v>
      </c>
      <c r="BM6" s="3"/>
      <c r="BN6" s="3"/>
      <c r="BO6" s="3"/>
      <c r="BP6" s="3"/>
      <c r="BQ6" s="3"/>
      <c r="BR6" s="3"/>
    </row>
    <row r="7">
      <c r="A7" s="1"/>
      <c r="B7" s="26"/>
      <c r="C7" s="27"/>
      <c r="D7" s="28"/>
      <c r="E7" s="29"/>
      <c r="F7" s="30"/>
      <c r="G7" s="31"/>
      <c r="H7" s="32"/>
      <c r="I7" s="33"/>
      <c r="J7" s="50" t="s">
        <v>65</v>
      </c>
      <c r="K7" s="79">
        <v>90.0</v>
      </c>
      <c r="L7" s="65">
        <v>90.0</v>
      </c>
      <c r="M7" s="66">
        <f>IFERROR(M5/M6,"-")</f>
        <v>93.97232533</v>
      </c>
      <c r="N7" s="67">
        <f t="shared" si="2"/>
        <v>3.97232533</v>
      </c>
      <c r="O7" s="68">
        <f t="shared" si="3"/>
        <v>0.04413694811</v>
      </c>
      <c r="P7" s="69">
        <v>90.0</v>
      </c>
      <c r="Q7" s="66">
        <f>Q5/Q6</f>
        <v>96.3671785</v>
      </c>
      <c r="R7" s="67">
        <f t="shared" si="4"/>
        <v>6.367178497</v>
      </c>
      <c r="S7" s="70">
        <f t="shared" si="5"/>
        <v>0.07074642774</v>
      </c>
      <c r="T7" s="71">
        <v>90.0</v>
      </c>
      <c r="U7" s="66">
        <f>IFERROR(U5/U6,"-")</f>
        <v>126.1066005</v>
      </c>
      <c r="V7" s="67">
        <f t="shared" si="6"/>
        <v>36.10660047</v>
      </c>
      <c r="W7" s="68">
        <f t="shared" si="7"/>
        <v>0.4011844497</v>
      </c>
      <c r="X7" s="71">
        <f t="shared" ref="X7:Y7" si="28">IFERROR(X5/X6,"-")</f>
        <v>90</v>
      </c>
      <c r="Y7" s="66">
        <f t="shared" si="28"/>
        <v>98.07298141</v>
      </c>
      <c r="Z7" s="67">
        <f t="shared" si="8"/>
        <v>8.072981415</v>
      </c>
      <c r="AA7" s="68">
        <f t="shared" si="9"/>
        <v>0.0896997935</v>
      </c>
      <c r="AB7" s="71">
        <v>90.0</v>
      </c>
      <c r="AC7" s="66">
        <f>IFERROR(AC5/AC6,"-")</f>
        <v>99.41941868</v>
      </c>
      <c r="AD7" s="67">
        <f t="shared" si="10"/>
        <v>9.419418683</v>
      </c>
      <c r="AE7" s="68">
        <f t="shared" si="11"/>
        <v>0.1046602076</v>
      </c>
      <c r="AF7" s="71">
        <f>AF5/AF6</f>
        <v>90</v>
      </c>
      <c r="AG7" s="66">
        <f>IFERROR(AG5/AG6,"-")</f>
        <v>85.18619197</v>
      </c>
      <c r="AH7" s="67">
        <f t="shared" si="12"/>
        <v>-4.813808032</v>
      </c>
      <c r="AI7" s="68">
        <f t="shared" si="13"/>
        <v>-0.05348675592</v>
      </c>
      <c r="AJ7" s="71">
        <f>AJ5/AJ6</f>
        <v>90</v>
      </c>
      <c r="AK7" s="66" t="str">
        <f>IFERROR(AK5/AK6,"-")</f>
        <v>-</v>
      </c>
      <c r="AL7" s="67" t="str">
        <f t="shared" si="14"/>
        <v>-</v>
      </c>
      <c r="AM7" s="68" t="str">
        <f t="shared" si="15"/>
        <v>-</v>
      </c>
      <c r="AN7" s="71">
        <f>AN5/AN6</f>
        <v>90</v>
      </c>
      <c r="AO7" s="66" t="str">
        <f>IFERROR(AO5/AO6,"-")</f>
        <v>-</v>
      </c>
      <c r="AP7" s="67" t="str">
        <f t="shared" si="16"/>
        <v>-</v>
      </c>
      <c r="AQ7" s="68" t="str">
        <f t="shared" si="17"/>
        <v>-</v>
      </c>
      <c r="AR7" s="71">
        <f>AR5/AR6</f>
        <v>90</v>
      </c>
      <c r="AS7" s="66" t="str">
        <f>IFERROR(AS5/AS6,"-")</f>
        <v>-</v>
      </c>
      <c r="AT7" s="67" t="str">
        <f t="shared" si="18"/>
        <v>-</v>
      </c>
      <c r="AU7" s="68" t="str">
        <f t="shared" si="19"/>
        <v>-</v>
      </c>
      <c r="AV7" s="71">
        <f>AV5/AV6</f>
        <v>90</v>
      </c>
      <c r="AW7" s="66" t="str">
        <f>IFERROR(AW5/AW6,"-")</f>
        <v>-</v>
      </c>
      <c r="AX7" s="67" t="str">
        <f t="shared" si="20"/>
        <v>-</v>
      </c>
      <c r="AY7" s="68" t="str">
        <f t="shared" si="21"/>
        <v>-</v>
      </c>
      <c r="AZ7" s="71">
        <f>AZ5/AZ6</f>
        <v>90</v>
      </c>
      <c r="BA7" s="66" t="str">
        <f>IFERROR(BA5/BA6,"-")</f>
        <v>-</v>
      </c>
      <c r="BB7" s="67" t="str">
        <f t="shared" si="22"/>
        <v>-</v>
      </c>
      <c r="BC7" s="68" t="str">
        <f t="shared" si="23"/>
        <v>-</v>
      </c>
      <c r="BD7" s="71">
        <f>BD5/BD6</f>
        <v>90</v>
      </c>
      <c r="BE7" s="66" t="str">
        <f>IFERROR(BE5/BE6,"-")</f>
        <v>-</v>
      </c>
      <c r="BF7" s="67" t="str">
        <f t="shared" si="24"/>
        <v>-</v>
      </c>
      <c r="BG7" s="68" t="str">
        <f t="shared" si="25"/>
        <v>-</v>
      </c>
      <c r="BH7" s="89">
        <f t="shared" ref="BH7:BI7" si="29">BH5/BH6</f>
        <v>89.65521295</v>
      </c>
      <c r="BI7" s="90">
        <f t="shared" si="29"/>
        <v>101.8881443</v>
      </c>
      <c r="BJ7" s="76">
        <f t="shared" si="30"/>
        <v>0.1364441727</v>
      </c>
      <c r="BK7" s="77">
        <f>BK5/BK6</f>
        <v>105.2299512</v>
      </c>
      <c r="BL7" s="78">
        <f t="shared" si="27"/>
        <v>-0.1480067043</v>
      </c>
      <c r="BM7" s="3"/>
      <c r="BN7" s="3"/>
      <c r="BO7" s="3"/>
      <c r="BP7" s="3"/>
      <c r="BQ7" s="3"/>
      <c r="BR7" s="3"/>
    </row>
    <row r="8">
      <c r="A8" s="1"/>
      <c r="B8" s="26"/>
      <c r="C8" s="27"/>
      <c r="D8" s="28"/>
      <c r="E8" s="29"/>
      <c r="F8" s="30"/>
      <c r="G8" s="31"/>
      <c r="H8" s="32"/>
      <c r="I8" s="33"/>
      <c r="J8" s="91" t="s">
        <v>66</v>
      </c>
      <c r="K8" s="92">
        <v>0.049</v>
      </c>
      <c r="L8" s="93">
        <f t="shared" ref="L8:M8" si="31">L5*$K$8</f>
        <v>140341.88</v>
      </c>
      <c r="M8" s="94">
        <f t="shared" si="31"/>
        <v>153426.7361</v>
      </c>
      <c r="N8" s="95">
        <f t="shared" si="2"/>
        <v>13084.85612</v>
      </c>
      <c r="O8" s="96">
        <f t="shared" si="3"/>
        <v>0.09323557672</v>
      </c>
      <c r="P8" s="97">
        <f t="shared" ref="P8:Q8" si="32">P5*$K$8</f>
        <v>125129.095</v>
      </c>
      <c r="Q8" s="94">
        <f t="shared" si="32"/>
        <v>135710.0428</v>
      </c>
      <c r="R8" s="95">
        <f t="shared" si="4"/>
        <v>10580.94779</v>
      </c>
      <c r="S8" s="98">
        <f t="shared" si="5"/>
        <v>0.08456025187</v>
      </c>
      <c r="T8" s="99">
        <f t="shared" ref="T8:U8" si="33">T5*$K$8</f>
        <v>87381.161</v>
      </c>
      <c r="U8" s="94">
        <f t="shared" si="33"/>
        <v>259199.8849</v>
      </c>
      <c r="V8" s="95">
        <f t="shared" si="6"/>
        <v>171818.7239</v>
      </c>
      <c r="W8" s="96">
        <f t="shared" si="7"/>
        <v>1.966313127</v>
      </c>
      <c r="X8" s="93">
        <f t="shared" ref="X8:Y8" si="34">X5*$K$8</f>
        <v>131071.7415</v>
      </c>
      <c r="Y8" s="97">
        <f t="shared" si="34"/>
        <v>179704.5179</v>
      </c>
      <c r="Z8" s="95">
        <f t="shared" si="8"/>
        <v>48632.77636</v>
      </c>
      <c r="AA8" s="96">
        <f t="shared" si="9"/>
        <v>0.3710393698</v>
      </c>
      <c r="AB8" s="93">
        <f t="shared" ref="AB8:AC8" si="35">AB5*$K$8</f>
        <v>174762.322</v>
      </c>
      <c r="AC8" s="97">
        <f t="shared" si="35"/>
        <v>173972.8477</v>
      </c>
      <c r="AD8" s="95">
        <f t="shared" si="10"/>
        <v>-789.47428</v>
      </c>
      <c r="AE8" s="96">
        <f t="shared" si="11"/>
        <v>-0.004517416975</v>
      </c>
      <c r="AF8" s="93">
        <f t="shared" ref="AF8:AG8" si="36">AF5*$K$8</f>
        <v>174762.322</v>
      </c>
      <c r="AG8" s="97">
        <f t="shared" si="36"/>
        <v>90628.5674</v>
      </c>
      <c r="AH8" s="95">
        <f t="shared" si="12"/>
        <v>-84133.7546</v>
      </c>
      <c r="AI8" s="96">
        <f t="shared" si="13"/>
        <v>-0.4814181549</v>
      </c>
      <c r="AJ8" s="93">
        <f t="shared" ref="AJ8:AK8" si="37">AJ5*$K$8</f>
        <v>218452.9025</v>
      </c>
      <c r="AK8" s="97">
        <f t="shared" si="37"/>
        <v>0</v>
      </c>
      <c r="AL8" s="95">
        <f t="shared" si="14"/>
        <v>-218452.9025</v>
      </c>
      <c r="AM8" s="96">
        <f t="shared" si="15"/>
        <v>-1</v>
      </c>
      <c r="AN8" s="93">
        <f t="shared" ref="AN8:AO8" si="38">AN5*$K$8</f>
        <v>131071.7415</v>
      </c>
      <c r="AO8" s="97">
        <f t="shared" si="38"/>
        <v>0</v>
      </c>
      <c r="AP8" s="95">
        <f t="shared" si="16"/>
        <v>-131071.7415</v>
      </c>
      <c r="AQ8" s="96">
        <f t="shared" si="17"/>
        <v>-1</v>
      </c>
      <c r="AR8" s="93">
        <f t="shared" ref="AR8:AS8" si="39">AR5*$K$8</f>
        <v>305834.0635</v>
      </c>
      <c r="AS8" s="97">
        <f t="shared" si="39"/>
        <v>0</v>
      </c>
      <c r="AT8" s="95">
        <f t="shared" si="18"/>
        <v>-305834.0635</v>
      </c>
      <c r="AU8" s="96">
        <f t="shared" si="19"/>
        <v>-1</v>
      </c>
      <c r="AV8" s="93">
        <f t="shared" ref="AV8:AW8" si="40">AV5*$K$8</f>
        <v>305834.0635</v>
      </c>
      <c r="AW8" s="97">
        <f t="shared" si="40"/>
        <v>0</v>
      </c>
      <c r="AX8" s="95">
        <f t="shared" si="20"/>
        <v>-305834.0635</v>
      </c>
      <c r="AY8" s="96">
        <f t="shared" si="21"/>
        <v>-1</v>
      </c>
      <c r="AZ8" s="93">
        <f t="shared" ref="AZ8:BA8" si="41">AZ5*$K$8</f>
        <v>349524.644</v>
      </c>
      <c r="BA8" s="97">
        <f t="shared" si="41"/>
        <v>0</v>
      </c>
      <c r="BB8" s="95">
        <f t="shared" si="22"/>
        <v>-349524.644</v>
      </c>
      <c r="BC8" s="96">
        <f t="shared" si="23"/>
        <v>-1</v>
      </c>
      <c r="BD8" s="93">
        <f t="shared" ref="BD8:BE8" si="42">BD5*$K$8</f>
        <v>305834.0635</v>
      </c>
      <c r="BE8" s="97">
        <f t="shared" si="42"/>
        <v>0</v>
      </c>
      <c r="BF8" s="95">
        <f t="shared" si="24"/>
        <v>-305834.0635</v>
      </c>
      <c r="BG8" s="96">
        <f t="shared" si="25"/>
        <v>-1</v>
      </c>
      <c r="BH8" s="100">
        <f t="shared" ref="BH8:BI8" si="43">SUM(L8,P8,T8,X8,AB8,AF8,AJ8,AN8,AR8,AV8,AZ8,BD8)</f>
        <v>2450000</v>
      </c>
      <c r="BI8" s="101">
        <f t="shared" si="43"/>
        <v>992642.5968</v>
      </c>
      <c r="BJ8" s="102">
        <f t="shared" si="30"/>
        <v>-0.5948397564</v>
      </c>
      <c r="BK8" s="103">
        <f>BK5*0.049</f>
        <v>1697608.298</v>
      </c>
      <c r="BL8" s="104">
        <f t="shared" si="27"/>
        <v>0.4432068949</v>
      </c>
      <c r="BM8" s="3"/>
      <c r="BN8" s="3"/>
      <c r="BO8" s="4"/>
      <c r="BP8" s="3"/>
      <c r="BQ8" s="3"/>
      <c r="BR8" s="3"/>
    </row>
    <row r="9">
      <c r="A9" s="1"/>
      <c r="B9" s="105"/>
      <c r="C9" s="106"/>
      <c r="D9" s="107"/>
      <c r="E9" s="108"/>
      <c r="F9" s="109"/>
      <c r="G9" s="110"/>
      <c r="H9" s="111"/>
      <c r="I9" s="112"/>
      <c r="J9" s="13"/>
      <c r="K9" s="113"/>
      <c r="L9" s="113"/>
      <c r="M9" s="114"/>
      <c r="N9" s="114"/>
      <c r="O9" s="114"/>
      <c r="P9" s="115">
        <v>16.0</v>
      </c>
      <c r="Q9" s="23"/>
      <c r="R9" s="115">
        <v>100.0</v>
      </c>
      <c r="S9" s="115">
        <v>180.0</v>
      </c>
      <c r="T9" s="115">
        <v>300.0</v>
      </c>
      <c r="U9" s="115">
        <v>400.0</v>
      </c>
      <c r="V9" s="115">
        <v>450.0</v>
      </c>
      <c r="W9" s="115">
        <v>500.0</v>
      </c>
      <c r="X9" s="116"/>
      <c r="Y9" s="14"/>
      <c r="Z9" s="15"/>
      <c r="AA9" s="3"/>
      <c r="AB9" s="3"/>
      <c r="AC9" s="3"/>
      <c r="AD9" s="3"/>
      <c r="AE9" s="3"/>
      <c r="AF9" s="3"/>
      <c r="AU9" s="117"/>
      <c r="AV9" s="25"/>
      <c r="AW9" s="117"/>
      <c r="AX9" s="118"/>
      <c r="AY9" s="25"/>
    </row>
    <row r="10">
      <c r="A10" s="1"/>
      <c r="B10" s="105"/>
      <c r="C10" s="106"/>
      <c r="D10" s="107"/>
      <c r="E10" s="108"/>
      <c r="F10" s="109"/>
      <c r="G10" s="110"/>
      <c r="H10" s="111"/>
      <c r="I10" s="112"/>
      <c r="J10" s="34" t="s">
        <v>67</v>
      </c>
      <c r="K10" s="35"/>
      <c r="L10" s="36" t="s">
        <v>10</v>
      </c>
      <c r="M10" s="37" t="s">
        <v>11</v>
      </c>
      <c r="N10" s="38" t="s">
        <v>12</v>
      </c>
      <c r="O10" s="39" t="s">
        <v>13</v>
      </c>
      <c r="P10" s="119" t="s">
        <v>14</v>
      </c>
      <c r="Q10" s="37" t="s">
        <v>15</v>
      </c>
      <c r="R10" s="38" t="s">
        <v>16</v>
      </c>
      <c r="S10" s="39" t="s">
        <v>17</v>
      </c>
      <c r="T10" s="36" t="s">
        <v>18</v>
      </c>
      <c r="U10" s="37" t="s">
        <v>19</v>
      </c>
      <c r="V10" s="38" t="s">
        <v>20</v>
      </c>
      <c r="W10" s="39" t="s">
        <v>21</v>
      </c>
      <c r="X10" s="119" t="s">
        <v>22</v>
      </c>
      <c r="Y10" s="120" t="s">
        <v>23</v>
      </c>
      <c r="Z10" s="38" t="s">
        <v>24</v>
      </c>
      <c r="AA10" s="121" t="s">
        <v>25</v>
      </c>
      <c r="AB10" s="43" t="s">
        <v>26</v>
      </c>
      <c r="AC10" s="120" t="s">
        <v>27</v>
      </c>
      <c r="AD10" s="38" t="s">
        <v>28</v>
      </c>
      <c r="AE10" s="121" t="s">
        <v>29</v>
      </c>
      <c r="AF10" s="44" t="s">
        <v>30</v>
      </c>
      <c r="AG10" s="120" t="s">
        <v>31</v>
      </c>
      <c r="AH10" s="38" t="s">
        <v>32</v>
      </c>
      <c r="AI10" s="121" t="s">
        <v>33</v>
      </c>
      <c r="AJ10" s="43" t="s">
        <v>34</v>
      </c>
      <c r="AK10" s="120" t="s">
        <v>35</v>
      </c>
      <c r="AL10" s="38" t="s">
        <v>36</v>
      </c>
      <c r="AM10" s="121" t="s">
        <v>37</v>
      </c>
      <c r="AN10" s="44" t="s">
        <v>38</v>
      </c>
      <c r="AO10" s="120" t="s">
        <v>39</v>
      </c>
      <c r="AP10" s="38" t="s">
        <v>40</v>
      </c>
      <c r="AQ10" s="121" t="s">
        <v>41</v>
      </c>
      <c r="AR10" s="43" t="s">
        <v>42</v>
      </c>
      <c r="AS10" s="120" t="s">
        <v>43</v>
      </c>
      <c r="AT10" s="38" t="s">
        <v>44</v>
      </c>
      <c r="AU10" s="121" t="s">
        <v>45</v>
      </c>
      <c r="AV10" s="44" t="s">
        <v>46</v>
      </c>
      <c r="AW10" s="120" t="s">
        <v>47</v>
      </c>
      <c r="AX10" s="38" t="s">
        <v>48</v>
      </c>
      <c r="AY10" s="121" t="s">
        <v>49</v>
      </c>
      <c r="AZ10" s="43" t="s">
        <v>50</v>
      </c>
      <c r="BA10" s="120" t="s">
        <v>51</v>
      </c>
      <c r="BB10" s="38" t="s">
        <v>52</v>
      </c>
      <c r="BC10" s="121" t="s">
        <v>53</v>
      </c>
      <c r="BD10" s="44" t="s">
        <v>54</v>
      </c>
      <c r="BE10" s="120" t="s">
        <v>55</v>
      </c>
      <c r="BF10" s="38" t="s">
        <v>56</v>
      </c>
      <c r="BG10" s="121" t="s">
        <v>57</v>
      </c>
      <c r="BH10" s="122">
        <v>2026.0</v>
      </c>
      <c r="BI10" s="123" t="s">
        <v>58</v>
      </c>
      <c r="BJ10" s="47" t="s">
        <v>59</v>
      </c>
      <c r="BK10" s="124">
        <v>2025.0</v>
      </c>
      <c r="BL10" s="49" t="s">
        <v>60</v>
      </c>
      <c r="BM10" s="3"/>
      <c r="BN10" s="3"/>
      <c r="BO10" s="3"/>
      <c r="BP10" s="3"/>
      <c r="BQ10" s="3"/>
      <c r="BR10" s="3"/>
    </row>
    <row r="11">
      <c r="A11" s="1"/>
      <c r="B11" s="105">
        <v>3.0</v>
      </c>
      <c r="C11" s="106" t="s">
        <v>68</v>
      </c>
      <c r="D11" s="107"/>
      <c r="E11" s="108"/>
      <c r="F11" s="109"/>
      <c r="G11" s="110"/>
      <c r="H11" s="111"/>
      <c r="I11" s="112"/>
      <c r="J11" s="50" t="s">
        <v>61</v>
      </c>
      <c r="K11" s="51"/>
      <c r="L11" s="52" t="s">
        <v>60</v>
      </c>
      <c r="M11" s="53" t="s">
        <v>60</v>
      </c>
      <c r="N11" s="54" t="s">
        <v>60</v>
      </c>
      <c r="O11" s="55" t="s">
        <v>62</v>
      </c>
      <c r="P11" s="52" t="s">
        <v>60</v>
      </c>
      <c r="Q11" s="53"/>
      <c r="R11" s="54" t="s">
        <v>60</v>
      </c>
      <c r="S11" s="55" t="s">
        <v>62</v>
      </c>
      <c r="T11" s="52" t="s">
        <v>60</v>
      </c>
      <c r="U11" s="53"/>
      <c r="V11" s="54" t="s">
        <v>60</v>
      </c>
      <c r="W11" s="55" t="s">
        <v>62</v>
      </c>
      <c r="X11" s="52" t="s">
        <v>60</v>
      </c>
      <c r="Y11" s="53"/>
      <c r="Z11" s="54" t="s">
        <v>60</v>
      </c>
      <c r="AA11" s="55" t="s">
        <v>62</v>
      </c>
      <c r="AB11" s="58">
        <v>0.01</v>
      </c>
      <c r="AC11" s="59">
        <f>AC12/(BH12-(L12+P12+T12+X12))</f>
        <v>0.000267215</v>
      </c>
      <c r="AD11" s="54" t="s">
        <v>60</v>
      </c>
      <c r="AE11" s="55" t="s">
        <v>62</v>
      </c>
      <c r="AF11" s="58">
        <v>0.02</v>
      </c>
      <c r="AG11" s="59">
        <f>AG12/(BH12-(L12+P12+T12+X12))</f>
        <v>0.001724755</v>
      </c>
      <c r="AH11" s="54" t="s">
        <v>60</v>
      </c>
      <c r="AI11" s="55" t="s">
        <v>62</v>
      </c>
      <c r="AJ11" s="58">
        <v>0.05</v>
      </c>
      <c r="AK11" s="59">
        <f>AK12/(BH12-(L12+P12+T12+X12))</f>
        <v>0</v>
      </c>
      <c r="AL11" s="54" t="s">
        <v>60</v>
      </c>
      <c r="AM11" s="55" t="s">
        <v>62</v>
      </c>
      <c r="AN11" s="58">
        <v>0.1</v>
      </c>
      <c r="AO11" s="59">
        <f>AO12/(BH12-(L12+P12+T12+X12))</f>
        <v>0</v>
      </c>
      <c r="AP11" s="54" t="s">
        <v>60</v>
      </c>
      <c r="AQ11" s="55" t="s">
        <v>62</v>
      </c>
      <c r="AR11" s="58">
        <v>0.12</v>
      </c>
      <c r="AS11" s="59">
        <f>AS12/(BH12-(L12+P12+T12+X12))</f>
        <v>0</v>
      </c>
      <c r="AT11" s="54" t="s">
        <v>60</v>
      </c>
      <c r="AU11" s="55" t="s">
        <v>62</v>
      </c>
      <c r="AV11" s="58">
        <v>0.2</v>
      </c>
      <c r="AW11" s="59">
        <f>AW12/(BH12-(L12+P12+T12+X12))</f>
        <v>0</v>
      </c>
      <c r="AX11" s="54" t="s">
        <v>60</v>
      </c>
      <c r="AY11" s="55" t="s">
        <v>62</v>
      </c>
      <c r="AZ11" s="58">
        <v>0.25</v>
      </c>
      <c r="BA11" s="59">
        <f>BA12/(BH12-(L12+P12+T12+X12))</f>
        <v>0</v>
      </c>
      <c r="BB11" s="54" t="s">
        <v>60</v>
      </c>
      <c r="BC11" s="55" t="s">
        <v>62</v>
      </c>
      <c r="BD11" s="58">
        <v>0.25</v>
      </c>
      <c r="BE11" s="59">
        <f>BE12/(BH12-(L12+P12+T12+X12))</f>
        <v>0</v>
      </c>
      <c r="BF11" s="54" t="s">
        <v>60</v>
      </c>
      <c r="BG11" s="55" t="s">
        <v>62</v>
      </c>
      <c r="BH11" s="125">
        <f t="shared" ref="BH11:BI11" si="44">SUM(AB11,AF11,AJ11,AN11,AR11,AV11,AZ11,BD11)</f>
        <v>1</v>
      </c>
      <c r="BI11" s="126">
        <f t="shared" si="44"/>
        <v>0.00199197</v>
      </c>
      <c r="BJ11" s="62"/>
      <c r="BK11" s="63" t="s">
        <v>60</v>
      </c>
      <c r="BL11" s="64"/>
      <c r="BM11" s="3"/>
      <c r="BN11" s="3"/>
      <c r="BO11" s="3"/>
      <c r="BP11" s="3"/>
      <c r="BQ11" s="3"/>
      <c r="BR11" s="3"/>
    </row>
    <row r="12">
      <c r="A12" s="1"/>
      <c r="B12" s="105"/>
      <c r="C12" s="106"/>
      <c r="D12" s="107"/>
      <c r="E12" s="108"/>
      <c r="F12" s="109"/>
      <c r="G12" s="110"/>
      <c r="H12" s="111"/>
      <c r="I12" s="112"/>
      <c r="J12" s="50" t="s">
        <v>63</v>
      </c>
      <c r="K12" s="51"/>
      <c r="L12" s="127">
        <v>0.0</v>
      </c>
      <c r="M12" s="66">
        <v>345.44</v>
      </c>
      <c r="N12" s="67">
        <f t="shared" ref="N12:N15" si="45">IFERROR(M12-L12,"-")</f>
        <v>345.44</v>
      </c>
      <c r="O12" s="68" t="str">
        <f t="shared" ref="O12:O15" si="46">IFERROR(M12/L12-1,"-")</f>
        <v>-</v>
      </c>
      <c r="P12" s="127">
        <v>0.0</v>
      </c>
      <c r="Q12" s="66">
        <v>511.94</v>
      </c>
      <c r="R12" s="67">
        <f t="shared" ref="R12:R15" si="47">IFERROR(Q12-P12,"-")</f>
        <v>511.94</v>
      </c>
      <c r="S12" s="68" t="str">
        <f t="shared" ref="S12:S15" si="48">IFERROR(Q12/P12-1,"-")</f>
        <v>-</v>
      </c>
      <c r="T12" s="65">
        <v>0.0</v>
      </c>
      <c r="U12" s="66">
        <v>724.91</v>
      </c>
      <c r="V12" s="67">
        <f t="shared" ref="V12:V15" si="49">IFERROR(U12-T12,"-")</f>
        <v>724.91</v>
      </c>
      <c r="W12" s="68" t="str">
        <f t="shared" ref="W12:W15" si="50">IFERROR(U12/T12-1,"-")</f>
        <v>-</v>
      </c>
      <c r="X12" s="65">
        <v>0.0</v>
      </c>
      <c r="Y12" s="66">
        <v>682.92</v>
      </c>
      <c r="Z12" s="67">
        <f t="shared" ref="Z12:Z15" si="51">IFERROR(Y12-X12,"-")</f>
        <v>682.92</v>
      </c>
      <c r="AA12" s="68" t="str">
        <f t="shared" ref="AA12:AA15" si="52">IFERROR(Y12/X12-1,"-")</f>
        <v>-</v>
      </c>
      <c r="AB12" s="71">
        <f>($BH$12-($L$12+$P$12+T12+X12))*AB11</f>
        <v>20000</v>
      </c>
      <c r="AC12" s="66">
        <v>534.43</v>
      </c>
      <c r="AD12" s="67">
        <f t="shared" ref="AD12:AD15" si="53">IFERROR(AC12-AB12,"-")</f>
        <v>-19465.57</v>
      </c>
      <c r="AE12" s="68">
        <f t="shared" ref="AE12:AE15" si="54">IFERROR(AC12/AB12-1,"-")</f>
        <v>-0.9732785</v>
      </c>
      <c r="AF12" s="71">
        <f>($BH$12-($L$12+$P$12+$T$12+$X$12))*AF11</f>
        <v>40000</v>
      </c>
      <c r="AG12" s="73">
        <v>3449.51</v>
      </c>
      <c r="AH12" s="67">
        <f t="shared" ref="AH12:AH15" si="55">IFERROR(AG12-AF12,"-")</f>
        <v>-36550.49</v>
      </c>
      <c r="AI12" s="68">
        <f t="shared" ref="AI12:AI15" si="56">IFERROR(AG12/AF12-1,"-")</f>
        <v>-0.91376225</v>
      </c>
      <c r="AJ12" s="71">
        <f>($BH$12-($L$12+$P$12+$T$12+$X$12))*AJ11</f>
        <v>100000</v>
      </c>
      <c r="AK12" s="66"/>
      <c r="AL12" s="67">
        <f t="shared" ref="AL12:AL15" si="57">IFERROR(AK12-AJ12,"-")</f>
        <v>-100000</v>
      </c>
      <c r="AM12" s="68">
        <f t="shared" ref="AM12:AM15" si="58">IFERROR(AK12/AJ12-1,"-")</f>
        <v>-1</v>
      </c>
      <c r="AN12" s="71">
        <f>($BH$12-($L$12+$P$12+$T$12+$X$12))*AN11</f>
        <v>200000</v>
      </c>
      <c r="AO12" s="66"/>
      <c r="AP12" s="67">
        <f t="shared" ref="AP12:AP15" si="59">IFERROR(AO12-AN12,"-")</f>
        <v>-200000</v>
      </c>
      <c r="AQ12" s="68">
        <f t="shared" ref="AQ12:AQ15" si="60">IFERROR(AO12/AN12-1,"-")</f>
        <v>-1</v>
      </c>
      <c r="AR12" s="71">
        <f>($BH$12-($L$12+$P$12+$T$12+$X$12))*AR11</f>
        <v>240000</v>
      </c>
      <c r="AS12" s="66"/>
      <c r="AT12" s="67">
        <f t="shared" ref="AT12:AT15" si="61">IFERROR(AS12-AR12,"-")</f>
        <v>-240000</v>
      </c>
      <c r="AU12" s="68">
        <f t="shared" ref="AU12:AU15" si="62">IFERROR(AS12/AR12-1,"-")</f>
        <v>-1</v>
      </c>
      <c r="AV12" s="71">
        <f>($BH$12-($L$12+$P$12+$T$12+$X$12))*AV11</f>
        <v>400000</v>
      </c>
      <c r="AW12" s="66"/>
      <c r="AX12" s="67">
        <f t="shared" ref="AX12:AX15" si="63">IFERROR(AW12-AV12,"-")</f>
        <v>-400000</v>
      </c>
      <c r="AY12" s="68">
        <f t="shared" ref="AY12:AY15" si="64">IFERROR(AW12/AV12-1,"-")</f>
        <v>-1</v>
      </c>
      <c r="AZ12" s="71">
        <f>($BH$12-($L$12+$P$12+$T$12+$X$12))*AZ11</f>
        <v>500000</v>
      </c>
      <c r="BA12" s="66"/>
      <c r="BB12" s="67">
        <f t="shared" ref="BB12:BB15" si="65">IFERROR(BA12-AZ12,"-")</f>
        <v>-500000</v>
      </c>
      <c r="BC12" s="68">
        <f t="shared" ref="BC12:BC15" si="66">IFERROR(BA12/AZ12-1,"-")</f>
        <v>-1</v>
      </c>
      <c r="BD12" s="71">
        <f>($BH$12-($L$12+$P$12+$T$12+$X$12))*BD11</f>
        <v>500000</v>
      </c>
      <c r="BE12" s="66"/>
      <c r="BF12" s="67">
        <f t="shared" ref="BF12:BF15" si="67">IFERROR(BE12-BD12,"-")</f>
        <v>-500000</v>
      </c>
      <c r="BG12" s="68">
        <f t="shared" ref="BG12:BG15" si="68">IFERROR(BE12/BD12-1,"-")</f>
        <v>-1</v>
      </c>
      <c r="BH12" s="75">
        <v>2000000.0</v>
      </c>
      <c r="BI12" s="128">
        <f>SUM(M12,Q12,U12,Y12,AC12,AG12,AK12,AO12,AS12,AW12,BA12,BE12)</f>
        <v>6249.15</v>
      </c>
      <c r="BJ12" s="76">
        <f t="shared" ref="BJ12:BJ15" si="70">IFERROR(BI12/BH12-1,"-")</f>
        <v>-0.996875425</v>
      </c>
      <c r="BK12" s="77" t="s">
        <v>60</v>
      </c>
      <c r="BL12" s="78" t="str">
        <f t="shared" ref="BL12:BL13" si="71">IFERROR((BH12/BK12),"-")</f>
        <v>-</v>
      </c>
      <c r="BM12" s="3"/>
      <c r="BN12" s="3"/>
      <c r="BO12" s="3"/>
      <c r="BP12" s="3"/>
      <c r="BQ12" s="3"/>
      <c r="BR12" s="3"/>
    </row>
    <row r="13">
      <c r="A13" s="1"/>
      <c r="B13" s="105"/>
      <c r="C13" s="106"/>
      <c r="D13" s="107"/>
      <c r="E13" s="108"/>
      <c r="F13" s="109"/>
      <c r="G13" s="110"/>
      <c r="H13" s="111"/>
      <c r="I13" s="112"/>
      <c r="J13" s="50" t="s">
        <v>64</v>
      </c>
      <c r="K13" s="79"/>
      <c r="L13" s="129">
        <v>0.0</v>
      </c>
      <c r="M13" s="81">
        <v>15.0</v>
      </c>
      <c r="N13" s="82">
        <f t="shared" si="45"/>
        <v>15</v>
      </c>
      <c r="O13" s="68" t="str">
        <f t="shared" si="46"/>
        <v>-</v>
      </c>
      <c r="P13" s="129">
        <v>0.0</v>
      </c>
      <c r="Q13" s="81">
        <v>8.0</v>
      </c>
      <c r="R13" s="82">
        <f t="shared" si="47"/>
        <v>8</v>
      </c>
      <c r="S13" s="68" t="str">
        <f t="shared" si="48"/>
        <v>-</v>
      </c>
      <c r="T13" s="80">
        <f>T12/$K$14</f>
        <v>0</v>
      </c>
      <c r="U13" s="81">
        <v>9.0</v>
      </c>
      <c r="V13" s="82">
        <f t="shared" si="49"/>
        <v>9</v>
      </c>
      <c r="W13" s="68" t="str">
        <f t="shared" si="50"/>
        <v>-</v>
      </c>
      <c r="X13" s="80">
        <f>X12/$K$14</f>
        <v>0</v>
      </c>
      <c r="Y13" s="81">
        <v>11.0</v>
      </c>
      <c r="Z13" s="82">
        <f t="shared" si="51"/>
        <v>11</v>
      </c>
      <c r="AA13" s="68" t="str">
        <f t="shared" si="52"/>
        <v>-</v>
      </c>
      <c r="AB13" s="84">
        <f>AB12/$K$14</f>
        <v>666.6666667</v>
      </c>
      <c r="AC13" s="81">
        <v>11.0</v>
      </c>
      <c r="AD13" s="82">
        <f t="shared" si="53"/>
        <v>-655.6666667</v>
      </c>
      <c r="AE13" s="68">
        <f t="shared" si="54"/>
        <v>-0.9835</v>
      </c>
      <c r="AF13" s="84">
        <f>AF12/$K$14</f>
        <v>1333.333333</v>
      </c>
      <c r="AG13" s="85">
        <v>147.0</v>
      </c>
      <c r="AH13" s="82">
        <f t="shared" si="55"/>
        <v>-1186.333333</v>
      </c>
      <c r="AI13" s="68">
        <f t="shared" si="56"/>
        <v>-0.88975</v>
      </c>
      <c r="AJ13" s="84">
        <f>AJ12/$K$14</f>
        <v>3333.333333</v>
      </c>
      <c r="AK13" s="81"/>
      <c r="AL13" s="82">
        <f t="shared" si="57"/>
        <v>-3333.333333</v>
      </c>
      <c r="AM13" s="68">
        <f t="shared" si="58"/>
        <v>-1</v>
      </c>
      <c r="AN13" s="84">
        <f>AN12/$K$14</f>
        <v>6666.666667</v>
      </c>
      <c r="AO13" s="81"/>
      <c r="AP13" s="82">
        <f t="shared" si="59"/>
        <v>-6666.666667</v>
      </c>
      <c r="AQ13" s="68">
        <f t="shared" si="60"/>
        <v>-1</v>
      </c>
      <c r="AR13" s="84">
        <f>AR12/$K$14</f>
        <v>8000</v>
      </c>
      <c r="AS13" s="81"/>
      <c r="AT13" s="82">
        <f t="shared" si="61"/>
        <v>-8000</v>
      </c>
      <c r="AU13" s="68">
        <f t="shared" si="62"/>
        <v>-1</v>
      </c>
      <c r="AV13" s="84">
        <f>AV12/$K$14</f>
        <v>13333.33333</v>
      </c>
      <c r="AW13" s="81"/>
      <c r="AX13" s="82">
        <f t="shared" si="63"/>
        <v>-13333.33333</v>
      </c>
      <c r="AY13" s="68">
        <f t="shared" si="64"/>
        <v>-1</v>
      </c>
      <c r="AZ13" s="84">
        <f>AZ12/$K$14</f>
        <v>16666.66667</v>
      </c>
      <c r="BA13" s="81"/>
      <c r="BB13" s="82">
        <f t="shared" si="65"/>
        <v>-16666.66667</v>
      </c>
      <c r="BC13" s="68">
        <f t="shared" si="66"/>
        <v>-1</v>
      </c>
      <c r="BD13" s="84">
        <f>BD12/$K$14</f>
        <v>16666.66667</v>
      </c>
      <c r="BE13" s="81"/>
      <c r="BF13" s="82">
        <f t="shared" si="67"/>
        <v>-16666.66667</v>
      </c>
      <c r="BG13" s="68">
        <f t="shared" si="68"/>
        <v>-1</v>
      </c>
      <c r="BH13" s="87">
        <f t="shared" ref="BH13:BI13" si="69">SUM(L13,P13,T13,X13,AB13,AF13,AJ13,AN13,AR13,AV13,AZ13,BD13)</f>
        <v>66666.66667</v>
      </c>
      <c r="BI13" s="130">
        <f t="shared" si="69"/>
        <v>201</v>
      </c>
      <c r="BJ13" s="76">
        <f t="shared" si="70"/>
        <v>-0.996985</v>
      </c>
      <c r="BK13" s="88" t="s">
        <v>60</v>
      </c>
      <c r="BL13" s="78" t="str">
        <f t="shared" si="71"/>
        <v>-</v>
      </c>
      <c r="BM13" s="3"/>
      <c r="BN13" s="3"/>
      <c r="BO13" s="4"/>
      <c r="BP13" s="3"/>
      <c r="BQ13" s="3"/>
      <c r="BR13" s="3"/>
    </row>
    <row r="14">
      <c r="A14" s="1"/>
      <c r="B14" s="105"/>
      <c r="C14" s="106"/>
      <c r="D14" s="107"/>
      <c r="E14" s="108"/>
      <c r="F14" s="109"/>
      <c r="G14" s="110"/>
      <c r="H14" s="111"/>
      <c r="I14" s="112"/>
      <c r="J14" s="50" t="s">
        <v>65</v>
      </c>
      <c r="K14" s="79">
        <v>30.0</v>
      </c>
      <c r="L14" s="127">
        <v>30.0</v>
      </c>
      <c r="M14" s="66">
        <f>IFERROR(M12/M13,"-")</f>
        <v>23.02933333</v>
      </c>
      <c r="N14" s="67">
        <f t="shared" si="45"/>
        <v>-6.970666667</v>
      </c>
      <c r="O14" s="68">
        <f t="shared" si="46"/>
        <v>-0.2323555556</v>
      </c>
      <c r="P14" s="127">
        <v>30.0</v>
      </c>
      <c r="Q14" s="66">
        <f>IFERROR(Q12/Q13,"-")</f>
        <v>63.9925</v>
      </c>
      <c r="R14" s="67">
        <f t="shared" si="47"/>
        <v>33.9925</v>
      </c>
      <c r="S14" s="68">
        <f t="shared" si="48"/>
        <v>1.133083333</v>
      </c>
      <c r="T14" s="65">
        <v>30.0</v>
      </c>
      <c r="U14" s="66">
        <f>IFERROR(U12/U13,"-")</f>
        <v>80.54555556</v>
      </c>
      <c r="V14" s="67">
        <f t="shared" si="49"/>
        <v>50.54555556</v>
      </c>
      <c r="W14" s="68">
        <f t="shared" si="50"/>
        <v>1.684851852</v>
      </c>
      <c r="X14" s="65">
        <v>30.0</v>
      </c>
      <c r="Y14" s="66">
        <f>IFERROR(Y12/Y13,"-")</f>
        <v>62.08363636</v>
      </c>
      <c r="Z14" s="67">
        <f t="shared" si="51"/>
        <v>32.08363636</v>
      </c>
      <c r="AA14" s="68">
        <f t="shared" si="52"/>
        <v>1.069454545</v>
      </c>
      <c r="AB14" s="71">
        <f>AB12/AB13</f>
        <v>30</v>
      </c>
      <c r="AC14" s="66">
        <f>IFERROR(AC12/AC13,"-")</f>
        <v>48.58454545</v>
      </c>
      <c r="AD14" s="67">
        <f t="shared" si="53"/>
        <v>18.58454545</v>
      </c>
      <c r="AE14" s="68">
        <f t="shared" si="54"/>
        <v>0.6194848485</v>
      </c>
      <c r="AF14" s="71">
        <f>AF12/AF13</f>
        <v>30</v>
      </c>
      <c r="AG14" s="66">
        <f>IFERROR(AG12/AG13,"-")</f>
        <v>23.46605442</v>
      </c>
      <c r="AH14" s="67">
        <f t="shared" si="55"/>
        <v>-6.533945578</v>
      </c>
      <c r="AI14" s="68">
        <f t="shared" si="56"/>
        <v>-0.2177981859</v>
      </c>
      <c r="AJ14" s="71">
        <f>AJ12/AJ13</f>
        <v>30</v>
      </c>
      <c r="AK14" s="66" t="str">
        <f>IFERROR(AK12/AK13,"-")</f>
        <v>-</v>
      </c>
      <c r="AL14" s="67" t="str">
        <f t="shared" si="57"/>
        <v>-</v>
      </c>
      <c r="AM14" s="68" t="str">
        <f t="shared" si="58"/>
        <v>-</v>
      </c>
      <c r="AN14" s="71">
        <f>AN12/AN13</f>
        <v>30</v>
      </c>
      <c r="AO14" s="66" t="str">
        <f>IFERROR(AO12/AO13,"-")</f>
        <v>-</v>
      </c>
      <c r="AP14" s="67" t="str">
        <f t="shared" si="59"/>
        <v>-</v>
      </c>
      <c r="AQ14" s="68" t="str">
        <f t="shared" si="60"/>
        <v>-</v>
      </c>
      <c r="AR14" s="71">
        <f>AR12/AR13</f>
        <v>30</v>
      </c>
      <c r="AS14" s="66" t="str">
        <f>IFERROR(AS12/AS13,"-")</f>
        <v>-</v>
      </c>
      <c r="AT14" s="67" t="str">
        <f t="shared" si="61"/>
        <v>-</v>
      </c>
      <c r="AU14" s="68" t="str">
        <f t="shared" si="62"/>
        <v>-</v>
      </c>
      <c r="AV14" s="71">
        <f>AV12/AV13</f>
        <v>30</v>
      </c>
      <c r="AW14" s="66" t="str">
        <f>IFERROR(AW12/AW13,"-")</f>
        <v>-</v>
      </c>
      <c r="AX14" s="67" t="str">
        <f t="shared" si="63"/>
        <v>-</v>
      </c>
      <c r="AY14" s="68" t="str">
        <f t="shared" si="64"/>
        <v>-</v>
      </c>
      <c r="AZ14" s="71">
        <f>AZ12/AZ13</f>
        <v>30</v>
      </c>
      <c r="BA14" s="66" t="str">
        <f>IFERROR(BA12/BA13,"-")</f>
        <v>-</v>
      </c>
      <c r="BB14" s="67" t="str">
        <f t="shared" si="65"/>
        <v>-</v>
      </c>
      <c r="BC14" s="68" t="str">
        <f t="shared" si="66"/>
        <v>-</v>
      </c>
      <c r="BD14" s="71">
        <f>BD12/BD13</f>
        <v>30</v>
      </c>
      <c r="BE14" s="66" t="str">
        <f>IFERROR(BE12/BE13,"-")</f>
        <v>-</v>
      </c>
      <c r="BF14" s="67" t="str">
        <f t="shared" si="67"/>
        <v>-</v>
      </c>
      <c r="BG14" s="68" t="str">
        <f t="shared" si="68"/>
        <v>-</v>
      </c>
      <c r="BH14" s="90">
        <f t="shared" ref="BH14:BI14" si="72">BH12/BH13</f>
        <v>30</v>
      </c>
      <c r="BI14" s="131">
        <f t="shared" si="72"/>
        <v>31.09029851</v>
      </c>
      <c r="BJ14" s="76">
        <f t="shared" si="70"/>
        <v>0.03634328358</v>
      </c>
      <c r="BK14" s="77" t="s">
        <v>60</v>
      </c>
      <c r="BL14" s="132"/>
      <c r="BM14" s="3"/>
      <c r="BN14" s="3"/>
      <c r="BO14" s="3"/>
      <c r="BP14" s="3"/>
      <c r="BQ14" s="3"/>
      <c r="BR14" s="3"/>
    </row>
    <row r="15">
      <c r="A15" s="1"/>
      <c r="B15" s="105"/>
      <c r="C15" s="106"/>
      <c r="D15" s="107"/>
      <c r="E15" s="108"/>
      <c r="F15" s="109"/>
      <c r="G15" s="110"/>
      <c r="H15" s="111"/>
      <c r="I15" s="112"/>
      <c r="J15" s="91" t="s">
        <v>66</v>
      </c>
      <c r="K15" s="133">
        <v>1.4</v>
      </c>
      <c r="L15" s="99">
        <f t="shared" ref="L15:M15" si="73">IF(L13=0, 0,
  MIN(L13, 10000) * 1.4 +
  MAX(0, MIN(L13, 25000) - 10000) * 1.25 +
  MAX(0, MIN(L13, 50000) - 25000) * 1.15 +
  MAX(0, MIN(L13, 100000) - 50000) * 0.9 +
  MAX(0, MIN(L13, 150000) - 100000) * 0.8 +
  MAX(0, L13 - 150000) * 0.7
)</f>
        <v>0</v>
      </c>
      <c r="M15" s="94">
        <f t="shared" si="73"/>
        <v>21</v>
      </c>
      <c r="N15" s="95">
        <f t="shared" si="45"/>
        <v>21</v>
      </c>
      <c r="O15" s="96" t="str">
        <f t="shared" si="46"/>
        <v>-</v>
      </c>
      <c r="P15" s="99">
        <f t="shared" ref="P15:Q15" si="74">IF(P13=0, 0,
  MIN(P13, 10000) * 1.4 +
  MAX(0, MIN(P13, 25000) - 10000) * 1.25 +
  MAX(0, MIN(P13, 50000) - 25000) * 1.15 +
  MAX(0, MIN(P13, 100000) - 50000) * 0.9 +
  MAX(0, MIN(P13, 150000) - 100000) * 0.8 +
  MAX(0, P13 - 150000) * 0.7
)</f>
        <v>0</v>
      </c>
      <c r="Q15" s="94">
        <f t="shared" si="74"/>
        <v>11.2</v>
      </c>
      <c r="R15" s="95">
        <f t="shared" si="47"/>
        <v>11.2</v>
      </c>
      <c r="S15" s="96" t="str">
        <f t="shared" si="48"/>
        <v>-</v>
      </c>
      <c r="T15" s="99">
        <f t="shared" ref="T15:U15" si="75">IF(T13=0, 0,
  MIN(T13, 10000) * 1.4 +
  MAX(0, MIN(T13, 25000) - 10000) * 1.25 +
  MAX(0, MIN(T13, 50000) - 25000) * 1.15 +
  MAX(0, MIN(T13, 100000) - 50000) * 0.9 +
  MAX(0, MIN(T13, 150000) - 100000) * 0.8 +
  MAX(0, T13 - 150000) * 0.7
)</f>
        <v>0</v>
      </c>
      <c r="U15" s="94">
        <f t="shared" si="75"/>
        <v>12.6</v>
      </c>
      <c r="V15" s="95">
        <f t="shared" si="49"/>
        <v>12.6</v>
      </c>
      <c r="W15" s="96" t="str">
        <f t="shared" si="50"/>
        <v>-</v>
      </c>
      <c r="X15" s="99">
        <f t="shared" ref="X15:Y15" si="76">IF(X13=0, 0,
  MIN(X13, 10000) * 1.4 +
  MAX(0, MIN(X13, 25000) - 10000) * 1.25 +
  MAX(0, MIN(X13, 50000) - 25000) * 1.15 +
  MAX(0, MIN(X13, 100000) - 50000) * 0.9 +
  MAX(0, MIN(X13, 150000) - 100000) * 0.8 +
  MAX(0, X13 - 150000) * 0.7
)</f>
        <v>0</v>
      </c>
      <c r="Y15" s="94">
        <f t="shared" si="76"/>
        <v>15.4</v>
      </c>
      <c r="Z15" s="95">
        <f t="shared" si="51"/>
        <v>15.4</v>
      </c>
      <c r="AA15" s="96" t="str">
        <f t="shared" si="52"/>
        <v>-</v>
      </c>
      <c r="AB15" s="99">
        <f t="shared" ref="AB15:AC15" si="77">IF(AB13=0, 0,
  MIN(AB13, 10000) * 1.4 +
  MAX(0, MIN(AB13, 25000) - 10000) * 1.25 +
  MAX(0, MIN(AB13, 50000) - 25000) * 1.15 +
  MAX(0, MIN(AB13, 100000) - 50000) * 0.9 +
  MAX(0, MIN(AB13, 150000) - 100000) * 0.8 +
  MAX(0, AB13 - 150000) * 0.7
)</f>
        <v>933.3333333</v>
      </c>
      <c r="AC15" s="94">
        <f t="shared" si="77"/>
        <v>15.4</v>
      </c>
      <c r="AD15" s="95">
        <f t="shared" si="53"/>
        <v>-917.9333333</v>
      </c>
      <c r="AE15" s="96">
        <f t="shared" si="54"/>
        <v>-0.9835</v>
      </c>
      <c r="AF15" s="99">
        <f t="shared" ref="AF15:AG15" si="78">IF(AF13=0, 0,
  MIN(AF13, 10000) * 1.4 +
  MAX(0, MIN(AF13, 25000) - 10000) * 1.25 +
  MAX(0, MIN(AF13, 50000) - 25000) * 1.15 +
  MAX(0, MIN(AF13, 100000) - 50000) * 0.9 +
  MAX(0, MIN(AF13, 150000) - 100000) * 0.8 +
  MAX(0, AF13 - 150000) * 0.7
)</f>
        <v>1866.666667</v>
      </c>
      <c r="AG15" s="94">
        <f t="shared" si="78"/>
        <v>205.8</v>
      </c>
      <c r="AH15" s="95">
        <f t="shared" si="55"/>
        <v>-1660.866667</v>
      </c>
      <c r="AI15" s="96">
        <f t="shared" si="56"/>
        <v>-0.88975</v>
      </c>
      <c r="AJ15" s="99">
        <f t="shared" ref="AJ15:AK15" si="79">IF(AJ13=0, 0,
  MIN(AJ13, 10000) * 1.4 +
  MAX(0, MIN(AJ13, 25000) - 10000) * 1.25 +
  MAX(0, MIN(AJ13, 50000) - 25000) * 1.15 +
  MAX(0, MIN(AJ13, 100000) - 50000) * 0.9 +
  MAX(0, MIN(AJ13, 150000) - 100000) * 0.8 +
  MAX(0, AJ13 - 150000) * 0.7
)</f>
        <v>4666.666667</v>
      </c>
      <c r="AK15" s="94">
        <f t="shared" si="79"/>
        <v>0</v>
      </c>
      <c r="AL15" s="95">
        <f t="shared" si="57"/>
        <v>-4666.666667</v>
      </c>
      <c r="AM15" s="96">
        <f t="shared" si="58"/>
        <v>-1</v>
      </c>
      <c r="AN15" s="99">
        <f t="shared" ref="AN15:AO15" si="80">IF(AN13=0, 0,
  MIN(AN13, 10000) * 1.4 +
  MAX(0, MIN(AN13, 25000) - 10000) * 1.25 +
  MAX(0, MIN(AN13, 50000) - 25000) * 1.15 +
  MAX(0, MIN(AN13, 100000) - 50000) * 0.9 +
  MAX(0, MIN(AN13, 150000) - 100000) * 0.8 +
  MAX(0, AN13 - 150000) * 0.7
)</f>
        <v>9333.333333</v>
      </c>
      <c r="AO15" s="94">
        <f t="shared" si="80"/>
        <v>0</v>
      </c>
      <c r="AP15" s="95">
        <f t="shared" si="59"/>
        <v>-9333.333333</v>
      </c>
      <c r="AQ15" s="96">
        <f t="shared" si="60"/>
        <v>-1</v>
      </c>
      <c r="AR15" s="99">
        <f t="shared" ref="AR15:AS15" si="81">IF(AR13=0, 0,
  MIN(AR13, 10000) * 1.4 +
  MAX(0, MIN(AR13, 25000) - 10000) * 1.25 +
  MAX(0, MIN(AR13, 50000) - 25000) * 1.15 +
  MAX(0, MIN(AR13, 100000) - 50000) * 0.9 +
  MAX(0, MIN(AR13, 150000) - 100000) * 0.8 +
  MAX(0, AR13 - 150000) * 0.7
)</f>
        <v>11200</v>
      </c>
      <c r="AS15" s="94">
        <f t="shared" si="81"/>
        <v>0</v>
      </c>
      <c r="AT15" s="95">
        <f t="shared" si="61"/>
        <v>-11200</v>
      </c>
      <c r="AU15" s="96">
        <f t="shared" si="62"/>
        <v>-1</v>
      </c>
      <c r="AV15" s="99">
        <f t="shared" ref="AV15:AW15" si="82">IF(AV13=0, 0,
  MIN(AV13, 10000) * 1.4 +
  MAX(0, MIN(AV13, 25000) - 10000) * 1.25 +
  MAX(0, MIN(AV13, 50000) - 25000) * 1.15 +
  MAX(0, MIN(AV13, 100000) - 50000) * 0.9 +
  MAX(0, MIN(AV13, 150000) - 100000) * 0.8 +
  MAX(0, AV13 - 150000) * 0.7
)</f>
        <v>18166.66667</v>
      </c>
      <c r="AW15" s="94">
        <f t="shared" si="82"/>
        <v>0</v>
      </c>
      <c r="AX15" s="95">
        <f t="shared" si="63"/>
        <v>-18166.66667</v>
      </c>
      <c r="AY15" s="96">
        <f t="shared" si="64"/>
        <v>-1</v>
      </c>
      <c r="AZ15" s="99">
        <f t="shared" ref="AZ15:BA15" si="83">IF(AZ13=0, 0,
  MIN(AZ13, 10000) * 1.4 +
  MAX(0, MIN(AZ13, 25000) - 10000) * 1.25 +
  MAX(0, MIN(AZ13, 50000) - 25000) * 1.15 +
  MAX(0, MIN(AZ13, 100000) - 50000) * 0.9 +
  MAX(0, MIN(AZ13, 150000) - 100000) * 0.8 +
  MAX(0, AZ13 - 150000) * 0.7
)</f>
        <v>22333.33333</v>
      </c>
      <c r="BA15" s="94">
        <f t="shared" si="83"/>
        <v>0</v>
      </c>
      <c r="BB15" s="95">
        <f t="shared" si="65"/>
        <v>-22333.33333</v>
      </c>
      <c r="BC15" s="96">
        <f t="shared" si="66"/>
        <v>-1</v>
      </c>
      <c r="BD15" s="99">
        <f t="shared" ref="BD15:BE15" si="84">IF(BD13=0, 0,
  MIN(BD13, 10000) * 1.4 +
  MAX(0, MIN(BD13, 25000) - 10000) * 1.25 +
  MAX(0, MIN(BD13, 50000) - 25000) * 1.15 +
  MAX(0, MIN(BD13, 100000) - 50000) * 0.9 +
  MAX(0, MIN(BD13, 150000) - 100000) * 0.8 +
  MAX(0, BD13 - 150000) * 0.7
)</f>
        <v>22333.33333</v>
      </c>
      <c r="BE15" s="94">
        <f t="shared" si="84"/>
        <v>0</v>
      </c>
      <c r="BF15" s="95">
        <f t="shared" si="67"/>
        <v>-22333.33333</v>
      </c>
      <c r="BG15" s="96">
        <f t="shared" si="68"/>
        <v>-1</v>
      </c>
      <c r="BH15" s="101">
        <f t="shared" ref="BH15:BI15" si="85">SUM(L15,P15,T15,X15,AB15,AF15,AJ15,AN15,AR15,AV15,AZ15,BD15)</f>
        <v>90833.33333</v>
      </c>
      <c r="BI15" s="134">
        <f t="shared" si="85"/>
        <v>281.4</v>
      </c>
      <c r="BJ15" s="102">
        <f t="shared" si="70"/>
        <v>-0.9969020183</v>
      </c>
      <c r="BK15" s="103" t="s">
        <v>60</v>
      </c>
      <c r="BL15" s="104" t="str">
        <f>IFERROR((BH15/BK15),"-")</f>
        <v>-</v>
      </c>
      <c r="BM15" s="3"/>
      <c r="BN15" s="3"/>
      <c r="BO15" s="3"/>
      <c r="BP15" s="3"/>
      <c r="BQ15" s="3"/>
      <c r="BR15" s="3"/>
    </row>
    <row r="16">
      <c r="A16" s="1"/>
      <c r="B16" s="105"/>
      <c r="C16" s="106"/>
      <c r="D16" s="107"/>
      <c r="E16" s="108"/>
      <c r="F16" s="109"/>
      <c r="G16" s="110"/>
      <c r="H16" s="111"/>
      <c r="I16" s="112"/>
      <c r="J16" s="13"/>
      <c r="K16" s="135"/>
      <c r="L16" s="136"/>
      <c r="M16" s="136"/>
      <c r="N16" s="136"/>
      <c r="O16" s="136"/>
      <c r="P16" s="136"/>
      <c r="Q16" s="23"/>
      <c r="R16" s="136"/>
      <c r="S16" s="136"/>
      <c r="T16" s="136"/>
      <c r="U16" s="136"/>
      <c r="V16" s="136"/>
      <c r="W16" s="136"/>
      <c r="X16" s="137"/>
      <c r="Y16" s="14"/>
      <c r="Z16" s="15"/>
      <c r="AA16" s="3"/>
      <c r="AB16" s="3"/>
      <c r="AC16" s="3"/>
      <c r="AD16" s="3"/>
      <c r="AE16" s="3"/>
      <c r="AF16" s="3"/>
      <c r="AG16" s="25"/>
      <c r="AH16" s="25"/>
      <c r="AI16" s="25"/>
      <c r="AJ16" s="25"/>
      <c r="AK16" s="25"/>
      <c r="AL16" s="25"/>
      <c r="AM16" s="25"/>
      <c r="AN16" s="25"/>
      <c r="AO16" s="25"/>
      <c r="AP16" s="25"/>
      <c r="AQ16" s="25"/>
      <c r="AR16" s="25"/>
      <c r="AS16" s="25"/>
      <c r="AT16" s="25"/>
      <c r="AU16" s="25"/>
      <c r="AV16" s="138"/>
      <c r="AW16" s="25"/>
      <c r="AX16" s="139"/>
      <c r="AY16" s="25"/>
    </row>
    <row r="17">
      <c r="A17" s="1"/>
      <c r="B17" s="105"/>
      <c r="C17" s="106"/>
      <c r="D17" s="107"/>
      <c r="E17" s="108"/>
      <c r="F17" s="109"/>
      <c r="G17" s="110"/>
      <c r="H17" s="111"/>
      <c r="I17" s="140"/>
      <c r="J17" s="34" t="s">
        <v>69</v>
      </c>
      <c r="K17" s="35"/>
      <c r="L17" s="36" t="s">
        <v>10</v>
      </c>
      <c r="M17" s="37" t="s">
        <v>11</v>
      </c>
      <c r="N17" s="38" t="s">
        <v>12</v>
      </c>
      <c r="O17" s="39" t="s">
        <v>13</v>
      </c>
      <c r="P17" s="141" t="s">
        <v>14</v>
      </c>
      <c r="Q17" s="37" t="s">
        <v>15</v>
      </c>
      <c r="R17" s="38" t="s">
        <v>16</v>
      </c>
      <c r="S17" s="39" t="s">
        <v>17</v>
      </c>
      <c r="T17" s="142" t="s">
        <v>18</v>
      </c>
      <c r="U17" s="37" t="s">
        <v>19</v>
      </c>
      <c r="V17" s="38" t="s">
        <v>20</v>
      </c>
      <c r="W17" s="39" t="s">
        <v>21</v>
      </c>
      <c r="X17" s="119" t="s">
        <v>22</v>
      </c>
      <c r="Y17" s="41" t="s">
        <v>23</v>
      </c>
      <c r="Z17" s="38" t="s">
        <v>24</v>
      </c>
      <c r="AA17" s="45" t="s">
        <v>25</v>
      </c>
      <c r="AB17" s="43" t="s">
        <v>26</v>
      </c>
      <c r="AC17" s="41" t="s">
        <v>27</v>
      </c>
      <c r="AD17" s="38" t="s">
        <v>28</v>
      </c>
      <c r="AE17" s="45" t="s">
        <v>29</v>
      </c>
      <c r="AF17" s="44" t="s">
        <v>30</v>
      </c>
      <c r="AG17" s="41" t="s">
        <v>31</v>
      </c>
      <c r="AH17" s="38" t="s">
        <v>32</v>
      </c>
      <c r="AI17" s="45" t="s">
        <v>33</v>
      </c>
      <c r="AJ17" s="43" t="s">
        <v>34</v>
      </c>
      <c r="AK17" s="41" t="s">
        <v>35</v>
      </c>
      <c r="AL17" s="38" t="s">
        <v>36</v>
      </c>
      <c r="AM17" s="45" t="s">
        <v>37</v>
      </c>
      <c r="AN17" s="44" t="s">
        <v>38</v>
      </c>
      <c r="AO17" s="41" t="s">
        <v>39</v>
      </c>
      <c r="AP17" s="38" t="s">
        <v>40</v>
      </c>
      <c r="AQ17" s="45" t="s">
        <v>41</v>
      </c>
      <c r="AR17" s="43" t="s">
        <v>42</v>
      </c>
      <c r="AS17" s="41" t="s">
        <v>43</v>
      </c>
      <c r="AT17" s="38" t="s">
        <v>44</v>
      </c>
      <c r="AU17" s="45" t="s">
        <v>45</v>
      </c>
      <c r="AV17" s="44" t="s">
        <v>46</v>
      </c>
      <c r="AW17" s="41" t="s">
        <v>47</v>
      </c>
      <c r="AX17" s="38" t="s">
        <v>48</v>
      </c>
      <c r="AY17" s="45" t="s">
        <v>49</v>
      </c>
      <c r="AZ17" s="43" t="s">
        <v>50</v>
      </c>
      <c r="BA17" s="41" t="s">
        <v>51</v>
      </c>
      <c r="BB17" s="38" t="s">
        <v>52</v>
      </c>
      <c r="BC17" s="45" t="s">
        <v>53</v>
      </c>
      <c r="BD17" s="44" t="s">
        <v>54</v>
      </c>
      <c r="BE17" s="41" t="s">
        <v>55</v>
      </c>
      <c r="BF17" s="38" t="s">
        <v>56</v>
      </c>
      <c r="BG17" s="45" t="s">
        <v>57</v>
      </c>
      <c r="BH17" s="143">
        <v>2026.0</v>
      </c>
      <c r="BI17" s="123" t="s">
        <v>58</v>
      </c>
      <c r="BJ17" s="47" t="s">
        <v>59</v>
      </c>
      <c r="BK17" s="48">
        <v>2025.0</v>
      </c>
      <c r="BL17" s="49" t="s">
        <v>60</v>
      </c>
      <c r="BM17" s="3"/>
      <c r="BN17" s="3"/>
      <c r="BO17" s="3"/>
      <c r="BP17" s="3"/>
      <c r="BQ17" s="3"/>
      <c r="BR17" s="3"/>
    </row>
    <row r="18" ht="15.75" customHeight="1">
      <c r="A18" s="1"/>
      <c r="B18" s="105">
        <v>4.0</v>
      </c>
      <c r="C18" s="106" t="s">
        <v>70</v>
      </c>
      <c r="D18" s="107">
        <f>15000*12*4</f>
        <v>720000</v>
      </c>
      <c r="E18" s="144">
        <v>92.0</v>
      </c>
      <c r="F18" s="109">
        <f>E18*D18</f>
        <v>66240000</v>
      </c>
      <c r="G18" s="110">
        <v>1632825.7999999607</v>
      </c>
      <c r="H18" s="111">
        <v>15759.0</v>
      </c>
      <c r="I18" s="140">
        <v>103.61227235230413</v>
      </c>
      <c r="J18" s="50" t="s">
        <v>61</v>
      </c>
      <c r="K18" s="51"/>
      <c r="L18" s="52" t="s">
        <v>60</v>
      </c>
      <c r="M18" s="53" t="s">
        <v>60</v>
      </c>
      <c r="N18" s="54" t="s">
        <v>60</v>
      </c>
      <c r="O18" s="55" t="s">
        <v>62</v>
      </c>
      <c r="P18" s="52" t="s">
        <v>60</v>
      </c>
      <c r="Q18" s="53" t="s">
        <v>60</v>
      </c>
      <c r="R18" s="54" t="s">
        <v>60</v>
      </c>
      <c r="S18" s="55" t="s">
        <v>62</v>
      </c>
      <c r="T18" s="52" t="s">
        <v>60</v>
      </c>
      <c r="U18" s="53"/>
      <c r="V18" s="54" t="s">
        <v>60</v>
      </c>
      <c r="W18" s="55" t="s">
        <v>62</v>
      </c>
      <c r="X18" s="52" t="s">
        <v>60</v>
      </c>
      <c r="Y18" s="53"/>
      <c r="Z18" s="54" t="s">
        <v>60</v>
      </c>
      <c r="AA18" s="55" t="s">
        <v>62</v>
      </c>
      <c r="AB18" s="58">
        <v>0.01</v>
      </c>
      <c r="AC18" s="59">
        <f>AC19/(BH19-(L19+P19+T19+X19))</f>
        <v>0.00001</v>
      </c>
      <c r="AD18" s="54" t="s">
        <v>60</v>
      </c>
      <c r="AE18" s="55" t="s">
        <v>62</v>
      </c>
      <c r="AF18" s="58">
        <v>0.05</v>
      </c>
      <c r="AG18" s="59">
        <f>AG19/(BH19-(L19+P19+T19+X19))</f>
        <v>0.0000197225</v>
      </c>
      <c r="AH18" s="54" t="s">
        <v>60</v>
      </c>
      <c r="AI18" s="55" t="s">
        <v>62</v>
      </c>
      <c r="AJ18" s="58">
        <v>0.1</v>
      </c>
      <c r="AK18" s="59">
        <f>AK19/(BH19-(L19+P19+T19+X19))</f>
        <v>0</v>
      </c>
      <c r="AL18" s="54" t="s">
        <v>60</v>
      </c>
      <c r="AM18" s="55" t="s">
        <v>62</v>
      </c>
      <c r="AN18" s="58">
        <v>0.14</v>
      </c>
      <c r="AO18" s="59">
        <f>AO19/(BH19-(L19+P19+T19+X19))</f>
        <v>0</v>
      </c>
      <c r="AP18" s="54" t="s">
        <v>60</v>
      </c>
      <c r="AQ18" s="55" t="s">
        <v>62</v>
      </c>
      <c r="AR18" s="58">
        <v>0.15</v>
      </c>
      <c r="AS18" s="59">
        <f>AS19/(BH19-(L19+P19+T19+X19))</f>
        <v>0</v>
      </c>
      <c r="AT18" s="54" t="s">
        <v>60</v>
      </c>
      <c r="AU18" s="55" t="s">
        <v>62</v>
      </c>
      <c r="AV18" s="58">
        <v>0.2</v>
      </c>
      <c r="AW18" s="59">
        <f>AW19/(BH19-(L19+P19+T19+X19))</f>
        <v>0</v>
      </c>
      <c r="AX18" s="54" t="s">
        <v>60</v>
      </c>
      <c r="AY18" s="55" t="s">
        <v>62</v>
      </c>
      <c r="AZ18" s="58">
        <v>0.2</v>
      </c>
      <c r="BA18" s="59">
        <f>BA19/(BH19-(L19+P19+T19+X19))</f>
        <v>0</v>
      </c>
      <c r="BB18" s="54" t="s">
        <v>60</v>
      </c>
      <c r="BC18" s="55" t="s">
        <v>62</v>
      </c>
      <c r="BD18" s="58">
        <v>0.15</v>
      </c>
      <c r="BE18" s="59">
        <f>BE19/(BH19-(L19+P19+T19+X19))</f>
        <v>0</v>
      </c>
      <c r="BF18" s="54" t="s">
        <v>60</v>
      </c>
      <c r="BG18" s="55" t="s">
        <v>62</v>
      </c>
      <c r="BH18" s="125">
        <f t="shared" ref="BH18:BI18" si="86">SUM(AB18,AF18,AJ18,AN18,AR18,AV18,AZ18,BD18)</f>
        <v>1</v>
      </c>
      <c r="BI18" s="126">
        <f t="shared" si="86"/>
        <v>0.0000297225</v>
      </c>
      <c r="BJ18" s="62"/>
      <c r="BK18" s="63" t="s">
        <v>60</v>
      </c>
      <c r="BL18" s="64"/>
      <c r="BM18" s="3"/>
      <c r="BN18" s="3"/>
      <c r="BO18" s="3"/>
      <c r="BP18" s="3"/>
      <c r="BQ18" s="3"/>
      <c r="BR18" s="3"/>
    </row>
    <row r="19" ht="15.75" customHeight="1">
      <c r="A19" s="1"/>
      <c r="B19" s="26"/>
      <c r="C19" s="27"/>
      <c r="D19" s="28"/>
      <c r="E19" s="29"/>
      <c r="F19" s="30"/>
      <c r="G19" s="31"/>
      <c r="H19" s="32"/>
      <c r="I19" s="33"/>
      <c r="J19" s="50" t="s">
        <v>63</v>
      </c>
      <c r="K19" s="51"/>
      <c r="L19" s="127">
        <v>0.0</v>
      </c>
      <c r="M19" s="66"/>
      <c r="N19" s="67">
        <f t="shared" ref="N19:N22" si="87">IFERROR(M19-L19,"-")</f>
        <v>0</v>
      </c>
      <c r="O19" s="68" t="str">
        <f t="shared" ref="O19:O22" si="88">IFERROR(M19/L19-1,"-")</f>
        <v>-</v>
      </c>
      <c r="P19" s="127">
        <v>0.0</v>
      </c>
      <c r="Q19" s="66"/>
      <c r="R19" s="67">
        <f t="shared" ref="R19:R22" si="89">IFERROR(Q19-P19,"-")</f>
        <v>0</v>
      </c>
      <c r="S19" s="68" t="str">
        <f t="shared" ref="S19:S22" si="90">IFERROR(Q19/P19-1,"-")</f>
        <v>-</v>
      </c>
      <c r="T19" s="65">
        <v>0.0</v>
      </c>
      <c r="U19" s="66"/>
      <c r="V19" s="67">
        <f t="shared" ref="V19:V22" si="91">IFERROR(U19-T19,"-")</f>
        <v>0</v>
      </c>
      <c r="W19" s="68" t="str">
        <f t="shared" ref="W19:W22" si="92">IFERROR(U19/T19-1,"-")</f>
        <v>-</v>
      </c>
      <c r="X19" s="65">
        <v>0.0</v>
      </c>
      <c r="Y19" s="66"/>
      <c r="Z19" s="67">
        <f t="shared" ref="Z19:Z22" si="93">IFERROR(Y19-X19,"-")</f>
        <v>0</v>
      </c>
      <c r="AA19" s="68" t="str">
        <f t="shared" ref="AA19:AA22" si="94">IFERROR(Y19/X19-1,"-")</f>
        <v>-</v>
      </c>
      <c r="AB19" s="71">
        <f>($BH$19-($L$19+$P$19+T19+X19))*AB18</f>
        <v>40000</v>
      </c>
      <c r="AC19" s="66">
        <v>40.0</v>
      </c>
      <c r="AD19" s="67">
        <f t="shared" ref="AD19:AD22" si="95">IFERROR(AC19-AB19,"-")</f>
        <v>-39960</v>
      </c>
      <c r="AE19" s="68">
        <f t="shared" ref="AE19:AE22" si="96">IFERROR(AC19/AB19-1,"-")</f>
        <v>-0.999</v>
      </c>
      <c r="AF19" s="71">
        <f>($BH$19-($L$19+$P$19+$T$19+$X$19))*AF18</f>
        <v>200000</v>
      </c>
      <c r="AG19" s="73">
        <v>78.89</v>
      </c>
      <c r="AH19" s="67">
        <f t="shared" ref="AH19:AH22" si="97">IFERROR(AG19-AF19,"-")</f>
        <v>-199921.11</v>
      </c>
      <c r="AI19" s="68">
        <f t="shared" ref="AI19:AI22" si="98">IFERROR(AG19/AF19-1,"-")</f>
        <v>-0.99960555</v>
      </c>
      <c r="AJ19" s="71">
        <f>($BH$19-($L$19+$P$19+$T$19+$X$19))*AJ18</f>
        <v>400000</v>
      </c>
      <c r="AK19" s="66"/>
      <c r="AL19" s="67">
        <f t="shared" ref="AL19:AL22" si="99">IFERROR(AK19-AJ19,"-")</f>
        <v>-400000</v>
      </c>
      <c r="AM19" s="68">
        <f t="shared" ref="AM19:AM22" si="100">IFERROR(AK19/AJ19-1,"-")</f>
        <v>-1</v>
      </c>
      <c r="AN19" s="71">
        <f>($BH$19-($L$19+$P$19+$T$19+$X$19))*AN18</f>
        <v>560000</v>
      </c>
      <c r="AO19" s="66"/>
      <c r="AP19" s="67">
        <f t="shared" ref="AP19:AP22" si="101">IFERROR(AO19-AN19,"-")</f>
        <v>-560000</v>
      </c>
      <c r="AQ19" s="68">
        <f t="shared" ref="AQ19:AQ22" si="102">IFERROR(AO19/AN19-1,"-")</f>
        <v>-1</v>
      </c>
      <c r="AR19" s="71">
        <f>($BH$19-($L$19+$P$19+$T$19+$X$19))*AR18</f>
        <v>600000</v>
      </c>
      <c r="AS19" s="66"/>
      <c r="AT19" s="67">
        <f t="shared" ref="AT19:AT22" si="103">IFERROR(AS19-AR19,"-")</f>
        <v>-600000</v>
      </c>
      <c r="AU19" s="68">
        <f t="shared" ref="AU19:AU22" si="104">IFERROR(AS19/AR19-1,"-")</f>
        <v>-1</v>
      </c>
      <c r="AV19" s="71">
        <f>($BH$19-($L$19+$P$19+$T$19+$X$19))*AV18</f>
        <v>800000</v>
      </c>
      <c r="AW19" s="66"/>
      <c r="AX19" s="67">
        <f t="shared" ref="AX19:AX22" si="105">IFERROR(AW19-AV19,"-")</f>
        <v>-800000</v>
      </c>
      <c r="AY19" s="68">
        <f t="shared" ref="AY19:AY22" si="106">IFERROR(AW19/AV19-1,"-")</f>
        <v>-1</v>
      </c>
      <c r="AZ19" s="71">
        <f>($BH$19-($L$19+$P$19+$T$19+$X$19))*AZ18</f>
        <v>800000</v>
      </c>
      <c r="BA19" s="66"/>
      <c r="BB19" s="67">
        <f t="shared" ref="BB19:BB22" si="107">IFERROR(BA19-AZ19,"-")</f>
        <v>-800000</v>
      </c>
      <c r="BC19" s="68">
        <f t="shared" ref="BC19:BC22" si="108">IFERROR(BA19/AZ19-1,"-")</f>
        <v>-1</v>
      </c>
      <c r="BD19" s="71">
        <f>($BH$19-($L$19+$P$19+$T$19+$X$19))*BD18</f>
        <v>600000</v>
      </c>
      <c r="BE19" s="66"/>
      <c r="BF19" s="67">
        <f t="shared" ref="BF19:BF22" si="109">IFERROR(BE19-BD19,"-")</f>
        <v>-600000</v>
      </c>
      <c r="BG19" s="68">
        <f t="shared" ref="BG19:BG22" si="110">IFERROR(BE19/BD19-1,"-")</f>
        <v>-1</v>
      </c>
      <c r="BH19" s="75">
        <v>4000000.0</v>
      </c>
      <c r="BI19" s="131">
        <f>SUM(M19,Q19,U19,Y19,AC19,AG19,AK19,AO19,AS19,AW19,BA19,BE19)</f>
        <v>118.89</v>
      </c>
      <c r="BJ19" s="76">
        <f t="shared" ref="BJ19:BJ22" si="112">IFERROR(BI19/BH19-1,"-")</f>
        <v>-0.9999702775</v>
      </c>
      <c r="BK19" s="77" t="s">
        <v>60</v>
      </c>
      <c r="BL19" s="78" t="str">
        <f t="shared" ref="BL19:BL20" si="113">IFERROR((BH19/BK19),"-")</f>
        <v>-</v>
      </c>
      <c r="BM19" s="3"/>
      <c r="BN19" s="3"/>
      <c r="BO19" s="3"/>
      <c r="BP19" s="3"/>
      <c r="BQ19" s="3"/>
      <c r="BR19" s="3"/>
    </row>
    <row r="20" ht="15.75" customHeight="1">
      <c r="A20" s="1"/>
      <c r="B20" s="105"/>
      <c r="C20" s="106"/>
      <c r="D20" s="107"/>
      <c r="E20" s="144"/>
      <c r="F20" s="109"/>
      <c r="G20" s="31"/>
      <c r="H20" s="32"/>
      <c r="I20" s="145"/>
      <c r="J20" s="50" t="s">
        <v>64</v>
      </c>
      <c r="K20" s="79"/>
      <c r="L20" s="129">
        <f>L19/$K$21</f>
        <v>0</v>
      </c>
      <c r="M20" s="81"/>
      <c r="N20" s="82">
        <f t="shared" si="87"/>
        <v>0</v>
      </c>
      <c r="O20" s="68" t="str">
        <f t="shared" si="88"/>
        <v>-</v>
      </c>
      <c r="P20" s="129">
        <f>P19/$K$21</f>
        <v>0</v>
      </c>
      <c r="Q20" s="81"/>
      <c r="R20" s="82">
        <f t="shared" si="89"/>
        <v>0</v>
      </c>
      <c r="S20" s="68" t="str">
        <f t="shared" si="90"/>
        <v>-</v>
      </c>
      <c r="T20" s="80">
        <f>T19/$K$21</f>
        <v>0</v>
      </c>
      <c r="U20" s="81"/>
      <c r="V20" s="82">
        <f t="shared" si="91"/>
        <v>0</v>
      </c>
      <c r="W20" s="68" t="str">
        <f t="shared" si="92"/>
        <v>-</v>
      </c>
      <c r="X20" s="80">
        <f>X19/$K$21</f>
        <v>0</v>
      </c>
      <c r="Y20" s="81"/>
      <c r="Z20" s="82">
        <f t="shared" si="93"/>
        <v>0</v>
      </c>
      <c r="AA20" s="68" t="str">
        <f t="shared" si="94"/>
        <v>-</v>
      </c>
      <c r="AB20" s="84">
        <f>AB19/$K$21</f>
        <v>222.2222222</v>
      </c>
      <c r="AC20" s="81">
        <v>2.0</v>
      </c>
      <c r="AD20" s="82">
        <f t="shared" si="95"/>
        <v>-220.2222222</v>
      </c>
      <c r="AE20" s="68">
        <f t="shared" si="96"/>
        <v>-0.991</v>
      </c>
      <c r="AF20" s="84">
        <f>AF19/$K$21</f>
        <v>1111.111111</v>
      </c>
      <c r="AG20" s="85">
        <v>2.0</v>
      </c>
      <c r="AH20" s="82">
        <f t="shared" si="97"/>
        <v>-1109.111111</v>
      </c>
      <c r="AI20" s="68">
        <f t="shared" si="98"/>
        <v>-0.9982</v>
      </c>
      <c r="AJ20" s="84">
        <f>AJ19/$K$21</f>
        <v>2222.222222</v>
      </c>
      <c r="AK20" s="81"/>
      <c r="AL20" s="82">
        <f t="shared" si="99"/>
        <v>-2222.222222</v>
      </c>
      <c r="AM20" s="68">
        <f t="shared" si="100"/>
        <v>-1</v>
      </c>
      <c r="AN20" s="84">
        <f>AN19/$K$21</f>
        <v>3111.111111</v>
      </c>
      <c r="AO20" s="81"/>
      <c r="AP20" s="82">
        <f t="shared" si="101"/>
        <v>-3111.111111</v>
      </c>
      <c r="AQ20" s="68">
        <f t="shared" si="102"/>
        <v>-1</v>
      </c>
      <c r="AR20" s="84">
        <f>AR19/$K$21</f>
        <v>3333.333333</v>
      </c>
      <c r="AS20" s="81"/>
      <c r="AT20" s="82">
        <f t="shared" si="103"/>
        <v>-3333.333333</v>
      </c>
      <c r="AU20" s="68">
        <f t="shared" si="104"/>
        <v>-1</v>
      </c>
      <c r="AV20" s="84">
        <f>AV19/$K$21</f>
        <v>4444.444444</v>
      </c>
      <c r="AW20" s="81"/>
      <c r="AX20" s="82">
        <f t="shared" si="105"/>
        <v>-4444.444444</v>
      </c>
      <c r="AY20" s="68">
        <f t="shared" si="106"/>
        <v>-1</v>
      </c>
      <c r="AZ20" s="84">
        <f>AZ19/$K$21</f>
        <v>4444.444444</v>
      </c>
      <c r="BA20" s="81"/>
      <c r="BB20" s="82">
        <f t="shared" si="107"/>
        <v>-4444.444444</v>
      </c>
      <c r="BC20" s="68">
        <f t="shared" si="108"/>
        <v>-1</v>
      </c>
      <c r="BD20" s="84">
        <f>BD19/$K$21</f>
        <v>3333.333333</v>
      </c>
      <c r="BE20" s="81"/>
      <c r="BF20" s="82">
        <f t="shared" si="109"/>
        <v>-3333.333333</v>
      </c>
      <c r="BG20" s="68">
        <f t="shared" si="110"/>
        <v>-1</v>
      </c>
      <c r="BH20" s="87">
        <f t="shared" ref="BH20:BI20" si="111">SUM(L20,P20,T20,X20,AB20,AF20,AJ20,AN20,AR20,AV20,AZ20,BD20)</f>
        <v>22222.22222</v>
      </c>
      <c r="BI20" s="130">
        <f t="shared" si="111"/>
        <v>4</v>
      </c>
      <c r="BJ20" s="76">
        <f t="shared" si="112"/>
        <v>-0.99982</v>
      </c>
      <c r="BK20" s="88" t="s">
        <v>60</v>
      </c>
      <c r="BL20" s="78" t="str">
        <f t="shared" si="113"/>
        <v>-</v>
      </c>
      <c r="BM20" s="4"/>
      <c r="BN20" s="3"/>
      <c r="BO20" s="3"/>
      <c r="BP20" s="3"/>
      <c r="BQ20" s="3"/>
      <c r="BR20" s="3"/>
    </row>
    <row r="21" ht="15.75" customHeight="1">
      <c r="A21" s="1"/>
      <c r="B21" s="105"/>
      <c r="C21" s="106"/>
      <c r="D21" s="107"/>
      <c r="E21" s="144"/>
      <c r="F21" s="109"/>
      <c r="G21" s="31"/>
      <c r="H21" s="32"/>
      <c r="I21" s="145"/>
      <c r="J21" s="50" t="s">
        <v>65</v>
      </c>
      <c r="K21" s="79">
        <v>180.0</v>
      </c>
      <c r="L21" s="127">
        <v>180.0</v>
      </c>
      <c r="M21" s="66" t="str">
        <f>IFERROR(M19/M20,"-")</f>
        <v>-</v>
      </c>
      <c r="N21" s="67" t="str">
        <f t="shared" si="87"/>
        <v>-</v>
      </c>
      <c r="O21" s="68" t="str">
        <f t="shared" si="88"/>
        <v>-</v>
      </c>
      <c r="P21" s="127">
        <v>180.0</v>
      </c>
      <c r="Q21" s="66" t="str">
        <f>IFERROR(Q19/Q20,"-")</f>
        <v>-</v>
      </c>
      <c r="R21" s="67" t="str">
        <f t="shared" si="89"/>
        <v>-</v>
      </c>
      <c r="S21" s="68" t="str">
        <f t="shared" si="90"/>
        <v>-</v>
      </c>
      <c r="T21" s="65">
        <v>180.0</v>
      </c>
      <c r="U21" s="66" t="str">
        <f>IFERROR(U19/U20,"-")</f>
        <v>-</v>
      </c>
      <c r="V21" s="67" t="str">
        <f t="shared" si="91"/>
        <v>-</v>
      </c>
      <c r="W21" s="68" t="str">
        <f t="shared" si="92"/>
        <v>-</v>
      </c>
      <c r="X21" s="127">
        <v>180.0</v>
      </c>
      <c r="Y21" s="66" t="str">
        <f>IFERROR(Y19/Y20,"-")</f>
        <v>-</v>
      </c>
      <c r="Z21" s="67" t="str">
        <f t="shared" si="93"/>
        <v>-</v>
      </c>
      <c r="AA21" s="68" t="str">
        <f t="shared" si="94"/>
        <v>-</v>
      </c>
      <c r="AB21" s="71">
        <f>AB19/AB20</f>
        <v>180</v>
      </c>
      <c r="AC21" s="66">
        <f>IFERROR(AC19/AC20,"-")</f>
        <v>20</v>
      </c>
      <c r="AD21" s="67">
        <f t="shared" si="95"/>
        <v>-160</v>
      </c>
      <c r="AE21" s="68">
        <f t="shared" si="96"/>
        <v>-0.8888888889</v>
      </c>
      <c r="AF21" s="71">
        <f>AF19/AF20</f>
        <v>180</v>
      </c>
      <c r="AG21" s="66">
        <f>IFERROR(AG19/AG20,"-")</f>
        <v>39.445</v>
      </c>
      <c r="AH21" s="67">
        <f t="shared" si="97"/>
        <v>-140.555</v>
      </c>
      <c r="AI21" s="68">
        <f t="shared" si="98"/>
        <v>-0.7808611111</v>
      </c>
      <c r="AJ21" s="71">
        <f>AJ19/AJ20</f>
        <v>180</v>
      </c>
      <c r="AK21" s="66" t="str">
        <f>IFERROR(AK19/AK20,"-")</f>
        <v>-</v>
      </c>
      <c r="AL21" s="67" t="str">
        <f t="shared" si="99"/>
        <v>-</v>
      </c>
      <c r="AM21" s="68" t="str">
        <f t="shared" si="100"/>
        <v>-</v>
      </c>
      <c r="AN21" s="71">
        <f>AN19/AN20</f>
        <v>180</v>
      </c>
      <c r="AO21" s="66" t="str">
        <f>IFERROR(AO19/AO20,"-")</f>
        <v>-</v>
      </c>
      <c r="AP21" s="67" t="str">
        <f t="shared" si="101"/>
        <v>-</v>
      </c>
      <c r="AQ21" s="68" t="str">
        <f t="shared" si="102"/>
        <v>-</v>
      </c>
      <c r="AR21" s="71">
        <f>AR19/AR20</f>
        <v>180</v>
      </c>
      <c r="AS21" s="66" t="str">
        <f>IFERROR(AS19/AS20,"-")</f>
        <v>-</v>
      </c>
      <c r="AT21" s="67" t="str">
        <f t="shared" si="103"/>
        <v>-</v>
      </c>
      <c r="AU21" s="68" t="str">
        <f t="shared" si="104"/>
        <v>-</v>
      </c>
      <c r="AV21" s="71">
        <f>AV19/AV20</f>
        <v>180</v>
      </c>
      <c r="AW21" s="66" t="str">
        <f>IFERROR(AW19/AW20,"-")</f>
        <v>-</v>
      </c>
      <c r="AX21" s="67" t="str">
        <f t="shared" si="105"/>
        <v>-</v>
      </c>
      <c r="AY21" s="68" t="str">
        <f t="shared" si="106"/>
        <v>-</v>
      </c>
      <c r="AZ21" s="71">
        <f>AZ19/AZ20</f>
        <v>180</v>
      </c>
      <c r="BA21" s="66" t="str">
        <f>IFERROR(BA19/BA20,"-")</f>
        <v>-</v>
      </c>
      <c r="BB21" s="67" t="str">
        <f t="shared" si="107"/>
        <v>-</v>
      </c>
      <c r="BC21" s="68" t="str">
        <f t="shared" si="108"/>
        <v>-</v>
      </c>
      <c r="BD21" s="71">
        <f>BD19/BD20</f>
        <v>180</v>
      </c>
      <c r="BE21" s="66" t="str">
        <f>IFERROR(BE19/BE20,"-")</f>
        <v>-</v>
      </c>
      <c r="BF21" s="67" t="str">
        <f t="shared" si="109"/>
        <v>-</v>
      </c>
      <c r="BG21" s="68" t="str">
        <f t="shared" si="110"/>
        <v>-</v>
      </c>
      <c r="BH21" s="90">
        <f>BH19/BH20</f>
        <v>180</v>
      </c>
      <c r="BI21" s="146">
        <f>IFERROR(BI19/BI20,"-")</f>
        <v>29.7225</v>
      </c>
      <c r="BJ21" s="76">
        <f t="shared" si="112"/>
        <v>-0.834875</v>
      </c>
      <c r="BK21" s="88"/>
      <c r="BL21" s="78"/>
      <c r="BM21" s="4"/>
      <c r="BN21" s="3"/>
      <c r="BO21" s="3"/>
      <c r="BP21" s="3"/>
      <c r="BQ21" s="3"/>
      <c r="BR21" s="3"/>
    </row>
    <row r="22" ht="15.75" customHeight="1">
      <c r="A22" s="1"/>
      <c r="B22" s="105"/>
      <c r="C22" s="106"/>
      <c r="D22" s="107"/>
      <c r="E22" s="144"/>
      <c r="F22" s="109"/>
      <c r="G22" s="110"/>
      <c r="H22" s="111"/>
      <c r="I22" s="140"/>
      <c r="J22" s="91" t="s">
        <v>66</v>
      </c>
      <c r="K22" s="133">
        <v>4.5</v>
      </c>
      <c r="L22" s="99">
        <f t="shared" ref="L22:M22" si="114">$K$22*L20</f>
        <v>0</v>
      </c>
      <c r="M22" s="94">
        <f t="shared" si="114"/>
        <v>0</v>
      </c>
      <c r="N22" s="95">
        <f t="shared" si="87"/>
        <v>0</v>
      </c>
      <c r="O22" s="96" t="str">
        <f t="shared" si="88"/>
        <v>-</v>
      </c>
      <c r="P22" s="99">
        <f t="shared" ref="P22:Q22" si="115">$K$22*P20</f>
        <v>0</v>
      </c>
      <c r="Q22" s="94">
        <f t="shared" si="115"/>
        <v>0</v>
      </c>
      <c r="R22" s="95">
        <f t="shared" si="89"/>
        <v>0</v>
      </c>
      <c r="S22" s="96" t="str">
        <f t="shared" si="90"/>
        <v>-</v>
      </c>
      <c r="T22" s="93">
        <f t="shared" ref="T22:U22" si="116">$K$22*T20</f>
        <v>0</v>
      </c>
      <c r="U22" s="97">
        <f t="shared" si="116"/>
        <v>0</v>
      </c>
      <c r="V22" s="95">
        <f t="shared" si="91"/>
        <v>0</v>
      </c>
      <c r="W22" s="96" t="str">
        <f t="shared" si="92"/>
        <v>-</v>
      </c>
      <c r="X22" s="93">
        <f t="shared" ref="X22:Y22" si="117">$K$22*X20</f>
        <v>0</v>
      </c>
      <c r="Y22" s="97">
        <f t="shared" si="117"/>
        <v>0</v>
      </c>
      <c r="Z22" s="95">
        <f t="shared" si="93"/>
        <v>0</v>
      </c>
      <c r="AA22" s="96" t="str">
        <f t="shared" si="94"/>
        <v>-</v>
      </c>
      <c r="AB22" s="93">
        <f t="shared" ref="AB22:AC22" si="118">$K$22*AB20</f>
        <v>1000</v>
      </c>
      <c r="AC22" s="97">
        <f t="shared" si="118"/>
        <v>9</v>
      </c>
      <c r="AD22" s="95">
        <f t="shared" si="95"/>
        <v>-991</v>
      </c>
      <c r="AE22" s="96">
        <f t="shared" si="96"/>
        <v>-0.991</v>
      </c>
      <c r="AF22" s="93">
        <f t="shared" ref="AF22:AG22" si="119">$K$22*AF20</f>
        <v>5000</v>
      </c>
      <c r="AG22" s="97">
        <f t="shared" si="119"/>
        <v>9</v>
      </c>
      <c r="AH22" s="95">
        <f t="shared" si="97"/>
        <v>-4991</v>
      </c>
      <c r="AI22" s="96">
        <f t="shared" si="98"/>
        <v>-0.9982</v>
      </c>
      <c r="AJ22" s="93">
        <f t="shared" ref="AJ22:AK22" si="120">$K$22*AJ20</f>
        <v>10000</v>
      </c>
      <c r="AK22" s="97">
        <f t="shared" si="120"/>
        <v>0</v>
      </c>
      <c r="AL22" s="95">
        <f t="shared" si="99"/>
        <v>-10000</v>
      </c>
      <c r="AM22" s="96">
        <f t="shared" si="100"/>
        <v>-1</v>
      </c>
      <c r="AN22" s="93">
        <f t="shared" ref="AN22:AO22" si="121">$K$22*AN20</f>
        <v>14000</v>
      </c>
      <c r="AO22" s="97">
        <f t="shared" si="121"/>
        <v>0</v>
      </c>
      <c r="AP22" s="95">
        <f t="shared" si="101"/>
        <v>-14000</v>
      </c>
      <c r="AQ22" s="96">
        <f t="shared" si="102"/>
        <v>-1</v>
      </c>
      <c r="AR22" s="93">
        <f t="shared" ref="AR22:AS22" si="122">$K$22*AR20</f>
        <v>15000</v>
      </c>
      <c r="AS22" s="97">
        <f t="shared" si="122"/>
        <v>0</v>
      </c>
      <c r="AT22" s="95">
        <f t="shared" si="103"/>
        <v>-15000</v>
      </c>
      <c r="AU22" s="96">
        <f t="shared" si="104"/>
        <v>-1</v>
      </c>
      <c r="AV22" s="93">
        <f t="shared" ref="AV22:AW22" si="123">$K$22*AV20</f>
        <v>20000</v>
      </c>
      <c r="AW22" s="97">
        <f t="shared" si="123"/>
        <v>0</v>
      </c>
      <c r="AX22" s="95">
        <f t="shared" si="105"/>
        <v>-20000</v>
      </c>
      <c r="AY22" s="96">
        <f t="shared" si="106"/>
        <v>-1</v>
      </c>
      <c r="AZ22" s="93">
        <f t="shared" ref="AZ22:BA22" si="124">$K$22*AZ20</f>
        <v>20000</v>
      </c>
      <c r="BA22" s="97">
        <f t="shared" si="124"/>
        <v>0</v>
      </c>
      <c r="BB22" s="95">
        <f t="shared" si="107"/>
        <v>-20000</v>
      </c>
      <c r="BC22" s="96">
        <f t="shared" si="108"/>
        <v>-1</v>
      </c>
      <c r="BD22" s="93">
        <f t="shared" ref="BD22:BE22" si="125">$K$22*BD20</f>
        <v>15000</v>
      </c>
      <c r="BE22" s="97">
        <f t="shared" si="125"/>
        <v>0</v>
      </c>
      <c r="BF22" s="95">
        <f t="shared" si="109"/>
        <v>-15000</v>
      </c>
      <c r="BG22" s="96">
        <f t="shared" si="110"/>
        <v>-1</v>
      </c>
      <c r="BH22" s="101">
        <f t="shared" ref="BH22:BI22" si="126">SUM(L22,P22,T22,X22,AB22,AF22,AJ22,AN22,AR22,AV22,AZ22,BD22)</f>
        <v>100000</v>
      </c>
      <c r="BI22" s="134">
        <f t="shared" si="126"/>
        <v>18</v>
      </c>
      <c r="BJ22" s="102">
        <f t="shared" si="112"/>
        <v>-0.99982</v>
      </c>
      <c r="BK22" s="103" t="s">
        <v>60</v>
      </c>
      <c r="BL22" s="104" t="str">
        <f>IFERROR((BH22/BK22),"-")</f>
        <v>-</v>
      </c>
      <c r="BM22" s="147"/>
      <c r="BN22" s="147"/>
      <c r="BO22" s="3"/>
      <c r="BP22" s="3"/>
      <c r="BQ22" s="3"/>
      <c r="BR22" s="3"/>
    </row>
    <row r="23" ht="15.75" customHeight="1">
      <c r="A23" s="1"/>
      <c r="B23" s="105"/>
      <c r="C23" s="106"/>
      <c r="D23" s="107"/>
      <c r="E23" s="144"/>
      <c r="F23" s="109"/>
      <c r="G23" s="110"/>
      <c r="H23" s="111"/>
      <c r="I23" s="140"/>
      <c r="J23" s="12"/>
      <c r="K23" s="148"/>
      <c r="L23" s="12"/>
      <c r="M23" s="149"/>
      <c r="N23" s="149"/>
      <c r="O23" s="150"/>
      <c r="P23" s="149"/>
      <c r="Q23" s="23"/>
      <c r="R23" s="149"/>
      <c r="S23" s="12"/>
      <c r="T23" s="12"/>
      <c r="U23" s="12"/>
      <c r="V23" s="12"/>
      <c r="W23" s="12"/>
      <c r="X23" s="13"/>
      <c r="Y23" s="14"/>
      <c r="Z23" s="15"/>
      <c r="AA23" s="3"/>
      <c r="AB23" s="3"/>
      <c r="AC23" s="3"/>
      <c r="AD23" s="3"/>
      <c r="AE23" s="3"/>
      <c r="AF23" s="3"/>
      <c r="AV23" s="138"/>
      <c r="AW23" s="25"/>
      <c r="AX23" s="139"/>
      <c r="AY23" s="25"/>
    </row>
    <row r="24" ht="15.75" customHeight="1">
      <c r="A24" s="1"/>
      <c r="B24" s="105"/>
      <c r="C24" s="106"/>
      <c r="D24" s="107"/>
      <c r="E24" s="144"/>
      <c r="F24" s="109"/>
      <c r="G24" s="110"/>
      <c r="H24" s="111"/>
      <c r="I24" s="112"/>
      <c r="J24" s="34" t="s">
        <v>71</v>
      </c>
      <c r="K24" s="151"/>
      <c r="L24" s="36" t="s">
        <v>10</v>
      </c>
      <c r="M24" s="152" t="s">
        <v>11</v>
      </c>
      <c r="N24" s="38" t="s">
        <v>12</v>
      </c>
      <c r="O24" s="45" t="s">
        <v>13</v>
      </c>
      <c r="P24" s="119" t="s">
        <v>14</v>
      </c>
      <c r="Q24" s="152" t="s">
        <v>15</v>
      </c>
      <c r="R24" s="38" t="s">
        <v>16</v>
      </c>
      <c r="S24" s="45" t="s">
        <v>17</v>
      </c>
      <c r="T24" s="43" t="s">
        <v>18</v>
      </c>
      <c r="U24" s="152" t="s">
        <v>19</v>
      </c>
      <c r="V24" s="38" t="s">
        <v>20</v>
      </c>
      <c r="W24" s="45" t="s">
        <v>21</v>
      </c>
      <c r="X24" s="44" t="s">
        <v>22</v>
      </c>
      <c r="Y24" s="152" t="s">
        <v>23</v>
      </c>
      <c r="Z24" s="38" t="s">
        <v>24</v>
      </c>
      <c r="AA24" s="45" t="s">
        <v>25</v>
      </c>
      <c r="AB24" s="43" t="s">
        <v>26</v>
      </c>
      <c r="AC24" s="152" t="s">
        <v>27</v>
      </c>
      <c r="AD24" s="38" t="s">
        <v>28</v>
      </c>
      <c r="AE24" s="45" t="s">
        <v>29</v>
      </c>
      <c r="AF24" s="44" t="s">
        <v>30</v>
      </c>
      <c r="AG24" s="152" t="s">
        <v>31</v>
      </c>
      <c r="AH24" s="38" t="s">
        <v>32</v>
      </c>
      <c r="AI24" s="45" t="s">
        <v>33</v>
      </c>
      <c r="AJ24" s="43" t="s">
        <v>34</v>
      </c>
      <c r="AK24" s="152" t="s">
        <v>35</v>
      </c>
      <c r="AL24" s="38" t="s">
        <v>36</v>
      </c>
      <c r="AM24" s="45" t="s">
        <v>37</v>
      </c>
      <c r="AN24" s="44" t="s">
        <v>38</v>
      </c>
      <c r="AO24" s="152" t="s">
        <v>39</v>
      </c>
      <c r="AP24" s="38" t="s">
        <v>40</v>
      </c>
      <c r="AQ24" s="42" t="s">
        <v>41</v>
      </c>
      <c r="AR24" s="43" t="s">
        <v>42</v>
      </c>
      <c r="AS24" s="152" t="s">
        <v>43</v>
      </c>
      <c r="AT24" s="38" t="s">
        <v>44</v>
      </c>
      <c r="AU24" s="45" t="s">
        <v>45</v>
      </c>
      <c r="AV24" s="44" t="s">
        <v>46</v>
      </c>
      <c r="AW24" s="152" t="s">
        <v>47</v>
      </c>
      <c r="AX24" s="38" t="s">
        <v>48</v>
      </c>
      <c r="AY24" s="45" t="s">
        <v>49</v>
      </c>
      <c r="AZ24" s="43" t="s">
        <v>50</v>
      </c>
      <c r="BA24" s="152" t="s">
        <v>51</v>
      </c>
      <c r="BB24" s="38" t="s">
        <v>52</v>
      </c>
      <c r="BC24" s="45" t="s">
        <v>53</v>
      </c>
      <c r="BD24" s="153" t="s">
        <v>54</v>
      </c>
      <c r="BE24" s="152" t="s">
        <v>55</v>
      </c>
      <c r="BF24" s="38" t="s">
        <v>56</v>
      </c>
      <c r="BG24" s="42" t="s">
        <v>57</v>
      </c>
      <c r="BH24" s="46">
        <v>2026.0</v>
      </c>
      <c r="BI24" s="37" t="s">
        <v>58</v>
      </c>
      <c r="BJ24" s="47" t="s">
        <v>59</v>
      </c>
      <c r="BK24" s="48">
        <v>2025.0</v>
      </c>
      <c r="BL24" s="49"/>
      <c r="BM24" s="3"/>
      <c r="BN24" s="3"/>
      <c r="BO24" s="3"/>
      <c r="BP24" s="3"/>
      <c r="BQ24" s="3"/>
      <c r="BR24" s="3"/>
    </row>
    <row r="25" ht="15.75" customHeight="1">
      <c r="A25" s="1"/>
      <c r="B25" s="105">
        <v>5.0</v>
      </c>
      <c r="C25" s="106" t="s">
        <v>72</v>
      </c>
      <c r="D25" s="107">
        <f>28*2*12</f>
        <v>672</v>
      </c>
      <c r="E25" s="144"/>
      <c r="F25" s="109">
        <f>D25*35</f>
        <v>23520</v>
      </c>
      <c r="G25" s="110">
        <v>14.9</v>
      </c>
      <c r="H25" s="111">
        <v>1.0</v>
      </c>
      <c r="I25" s="112">
        <v>14.9</v>
      </c>
      <c r="J25" s="50" t="s">
        <v>61</v>
      </c>
      <c r="K25" s="51"/>
      <c r="L25" s="52" t="s">
        <v>60</v>
      </c>
      <c r="M25" s="154" t="s">
        <v>60</v>
      </c>
      <c r="N25" s="54" t="s">
        <v>60</v>
      </c>
      <c r="O25" s="55" t="s">
        <v>62</v>
      </c>
      <c r="P25" s="52" t="s">
        <v>60</v>
      </c>
      <c r="Q25" s="154" t="s">
        <v>60</v>
      </c>
      <c r="R25" s="54" t="s">
        <v>60</v>
      </c>
      <c r="S25" s="55" t="s">
        <v>62</v>
      </c>
      <c r="T25" s="58">
        <v>0.03</v>
      </c>
      <c r="U25" s="59">
        <f>U26/(BH26-(L26 + P26))</f>
        <v>0.02879612608</v>
      </c>
      <c r="V25" s="54" t="s">
        <v>60</v>
      </c>
      <c r="W25" s="55" t="s">
        <v>62</v>
      </c>
      <c r="X25" s="58">
        <v>0.03</v>
      </c>
      <c r="Y25" s="59">
        <f>Y26/(BH26-(L26+P26))</f>
        <v>0.02240856239</v>
      </c>
      <c r="Z25" s="54" t="s">
        <v>60</v>
      </c>
      <c r="AA25" s="55" t="s">
        <v>62</v>
      </c>
      <c r="AB25" s="58">
        <v>0.05</v>
      </c>
      <c r="AC25" s="59">
        <f>AC26/(BH26-(L26+P26))</f>
        <v>0.02664965997</v>
      </c>
      <c r="AD25" s="54" t="s">
        <v>60</v>
      </c>
      <c r="AE25" s="55" t="s">
        <v>62</v>
      </c>
      <c r="AF25" s="58">
        <v>0.08</v>
      </c>
      <c r="AG25" s="59">
        <f>AG26/(BH26-(L26+P26))</f>
        <v>0.01858428958</v>
      </c>
      <c r="AH25" s="54" t="s">
        <v>60</v>
      </c>
      <c r="AI25" s="55" t="s">
        <v>62</v>
      </c>
      <c r="AJ25" s="58">
        <v>0.13</v>
      </c>
      <c r="AK25" s="59">
        <f>AK26/(BH26-(L26+P26))</f>
        <v>0</v>
      </c>
      <c r="AL25" s="54" t="s">
        <v>60</v>
      </c>
      <c r="AM25" s="55" t="s">
        <v>62</v>
      </c>
      <c r="AN25" s="58">
        <v>0.13</v>
      </c>
      <c r="AO25" s="59">
        <f>AO26/(BH26-(L26+P26))</f>
        <v>0</v>
      </c>
      <c r="AP25" s="54" t="s">
        <v>60</v>
      </c>
      <c r="AQ25" s="57" t="s">
        <v>62</v>
      </c>
      <c r="AR25" s="58">
        <v>0.13</v>
      </c>
      <c r="AS25" s="59">
        <f>AS26/(BH26-(L26+P26))</f>
        <v>0</v>
      </c>
      <c r="AT25" s="54" t="s">
        <v>60</v>
      </c>
      <c r="AU25" s="55" t="s">
        <v>62</v>
      </c>
      <c r="AV25" s="58">
        <v>0.13</v>
      </c>
      <c r="AW25" s="59">
        <f>AW26/(BH26-(L26+P26))</f>
        <v>0</v>
      </c>
      <c r="AX25" s="54" t="s">
        <v>60</v>
      </c>
      <c r="AY25" s="55" t="s">
        <v>62</v>
      </c>
      <c r="AZ25" s="58">
        <v>0.16</v>
      </c>
      <c r="BA25" s="59">
        <f>BA26/(BH26-(L26+P26))</f>
        <v>0</v>
      </c>
      <c r="BB25" s="54" t="s">
        <v>60</v>
      </c>
      <c r="BC25" s="55" t="s">
        <v>62</v>
      </c>
      <c r="BD25" s="155">
        <v>0.13</v>
      </c>
      <c r="BE25" s="59">
        <f>BE26/(BH26-(L26+P26))</f>
        <v>0</v>
      </c>
      <c r="BF25" s="54" t="s">
        <v>60</v>
      </c>
      <c r="BG25" s="57" t="s">
        <v>62</v>
      </c>
      <c r="BH25" s="60">
        <f t="shared" ref="BH25:BI25" si="127">SUM(T25,X25,AB25,AF25,AJ25,AN25,AR25,AV25,AZ25,BD25)</f>
        <v>1</v>
      </c>
      <c r="BI25" s="61">
        <f t="shared" si="127"/>
        <v>0.09643863802</v>
      </c>
      <c r="BJ25" s="62"/>
      <c r="BK25" s="63" t="s">
        <v>60</v>
      </c>
      <c r="BL25" s="64"/>
      <c r="BM25" s="3"/>
      <c r="BN25" s="3"/>
      <c r="BO25" s="3"/>
      <c r="BP25" s="3"/>
      <c r="BQ25" s="3"/>
      <c r="BR25" s="3"/>
    </row>
    <row r="26" ht="15.75" customHeight="1">
      <c r="A26" s="1"/>
      <c r="B26" s="105"/>
      <c r="C26" s="106"/>
      <c r="D26" s="107"/>
      <c r="E26" s="144"/>
      <c r="F26" s="109"/>
      <c r="G26" s="110"/>
      <c r="H26" s="111"/>
      <c r="I26" s="112"/>
      <c r="J26" s="50" t="s">
        <v>63</v>
      </c>
      <c r="K26" s="51"/>
      <c r="L26" s="127">
        <v>138541.22</v>
      </c>
      <c r="M26" s="66">
        <v>150043.78</v>
      </c>
      <c r="N26" s="67">
        <f t="shared" ref="N26:N29" si="128">IFERROR(M26-L26,"-")</f>
        <v>11502.56</v>
      </c>
      <c r="O26" s="68">
        <f t="shared" ref="O26:O29" si="129">IFERROR(M26/L26-1,"-")</f>
        <v>0.08302626467</v>
      </c>
      <c r="P26" s="127">
        <v>119609.0</v>
      </c>
      <c r="Q26" s="66">
        <v>130221.82</v>
      </c>
      <c r="R26" s="67">
        <f t="shared" ref="R26:R29" si="130">IFERROR(Q26-P26,"-")</f>
        <v>10612.82</v>
      </c>
      <c r="S26" s="68">
        <f t="shared" ref="S26:S29" si="131">IFERROR(Q26/P26-1,"-")</f>
        <v>0.08872927623</v>
      </c>
      <c r="T26" s="71">
        <f>($BH$26-($L$26+$P$26))*T25</f>
        <v>137728.3802</v>
      </c>
      <c r="U26" s="66">
        <v>132201.46</v>
      </c>
      <c r="V26" s="67">
        <f t="shared" ref="V26:V29" si="132">IFERROR(U26-T26,"-")</f>
        <v>-5526.920171</v>
      </c>
      <c r="W26" s="68">
        <f t="shared" ref="W26:W29" si="133">IFERROR(U26/T26-1,"-")</f>
        <v>-0.04012913071</v>
      </c>
      <c r="X26" s="71">
        <f>($BH$26-($L$26+$P$26))*X25</f>
        <v>137728.3802</v>
      </c>
      <c r="Y26" s="66">
        <v>102876.5</v>
      </c>
      <c r="Z26" s="67">
        <f t="shared" ref="Z26:Z29" si="134">IFERROR(Y26-X26,"-")</f>
        <v>-34851.88017</v>
      </c>
      <c r="AA26" s="68">
        <f t="shared" ref="AA26:AA29" si="135">IFERROR(Y26/X26-1,"-")</f>
        <v>-0.2530479203</v>
      </c>
      <c r="AB26" s="71">
        <f>($BH$26-($L$26+$P$26))*AB25</f>
        <v>229547.3003</v>
      </c>
      <c r="AC26" s="66">
        <v>122347.15</v>
      </c>
      <c r="AD26" s="67">
        <f t="shared" ref="AD26:AD29" si="136">IFERROR(AC26-AB26,"-")</f>
        <v>-107200.1503</v>
      </c>
      <c r="AE26" s="68">
        <f t="shared" ref="AE26:AE29" si="137">IFERROR(AC26/AB26-1,"-")</f>
        <v>-0.4670068006</v>
      </c>
      <c r="AF26" s="71">
        <f>($BH$26-($L$26+$P$26))*AF25</f>
        <v>367275.6805</v>
      </c>
      <c r="AG26" s="73">
        <v>85319.47</v>
      </c>
      <c r="AH26" s="67">
        <f t="shared" ref="AH26:AH29" si="138">IFERROR(AG26-AF26,"-")</f>
        <v>-281956.2105</v>
      </c>
      <c r="AI26" s="68">
        <f t="shared" ref="AI26:AI29" si="139">IFERROR(AG26/AF26-1,"-")</f>
        <v>-0.7676963803</v>
      </c>
      <c r="AJ26" s="71">
        <f>($BH$26-($L$26+$P$26))*AJ25</f>
        <v>596822.9807</v>
      </c>
      <c r="AK26" s="66"/>
      <c r="AL26" s="67">
        <f t="shared" ref="AL26:AL29" si="140">IFERROR(AK26-AJ26,"-")</f>
        <v>-596822.9807</v>
      </c>
      <c r="AM26" s="68">
        <f t="shared" ref="AM26:AM29" si="141">IFERROR(AK26/AJ26-1,"-")</f>
        <v>-1</v>
      </c>
      <c r="AN26" s="71">
        <f>($BH$26-($L$26+$P$26))*AN25</f>
        <v>596822.9807</v>
      </c>
      <c r="AO26" s="66"/>
      <c r="AP26" s="67">
        <f t="shared" ref="AP26:AP29" si="142">IFERROR(AO26-AN26,"-")</f>
        <v>-596822.9807</v>
      </c>
      <c r="AQ26" s="70">
        <f t="shared" ref="AQ26:AQ29" si="143">IFERROR(AO26/AN26-1,"-")</f>
        <v>-1</v>
      </c>
      <c r="AR26" s="71">
        <f>($BH$26-($L$26+$P$26))*AR25</f>
        <v>596822.9807</v>
      </c>
      <c r="AS26" s="66"/>
      <c r="AT26" s="67">
        <f t="shared" ref="AT26:AT29" si="144">IFERROR(AS26-AR26,"-")</f>
        <v>-596822.9807</v>
      </c>
      <c r="AU26" s="68">
        <f t="shared" ref="AU26:AU29" si="145">IFERROR(AS26/AR26-1,"-")</f>
        <v>-1</v>
      </c>
      <c r="AV26" s="71">
        <f>($BH$26-($L$26+$P$26))*AV25</f>
        <v>596822.9807</v>
      </c>
      <c r="AW26" s="66"/>
      <c r="AX26" s="67">
        <f t="shared" ref="AX26:AX29" si="146">IFERROR(AW26-AV26,"-")</f>
        <v>-596822.9807</v>
      </c>
      <c r="AY26" s="68">
        <f t="shared" ref="AY26:AY29" si="147">IFERROR(AW26/AV26-1,"-")</f>
        <v>-1</v>
      </c>
      <c r="AZ26" s="71">
        <f>($BH$26-($L$26+$P$26))*AZ25</f>
        <v>734551.3609</v>
      </c>
      <c r="BA26" s="66"/>
      <c r="BB26" s="67">
        <f t="shared" ref="BB26:BB29" si="148">IFERROR(BA26-AZ26,"-")</f>
        <v>-734551.3609</v>
      </c>
      <c r="BC26" s="68">
        <f t="shared" ref="BC26:BC29" si="149">IFERROR(BA26/AZ26-1,"-")</f>
        <v>-1</v>
      </c>
      <c r="BD26" s="66">
        <f>($BH$26-($L$26+$P$26))*BD25</f>
        <v>596822.9807</v>
      </c>
      <c r="BE26" s="66"/>
      <c r="BF26" s="67">
        <f t="shared" ref="BF26:BF29" si="150">IFERROR(BE26-BD26,"-")</f>
        <v>-596822.9807</v>
      </c>
      <c r="BG26" s="70">
        <f t="shared" ref="BG26:BG29" si="151">IFERROR(BE26/BD26-1,"-")</f>
        <v>-1</v>
      </c>
      <c r="BH26" s="74">
        <v>4849096.225694574</v>
      </c>
      <c r="BI26" s="75">
        <f>SUM(M26,Q26,U26,Y26,AC26,AG26,AK26,AO26,AS26,AW26,BA26,BE26)</f>
        <v>723010.18</v>
      </c>
      <c r="BJ26" s="76">
        <f t="shared" ref="BJ26:BJ29" si="153">IFERROR(BI26/BH26-1,"-")</f>
        <v>-0.8508979516</v>
      </c>
      <c r="BK26" s="77">
        <v>1632825.8</v>
      </c>
      <c r="BL26" s="78">
        <f t="shared" ref="BL26:BL28" si="154">BH26/BK26-1</f>
        <v>1.96975723</v>
      </c>
      <c r="BM26" s="3"/>
      <c r="BN26" s="4"/>
      <c r="BO26" s="3"/>
      <c r="BP26" s="3"/>
      <c r="BQ26" s="3"/>
      <c r="BR26" s="3"/>
    </row>
    <row r="27" ht="15.75" customHeight="1">
      <c r="A27" s="1"/>
      <c r="B27" s="105"/>
      <c r="C27" s="106"/>
      <c r="D27" s="107"/>
      <c r="E27" s="144"/>
      <c r="F27" s="109"/>
      <c r="G27" s="110"/>
      <c r="H27" s="111"/>
      <c r="I27" s="112"/>
      <c r="J27" s="50" t="s">
        <v>64</v>
      </c>
      <c r="K27" s="79"/>
      <c r="L27" s="129">
        <f>L26/$K$28</f>
        <v>1294.777757</v>
      </c>
      <c r="M27" s="81">
        <v>1236.0</v>
      </c>
      <c r="N27" s="82">
        <f t="shared" si="128"/>
        <v>-58.77775701</v>
      </c>
      <c r="O27" s="68">
        <f t="shared" si="129"/>
        <v>-0.04539602004</v>
      </c>
      <c r="P27" s="129">
        <f>P26/$K$28</f>
        <v>1117.841121</v>
      </c>
      <c r="Q27" s="81">
        <v>1061.0</v>
      </c>
      <c r="R27" s="82">
        <f t="shared" si="130"/>
        <v>-56.8411215</v>
      </c>
      <c r="S27" s="68">
        <f t="shared" si="131"/>
        <v>-0.05084901638</v>
      </c>
      <c r="T27" s="84">
        <f>T26/$K$28</f>
        <v>1287.181123</v>
      </c>
      <c r="U27" s="81">
        <v>1100.0</v>
      </c>
      <c r="V27" s="82">
        <f t="shared" si="132"/>
        <v>-187.1811231</v>
      </c>
      <c r="W27" s="68">
        <f t="shared" si="133"/>
        <v>-0.1454194128</v>
      </c>
      <c r="X27" s="84">
        <f>X26/$K$28</f>
        <v>1287.181123</v>
      </c>
      <c r="Y27" s="81">
        <v>881.0</v>
      </c>
      <c r="Z27" s="82">
        <f t="shared" si="134"/>
        <v>-406.1811231</v>
      </c>
      <c r="AA27" s="68">
        <f t="shared" si="135"/>
        <v>-0.3155586388</v>
      </c>
      <c r="AB27" s="84">
        <f>AB26/$K$28</f>
        <v>2145.301872</v>
      </c>
      <c r="AC27" s="81">
        <v>1012.0</v>
      </c>
      <c r="AD27" s="82">
        <f t="shared" si="136"/>
        <v>-1133.301872</v>
      </c>
      <c r="AE27" s="68">
        <f t="shared" si="137"/>
        <v>-0.5282715159</v>
      </c>
      <c r="AF27" s="84">
        <f>AF26/$K$28</f>
        <v>3432.482995</v>
      </c>
      <c r="AG27" s="85">
        <v>725.0</v>
      </c>
      <c r="AH27" s="82">
        <f t="shared" si="138"/>
        <v>-2707.482995</v>
      </c>
      <c r="AI27" s="68">
        <f t="shared" si="139"/>
        <v>-0.788782639</v>
      </c>
      <c r="AJ27" s="84">
        <f>AJ26/$K$28</f>
        <v>5577.784867</v>
      </c>
      <c r="AK27" s="81"/>
      <c r="AL27" s="82">
        <f t="shared" si="140"/>
        <v>-5577.784867</v>
      </c>
      <c r="AM27" s="68">
        <f t="shared" si="141"/>
        <v>-1</v>
      </c>
      <c r="AN27" s="84">
        <f>AN26/$K$28</f>
        <v>5577.784867</v>
      </c>
      <c r="AO27" s="81"/>
      <c r="AP27" s="82">
        <f t="shared" si="142"/>
        <v>-5577.784867</v>
      </c>
      <c r="AQ27" s="70">
        <f t="shared" si="143"/>
        <v>-1</v>
      </c>
      <c r="AR27" s="84">
        <f>AR26/$K$28</f>
        <v>5577.784867</v>
      </c>
      <c r="AS27" s="81"/>
      <c r="AT27" s="82">
        <f t="shared" si="144"/>
        <v>-5577.784867</v>
      </c>
      <c r="AU27" s="68">
        <f t="shared" si="145"/>
        <v>-1</v>
      </c>
      <c r="AV27" s="84">
        <f>AV26/$K$28</f>
        <v>5577.784867</v>
      </c>
      <c r="AW27" s="81"/>
      <c r="AX27" s="82">
        <f t="shared" si="146"/>
        <v>-5577.784867</v>
      </c>
      <c r="AY27" s="68">
        <f t="shared" si="147"/>
        <v>-1</v>
      </c>
      <c r="AZ27" s="84">
        <f>AZ26/$K$28</f>
        <v>6864.96599</v>
      </c>
      <c r="BA27" s="81"/>
      <c r="BB27" s="82">
        <f t="shared" si="148"/>
        <v>-6864.96599</v>
      </c>
      <c r="BC27" s="68">
        <f t="shared" si="149"/>
        <v>-1</v>
      </c>
      <c r="BD27" s="81">
        <f>BD26/$K$28</f>
        <v>5577.784867</v>
      </c>
      <c r="BE27" s="81"/>
      <c r="BF27" s="82">
        <f t="shared" si="150"/>
        <v>-5577.784867</v>
      </c>
      <c r="BG27" s="70">
        <f t="shared" si="151"/>
        <v>-1</v>
      </c>
      <c r="BH27" s="156">
        <f t="shared" ref="BH27:BI27" si="152">SUM(L27,P27,T27,X27,AB27,AF27,AJ27,AN27,AR27,AV27,AZ27,BD27)</f>
        <v>45318.65631</v>
      </c>
      <c r="BI27" s="87">
        <f t="shared" si="152"/>
        <v>6015</v>
      </c>
      <c r="BJ27" s="76">
        <f t="shared" si="153"/>
        <v>-0.8672732051</v>
      </c>
      <c r="BK27" s="88">
        <v>15759.0</v>
      </c>
      <c r="BL27" s="78">
        <f t="shared" si="154"/>
        <v>1.875731729</v>
      </c>
      <c r="BM27" s="3"/>
      <c r="BN27" s="157"/>
      <c r="BO27" s="3"/>
      <c r="BP27" s="3"/>
      <c r="BQ27" s="3"/>
      <c r="BR27" s="3"/>
    </row>
    <row r="28" ht="15.75" customHeight="1">
      <c r="A28" s="1"/>
      <c r="B28" s="105"/>
      <c r="C28" s="106"/>
      <c r="D28" s="107"/>
      <c r="E28" s="144"/>
      <c r="F28" s="109"/>
      <c r="G28" s="110"/>
      <c r="H28" s="111"/>
      <c r="I28" s="112"/>
      <c r="J28" s="50" t="s">
        <v>65</v>
      </c>
      <c r="K28" s="79">
        <v>107.0</v>
      </c>
      <c r="L28" s="129">
        <f>L26/L27</f>
        <v>107</v>
      </c>
      <c r="M28" s="66">
        <f>IFERROR(M26/M27,"-")</f>
        <v>121.394644</v>
      </c>
      <c r="N28" s="67">
        <f t="shared" si="128"/>
        <v>14.39464401</v>
      </c>
      <c r="O28" s="68">
        <f t="shared" si="129"/>
        <v>0.1345293833</v>
      </c>
      <c r="P28" s="65">
        <f t="shared" ref="P28:Q28" si="155">IFERROR(P26/P27,"-")</f>
        <v>107</v>
      </c>
      <c r="Q28" s="66">
        <f t="shared" si="155"/>
        <v>122.7349859</v>
      </c>
      <c r="R28" s="67">
        <f t="shared" si="130"/>
        <v>15.73498586</v>
      </c>
      <c r="S28" s="68">
        <f t="shared" si="131"/>
        <v>0.1470559426</v>
      </c>
      <c r="T28" s="84">
        <f>T26/T27</f>
        <v>107</v>
      </c>
      <c r="U28" s="66">
        <f>IFERROR(U26/U27,"-")</f>
        <v>120.1831455</v>
      </c>
      <c r="V28" s="67">
        <f t="shared" si="132"/>
        <v>13.18314545</v>
      </c>
      <c r="W28" s="68">
        <f t="shared" si="133"/>
        <v>0.1232069669</v>
      </c>
      <c r="X28" s="71">
        <f t="shared" ref="X28:Y28" si="156">IFERROR(X26/X27,"-")</f>
        <v>107</v>
      </c>
      <c r="Y28" s="66">
        <f t="shared" si="156"/>
        <v>116.7724177</v>
      </c>
      <c r="Z28" s="67">
        <f t="shared" si="134"/>
        <v>9.772417707</v>
      </c>
      <c r="AA28" s="68">
        <f t="shared" si="135"/>
        <v>0.09133100661</v>
      </c>
      <c r="AB28" s="84">
        <f>AB26/AB27</f>
        <v>107</v>
      </c>
      <c r="AC28" s="66">
        <f>IFERROR(AC26/AC27,"-")</f>
        <v>120.8963933</v>
      </c>
      <c r="AD28" s="67">
        <f t="shared" si="136"/>
        <v>13.89639328</v>
      </c>
      <c r="AE28" s="68">
        <f t="shared" si="137"/>
        <v>0.1298728344</v>
      </c>
      <c r="AF28" s="84">
        <f>AF26/AF27</f>
        <v>107</v>
      </c>
      <c r="AG28" s="66">
        <f>IFERROR(AG26/AG27,"-")</f>
        <v>117.6820276</v>
      </c>
      <c r="AH28" s="67">
        <f t="shared" si="138"/>
        <v>10.68202759</v>
      </c>
      <c r="AI28" s="68">
        <f t="shared" si="139"/>
        <v>0.09983203352</v>
      </c>
      <c r="AJ28" s="84">
        <f>AJ26/AJ27</f>
        <v>107</v>
      </c>
      <c r="AK28" s="66" t="str">
        <f>IFERROR(AK26/AK27,"-")</f>
        <v>-</v>
      </c>
      <c r="AL28" s="67" t="str">
        <f t="shared" si="140"/>
        <v>-</v>
      </c>
      <c r="AM28" s="68" t="str">
        <f t="shared" si="141"/>
        <v>-</v>
      </c>
      <c r="AN28" s="84">
        <f>AN26/AN27</f>
        <v>107</v>
      </c>
      <c r="AO28" s="66" t="str">
        <f>IFERROR(AO26/AO27,"-")</f>
        <v>-</v>
      </c>
      <c r="AP28" s="67" t="str">
        <f t="shared" si="142"/>
        <v>-</v>
      </c>
      <c r="AQ28" s="70" t="str">
        <f t="shared" si="143"/>
        <v>-</v>
      </c>
      <c r="AR28" s="84">
        <f>AR26/AR27</f>
        <v>107</v>
      </c>
      <c r="AS28" s="66" t="str">
        <f>IFERROR(AS26/AS27,"-")</f>
        <v>-</v>
      </c>
      <c r="AT28" s="67" t="str">
        <f t="shared" si="144"/>
        <v>-</v>
      </c>
      <c r="AU28" s="68" t="str">
        <f t="shared" si="145"/>
        <v>-</v>
      </c>
      <c r="AV28" s="84">
        <f>AV26/AV27</f>
        <v>107</v>
      </c>
      <c r="AW28" s="66" t="str">
        <f>IFERROR(AW26/AW27,"-")</f>
        <v>-</v>
      </c>
      <c r="AX28" s="67" t="str">
        <f t="shared" si="146"/>
        <v>-</v>
      </c>
      <c r="AY28" s="68" t="str">
        <f t="shared" si="147"/>
        <v>-</v>
      </c>
      <c r="AZ28" s="84">
        <f>AZ26/AZ27</f>
        <v>107</v>
      </c>
      <c r="BA28" s="66" t="str">
        <f>IFERROR(BA26/BA27,"-")</f>
        <v>-</v>
      </c>
      <c r="BB28" s="67" t="str">
        <f t="shared" si="148"/>
        <v>-</v>
      </c>
      <c r="BC28" s="68" t="str">
        <f t="shared" si="149"/>
        <v>-</v>
      </c>
      <c r="BD28" s="81">
        <f>BD26/BD27</f>
        <v>107</v>
      </c>
      <c r="BE28" s="66" t="str">
        <f>IFERROR(BE26/BE27,"-")</f>
        <v>-</v>
      </c>
      <c r="BF28" s="67" t="str">
        <f t="shared" si="150"/>
        <v>-</v>
      </c>
      <c r="BG28" s="70" t="str">
        <f t="shared" si="151"/>
        <v>-</v>
      </c>
      <c r="BH28" s="89">
        <f t="shared" ref="BH28:BI28" si="157">BH26/BH27</f>
        <v>107</v>
      </c>
      <c r="BI28" s="90">
        <f t="shared" si="157"/>
        <v>120.2011937</v>
      </c>
      <c r="BJ28" s="76">
        <f t="shared" si="153"/>
        <v>0.1233756419</v>
      </c>
      <c r="BK28" s="88">
        <f>BK26/BK27</f>
        <v>103.6122724</v>
      </c>
      <c r="BL28" s="78">
        <f t="shared" si="154"/>
        <v>0.03269620066</v>
      </c>
      <c r="BM28" s="3"/>
      <c r="BN28" s="3"/>
      <c r="BO28" s="3"/>
      <c r="BP28" s="3"/>
      <c r="BQ28" s="3"/>
      <c r="BR28" s="3"/>
    </row>
    <row r="29" ht="15.75" customHeight="1">
      <c r="A29" s="1"/>
      <c r="B29" s="105"/>
      <c r="C29" s="106"/>
      <c r="D29" s="107"/>
      <c r="E29" s="144"/>
      <c r="F29" s="109"/>
      <c r="G29" s="110"/>
      <c r="H29" s="111"/>
      <c r="I29" s="112"/>
      <c r="J29" s="91" t="s">
        <v>66</v>
      </c>
      <c r="K29" s="92">
        <v>0.039</v>
      </c>
      <c r="L29" s="99">
        <f t="shared" ref="L29:M29" si="158">IF(L27=0, 0, (L26/L27) * (
  MIN(L27, 1000) * 0.049 +
  MAX(0, MIN(L27, 2500) - 1000) * 0.039 +
  MAX(0, MIN(L27, 5000) - 2500) * 0.032 +
  MAX(0, L27 - 5000) * 0.029
))</f>
        <v>6473.10758</v>
      </c>
      <c r="M29" s="158">
        <f t="shared" si="158"/>
        <v>7065.65386</v>
      </c>
      <c r="N29" s="95">
        <f t="shared" si="128"/>
        <v>592.5462801</v>
      </c>
      <c r="O29" s="96">
        <f t="shared" si="129"/>
        <v>0.09153969292</v>
      </c>
      <c r="P29" s="99">
        <f t="shared" ref="P29:Q29" si="159">IF(P27=0, 0, (P26/P27) * (
  MIN(P27, 1000) * 0.049 +
  MAX(0, MIN(P27, 2500) - 1000) * 0.039 +
  MAX(0, MIN(P27, 5000) - 2500) * 0.032 +
  MAX(0, P27 - 5000) * 0.029
))</f>
        <v>5734.751</v>
      </c>
      <c r="Q29" s="158">
        <f t="shared" si="159"/>
        <v>6306.000839</v>
      </c>
      <c r="R29" s="95">
        <f t="shared" si="130"/>
        <v>571.2498386</v>
      </c>
      <c r="S29" s="96">
        <f t="shared" si="131"/>
        <v>0.09961196896</v>
      </c>
      <c r="T29" s="159">
        <f t="shared" ref="T29:U29" si="160">IF(T27=0, 0, (T26/T27) * (
  MIN(T27, 1000) * 0.049 +
  MAX(0, MIN(T27, 2500) - 1000) * 0.039 +
  MAX(0, MIN(T27, 5000) - 2500) * 0.032 +
  MAX(0, T27 - 5000) * 0.029
))</f>
        <v>6441.406827</v>
      </c>
      <c r="U29" s="158">
        <f t="shared" si="160"/>
        <v>6357.688395</v>
      </c>
      <c r="V29" s="95">
        <f t="shared" si="132"/>
        <v>-83.71843212</v>
      </c>
      <c r="W29" s="96">
        <f t="shared" si="133"/>
        <v>-0.01299691735</v>
      </c>
      <c r="X29" s="99">
        <f t="shared" ref="X29:Y29" si="161">IF(X27=0, 0, (X26/X27) * (
  MIN(X27, 1000) * 0.049 +
  MAX(0, MIN(X27, 2500) - 1000) * 0.039 +
  MAX(0, MIN(X27, 5000) - 2500) * 0.032 +
  MAX(0, X27 - 5000) * 0.029
))</f>
        <v>6441.406827</v>
      </c>
      <c r="Y29" s="94">
        <f t="shared" si="161"/>
        <v>5040.9485</v>
      </c>
      <c r="Z29" s="95">
        <f t="shared" si="134"/>
        <v>-1400.458327</v>
      </c>
      <c r="AA29" s="96">
        <f t="shared" si="135"/>
        <v>-0.2174149785</v>
      </c>
      <c r="AB29" s="99">
        <f t="shared" ref="AB29:AC29" si="162">IF(AB27=0, 0, (AB26/AB27) * (
  MIN(AB27, 1000) * 0.049 +
  MAX(0, MIN(AB27, 2500) - 1000) * 0.039 +
  MAX(0, MIN(AB27, 5000) - 2500) * 0.032 +
  MAX(0, AB27 - 5000) * 0.029
))</f>
        <v>10022.34471</v>
      </c>
      <c r="AC29" s="158">
        <f t="shared" si="162"/>
        <v>5980.502783</v>
      </c>
      <c r="AD29" s="95">
        <f t="shared" si="136"/>
        <v>-4041.841928</v>
      </c>
      <c r="AE29" s="96">
        <f t="shared" si="137"/>
        <v>-0.4032830685</v>
      </c>
      <c r="AF29" s="99">
        <f t="shared" ref="AF29:AG29" si="163">IF(AF27=0, 0, (AF26/AF27) * (
  MIN(AF27, 1000) * 0.049 +
  MAX(0, MIN(AF27, 2500) - 1000) * 0.039 +
  MAX(0, MIN(AF27, 5000) - 2500) * 0.032 +
  MAX(0, AF27 - 5000) * 0.029
))</f>
        <v>14695.32177</v>
      </c>
      <c r="AG29" s="158">
        <f t="shared" si="163"/>
        <v>4180.65403</v>
      </c>
      <c r="AH29" s="95">
        <f t="shared" si="138"/>
        <v>-10514.66774</v>
      </c>
      <c r="AI29" s="96">
        <f t="shared" si="139"/>
        <v>-0.7155112291</v>
      </c>
      <c r="AJ29" s="99">
        <f t="shared" ref="AJ29:AK29" si="164">IF(AJ27=0, 0, (AJ26/AJ27) * (
  MIN(AJ27, 1000) * 0.049 +
  MAX(0, MIN(AJ27, 2500) - 1000) * 0.039 +
  MAX(0, MIN(AJ27, 5000) - 2500) * 0.032 +
  MAX(0, AJ27 - 5000) * 0.029
))</f>
        <v>21855.36644</v>
      </c>
      <c r="AK29" s="158">
        <f t="shared" si="164"/>
        <v>0</v>
      </c>
      <c r="AL29" s="95">
        <f t="shared" si="140"/>
        <v>-21855.36644</v>
      </c>
      <c r="AM29" s="96">
        <f t="shared" si="141"/>
        <v>-1</v>
      </c>
      <c r="AN29" s="99">
        <f t="shared" ref="AN29:AO29" si="165">IF(AN27=0, 0, (AN26/AN27) * (
  MIN(AN27, 1000) * 0.049 +
  MAX(0, MIN(AN27, 2500) - 1000) * 0.039 +
  MAX(0, MIN(AN27, 5000) - 2500) * 0.032 +
  MAX(0, AN27 - 5000) * 0.029
))</f>
        <v>21855.36644</v>
      </c>
      <c r="AO29" s="158">
        <f t="shared" si="165"/>
        <v>0</v>
      </c>
      <c r="AP29" s="95">
        <f t="shared" si="142"/>
        <v>-21855.36644</v>
      </c>
      <c r="AQ29" s="98">
        <f t="shared" si="143"/>
        <v>-1</v>
      </c>
      <c r="AR29" s="99">
        <f t="shared" ref="AR29:AS29" si="166">IF(AR27=0, 0, (AR26/AR27) * (
  MIN(AR27, 1000) * 0.049 +
  MAX(0, MIN(AR27, 2500) - 1000) * 0.039 +
  MAX(0, MIN(AR27, 5000) - 2500) * 0.032 +
  MAX(0, AR27 - 5000) * 0.029
))</f>
        <v>21855.36644</v>
      </c>
      <c r="AS29" s="158">
        <f t="shared" si="166"/>
        <v>0</v>
      </c>
      <c r="AT29" s="95">
        <f t="shared" si="144"/>
        <v>-21855.36644</v>
      </c>
      <c r="AU29" s="96">
        <f t="shared" si="145"/>
        <v>-1</v>
      </c>
      <c r="AV29" s="99">
        <f t="shared" ref="AV29:AW29" si="167">IF(AV27=0, 0, (AV26/AV27) * (
  MIN(AV27, 1000) * 0.049 +
  MAX(0, MIN(AV27, 2500) - 1000) * 0.039 +
  MAX(0, MIN(AV27, 5000) - 2500) * 0.032 +
  MAX(0, AV27 - 5000) * 0.029
))</f>
        <v>21855.36644</v>
      </c>
      <c r="AW29" s="158">
        <f t="shared" si="167"/>
        <v>0</v>
      </c>
      <c r="AX29" s="95">
        <f t="shared" si="146"/>
        <v>-21855.36644</v>
      </c>
      <c r="AY29" s="96">
        <f t="shared" si="147"/>
        <v>-1</v>
      </c>
      <c r="AZ29" s="99">
        <f t="shared" ref="AZ29:BA29" si="168">IF(AZ27=0, 0, (AZ26/AZ27) * (
  MIN(AZ27, 1000) * 0.049 +
  MAX(0, MIN(AZ27, 2500) - 1000) * 0.039 +
  MAX(0, MIN(AZ27, 5000) - 2500) * 0.032 +
  MAX(0, AZ27 - 5000) * 0.029
))</f>
        <v>25849.48947</v>
      </c>
      <c r="BA29" s="158">
        <f t="shared" si="168"/>
        <v>0</v>
      </c>
      <c r="BB29" s="95">
        <f t="shared" si="148"/>
        <v>-25849.48947</v>
      </c>
      <c r="BC29" s="96">
        <f t="shared" si="149"/>
        <v>-1</v>
      </c>
      <c r="BD29" s="94">
        <f t="shared" ref="BD29:BE29" si="169">IF(BD27=0, 0, (BD26/BD27) * (
  MIN(BD27, 1000) * 0.049 +
  MAX(0, MIN(BD27, 2500) - 1000) * 0.039 +
  MAX(0, MIN(BD27, 5000) - 2500) * 0.032 +
  MAX(0, BD27 - 5000) * 0.029
))</f>
        <v>21855.36644</v>
      </c>
      <c r="BE29" s="158">
        <f t="shared" si="169"/>
        <v>0</v>
      </c>
      <c r="BF29" s="95">
        <f t="shared" si="150"/>
        <v>-21855.36644</v>
      </c>
      <c r="BG29" s="98">
        <f t="shared" si="151"/>
        <v>-1</v>
      </c>
      <c r="BH29" s="100">
        <f t="shared" ref="BH29:BI29" si="170">SUM(L29,P29,T29,X29,AB29,AF29,AJ29,AN29,AR29,AV29,AZ29,BD29)</f>
        <v>184934.6604</v>
      </c>
      <c r="BI29" s="101">
        <f t="shared" si="170"/>
        <v>34931.44841</v>
      </c>
      <c r="BJ29" s="102">
        <f t="shared" si="153"/>
        <v>-0.8111146481</v>
      </c>
      <c r="BK29" s="103">
        <f>BK26*0.39</f>
        <v>636802.062</v>
      </c>
      <c r="BL29" s="104">
        <f>BH29/BK29</f>
        <v>0.2904115288</v>
      </c>
      <c r="BM29" s="3"/>
      <c r="BN29" s="3"/>
      <c r="BO29" s="3"/>
      <c r="BP29" s="3"/>
      <c r="BQ29" s="3"/>
      <c r="BR29" s="3"/>
    </row>
    <row r="30" ht="15.75" customHeight="1">
      <c r="A30" s="1"/>
      <c r="B30" s="105"/>
      <c r="C30" s="106"/>
      <c r="D30" s="107"/>
      <c r="E30" s="144"/>
      <c r="F30" s="109"/>
      <c r="G30" s="110"/>
      <c r="H30" s="111"/>
      <c r="I30" s="112"/>
      <c r="J30" s="12"/>
      <c r="K30" s="148"/>
      <c r="L30" s="12"/>
      <c r="M30" s="149"/>
      <c r="N30" s="149"/>
      <c r="O30" s="149"/>
      <c r="P30" s="149"/>
      <c r="Q30" s="160"/>
      <c r="R30" s="149"/>
      <c r="S30" s="12"/>
      <c r="T30" s="12"/>
      <c r="U30" s="12"/>
      <c r="V30" s="12"/>
      <c r="W30" s="12"/>
      <c r="X30" s="13"/>
      <c r="Y30" s="14"/>
      <c r="Z30" s="15"/>
      <c r="AA30" s="3"/>
      <c r="AB30" s="3"/>
      <c r="AC30" s="3"/>
      <c r="AD30" s="3"/>
      <c r="AE30" s="3"/>
      <c r="AF30" s="3"/>
      <c r="AV30" s="138"/>
      <c r="AW30" s="25"/>
      <c r="AX30" s="139"/>
      <c r="AY30" s="25"/>
    </row>
    <row r="31" ht="15.75" customHeight="1">
      <c r="A31" s="1"/>
      <c r="B31" s="105"/>
      <c r="C31" s="106"/>
      <c r="D31" s="107"/>
      <c r="E31" s="144"/>
      <c r="F31" s="109"/>
      <c r="G31" s="110"/>
      <c r="H31" s="111"/>
      <c r="I31" s="112"/>
      <c r="J31" s="34" t="s">
        <v>73</v>
      </c>
      <c r="K31" s="151"/>
      <c r="L31" s="36" t="s">
        <v>10</v>
      </c>
      <c r="M31" s="37" t="s">
        <v>11</v>
      </c>
      <c r="N31" s="38" t="s">
        <v>12</v>
      </c>
      <c r="O31" s="39" t="s">
        <v>13</v>
      </c>
      <c r="P31" s="119" t="s">
        <v>14</v>
      </c>
      <c r="Q31" s="37" t="s">
        <v>15</v>
      </c>
      <c r="R31" s="38" t="s">
        <v>16</v>
      </c>
      <c r="S31" s="161" t="s">
        <v>17</v>
      </c>
      <c r="T31" s="36" t="s">
        <v>18</v>
      </c>
      <c r="U31" s="152" t="s">
        <v>19</v>
      </c>
      <c r="V31" s="38" t="s">
        <v>20</v>
      </c>
      <c r="W31" s="45" t="s">
        <v>21</v>
      </c>
      <c r="X31" s="119" t="s">
        <v>22</v>
      </c>
      <c r="Y31" s="152" t="s">
        <v>23</v>
      </c>
      <c r="Z31" s="38" t="s">
        <v>24</v>
      </c>
      <c r="AA31" s="45" t="s">
        <v>25</v>
      </c>
      <c r="AB31" s="43" t="s">
        <v>26</v>
      </c>
      <c r="AC31" s="152" t="s">
        <v>27</v>
      </c>
      <c r="AD31" s="38" t="s">
        <v>28</v>
      </c>
      <c r="AE31" s="45" t="s">
        <v>29</v>
      </c>
      <c r="AF31" s="44" t="s">
        <v>30</v>
      </c>
      <c r="AG31" s="152" t="s">
        <v>31</v>
      </c>
      <c r="AH31" s="38" t="s">
        <v>32</v>
      </c>
      <c r="AI31" s="45" t="s">
        <v>33</v>
      </c>
      <c r="AJ31" s="43" t="s">
        <v>34</v>
      </c>
      <c r="AK31" s="152" t="s">
        <v>35</v>
      </c>
      <c r="AL31" s="38" t="s">
        <v>36</v>
      </c>
      <c r="AM31" s="45" t="s">
        <v>37</v>
      </c>
      <c r="AN31" s="44" t="s">
        <v>38</v>
      </c>
      <c r="AO31" s="152" t="s">
        <v>39</v>
      </c>
      <c r="AP31" s="38" t="s">
        <v>40</v>
      </c>
      <c r="AQ31" s="45" t="s">
        <v>41</v>
      </c>
      <c r="AR31" s="43" t="s">
        <v>42</v>
      </c>
      <c r="AS31" s="152" t="s">
        <v>43</v>
      </c>
      <c r="AT31" s="38" t="s">
        <v>44</v>
      </c>
      <c r="AU31" s="45" t="s">
        <v>45</v>
      </c>
      <c r="AV31" s="44" t="s">
        <v>46</v>
      </c>
      <c r="AW31" s="152" t="s">
        <v>47</v>
      </c>
      <c r="AX31" s="38" t="s">
        <v>48</v>
      </c>
      <c r="AY31" s="45" t="s">
        <v>49</v>
      </c>
      <c r="AZ31" s="43" t="s">
        <v>50</v>
      </c>
      <c r="BA31" s="152" t="s">
        <v>51</v>
      </c>
      <c r="BB31" s="38" t="s">
        <v>52</v>
      </c>
      <c r="BC31" s="45" t="s">
        <v>53</v>
      </c>
      <c r="BD31" s="153" t="s">
        <v>54</v>
      </c>
      <c r="BE31" s="152" t="s">
        <v>55</v>
      </c>
      <c r="BF31" s="38" t="s">
        <v>56</v>
      </c>
      <c r="BG31" s="42" t="s">
        <v>57</v>
      </c>
      <c r="BH31" s="46">
        <v>2026.0</v>
      </c>
      <c r="BI31" s="37" t="s">
        <v>58</v>
      </c>
      <c r="BJ31" s="47" t="s">
        <v>59</v>
      </c>
      <c r="BK31" s="48">
        <v>2025.0</v>
      </c>
      <c r="BL31" s="49" t="s">
        <v>60</v>
      </c>
      <c r="BM31" s="3"/>
      <c r="BN31" s="3"/>
      <c r="BO31" s="3"/>
      <c r="BP31" s="3"/>
      <c r="BQ31" s="3"/>
      <c r="BR31" s="3"/>
    </row>
    <row r="32" ht="15.75" customHeight="1">
      <c r="A32" s="1"/>
      <c r="B32" s="105">
        <v>6.0</v>
      </c>
      <c r="C32" s="106" t="s">
        <v>74</v>
      </c>
      <c r="D32" s="107">
        <f>17000*12</f>
        <v>204000</v>
      </c>
      <c r="E32" s="144">
        <v>170.0</v>
      </c>
      <c r="F32" s="109">
        <f>E32*D32</f>
        <v>34680000</v>
      </c>
      <c r="G32" s="110">
        <v>368854.13999999926</v>
      </c>
      <c r="H32" s="111">
        <v>5074.0</v>
      </c>
      <c r="I32" s="112">
        <v>72.69494284588082</v>
      </c>
      <c r="J32" s="50" t="s">
        <v>61</v>
      </c>
      <c r="K32" s="51"/>
      <c r="L32" s="52" t="s">
        <v>60</v>
      </c>
      <c r="M32" s="53" t="s">
        <v>60</v>
      </c>
      <c r="N32" s="54" t="s">
        <v>60</v>
      </c>
      <c r="O32" s="55" t="s">
        <v>62</v>
      </c>
      <c r="P32" s="52" t="s">
        <v>60</v>
      </c>
      <c r="Q32" s="53" t="s">
        <v>60</v>
      </c>
      <c r="R32" s="54" t="s">
        <v>60</v>
      </c>
      <c r="S32" s="57" t="s">
        <v>62</v>
      </c>
      <c r="T32" s="52"/>
      <c r="U32" s="154" t="s">
        <v>60</v>
      </c>
      <c r="V32" s="54" t="s">
        <v>60</v>
      </c>
      <c r="W32" s="55" t="s">
        <v>62</v>
      </c>
      <c r="X32" s="52"/>
      <c r="Y32" s="154" t="s">
        <v>60</v>
      </c>
      <c r="Z32" s="54" t="s">
        <v>60</v>
      </c>
      <c r="AA32" s="55" t="s">
        <v>62</v>
      </c>
      <c r="AB32" s="58">
        <v>0.02</v>
      </c>
      <c r="AC32" s="59">
        <f>AC33/(BH33-(L33+P33+T33+X33))</f>
        <v>0</v>
      </c>
      <c r="AD32" s="54" t="s">
        <v>60</v>
      </c>
      <c r="AE32" s="55" t="s">
        <v>62</v>
      </c>
      <c r="AF32" s="58">
        <v>0.04</v>
      </c>
      <c r="AG32" s="59">
        <f>AG33/(BH33-(L33+P33+T33+X33))</f>
        <v>0</v>
      </c>
      <c r="AH32" s="54" t="s">
        <v>60</v>
      </c>
      <c r="AI32" s="55" t="s">
        <v>62</v>
      </c>
      <c r="AJ32" s="58">
        <v>0.07</v>
      </c>
      <c r="AK32" s="59">
        <f>AK33/(BH33-(L33+P33+T33+X33))</f>
        <v>0</v>
      </c>
      <c r="AL32" s="54" t="s">
        <v>60</v>
      </c>
      <c r="AM32" s="55" t="s">
        <v>62</v>
      </c>
      <c r="AN32" s="58">
        <v>0.11</v>
      </c>
      <c r="AO32" s="59">
        <f>AO33/(BH33-(L33+P33+T33+X33))</f>
        <v>0</v>
      </c>
      <c r="AP32" s="54" t="s">
        <v>60</v>
      </c>
      <c r="AQ32" s="55" t="s">
        <v>62</v>
      </c>
      <c r="AR32" s="58">
        <v>0.15</v>
      </c>
      <c r="AS32" s="59">
        <f>AS33/(BH33-(L33+P33+T33+X33))</f>
        <v>0</v>
      </c>
      <c r="AT32" s="54" t="s">
        <v>60</v>
      </c>
      <c r="AU32" s="55" t="s">
        <v>62</v>
      </c>
      <c r="AV32" s="58">
        <v>0.2</v>
      </c>
      <c r="AW32" s="59">
        <f>AW33/(BH33-(L33+P33+T33+X33))</f>
        <v>0</v>
      </c>
      <c r="AX32" s="54" t="s">
        <v>60</v>
      </c>
      <c r="AY32" s="55" t="s">
        <v>62</v>
      </c>
      <c r="AZ32" s="58">
        <v>0.2</v>
      </c>
      <c r="BA32" s="59">
        <f>BA33/(BH33-(L33+P33+T33+X33))</f>
        <v>0</v>
      </c>
      <c r="BB32" s="54" t="s">
        <v>60</v>
      </c>
      <c r="BC32" s="55" t="s">
        <v>62</v>
      </c>
      <c r="BD32" s="155">
        <v>0.21</v>
      </c>
      <c r="BE32" s="59">
        <f>BE33/(BH33-(L33+P33+T33+X33))</f>
        <v>0</v>
      </c>
      <c r="BF32" s="54" t="s">
        <v>60</v>
      </c>
      <c r="BG32" s="57" t="s">
        <v>62</v>
      </c>
      <c r="BH32" s="60">
        <f t="shared" ref="BH32:BI32" si="171">SUM(AB32,AF32,AJ32,AN32,AR32,AV32,AZ32,BD32)</f>
        <v>1</v>
      </c>
      <c r="BI32" s="61">
        <f t="shared" si="171"/>
        <v>0</v>
      </c>
      <c r="BJ32" s="62"/>
      <c r="BK32" s="63" t="s">
        <v>60</v>
      </c>
      <c r="BL32" s="64"/>
      <c r="BM32" s="3"/>
      <c r="BN32" s="3"/>
      <c r="BO32" s="3"/>
      <c r="BP32" s="3"/>
      <c r="BQ32" s="3"/>
      <c r="BR32" s="3"/>
    </row>
    <row r="33" ht="15.75" customHeight="1">
      <c r="A33" s="1"/>
      <c r="B33" s="105"/>
      <c r="C33" s="106"/>
      <c r="D33" s="107"/>
      <c r="E33" s="144"/>
      <c r="F33" s="109"/>
      <c r="G33" s="110"/>
      <c r="H33" s="111"/>
      <c r="I33" s="112"/>
      <c r="J33" s="50" t="s">
        <v>63</v>
      </c>
      <c r="K33" s="51"/>
      <c r="L33" s="127">
        <v>0.0</v>
      </c>
      <c r="M33" s="66">
        <v>232.36</v>
      </c>
      <c r="N33" s="67">
        <f t="shared" ref="N33:N36" si="172">IFERROR(M33-L33,"-")</f>
        <v>232.36</v>
      </c>
      <c r="O33" s="68" t="str">
        <f t="shared" ref="O33:O36" si="173">IFERROR(M33/L33-1,"-")</f>
        <v>-</v>
      </c>
      <c r="P33" s="65">
        <v>0.0</v>
      </c>
      <c r="Q33" s="66">
        <v>367.46</v>
      </c>
      <c r="R33" s="67">
        <f t="shared" ref="R33:R36" si="174">IFERROR(Q33-P33,"-")</f>
        <v>367.46</v>
      </c>
      <c r="S33" s="70" t="str">
        <f t="shared" ref="S33:S36" si="175">IFERROR(Q33/P33-1,"-")</f>
        <v>-</v>
      </c>
      <c r="T33" s="65">
        <f>($BH$33-($L$33+$P$33))*T32</f>
        <v>0</v>
      </c>
      <c r="U33" s="66">
        <v>177.46</v>
      </c>
      <c r="V33" s="67">
        <f t="shared" ref="V33:V36" si="176">IFERROR(U33-T33,"-")</f>
        <v>177.46</v>
      </c>
      <c r="W33" s="68" t="str">
        <f t="shared" ref="W33:W36" si="177">IFERROR(U33/T33-1,"-")</f>
        <v>-</v>
      </c>
      <c r="X33" s="65">
        <f>($BH$33-($L$33+$P$33))*X32</f>
        <v>0</v>
      </c>
      <c r="Y33" s="66">
        <v>82.24</v>
      </c>
      <c r="Z33" s="67">
        <f t="shared" ref="Z33:Z36" si="178">IFERROR(Y33-X33,"-")</f>
        <v>82.24</v>
      </c>
      <c r="AA33" s="68" t="str">
        <f t="shared" ref="AA33:AA36" si="179">IFERROR(Y33/X33-1,"-")</f>
        <v>-</v>
      </c>
      <c r="AB33" s="71">
        <f>($BH$33-($L$33+$P$33+$T$33+$X$33))*AB32</f>
        <v>1000</v>
      </c>
      <c r="AC33" s="66"/>
      <c r="AD33" s="67">
        <f t="shared" ref="AD33:AD36" si="180">IFERROR(AC33-AB33,"-")</f>
        <v>-1000</v>
      </c>
      <c r="AE33" s="68">
        <f t="shared" ref="AE33:AE36" si="181">IFERROR(AC33/AB33-1,"-")</f>
        <v>-1</v>
      </c>
      <c r="AF33" s="71">
        <f>($BH$33-($L$33+$P$33))*AF32</f>
        <v>2000</v>
      </c>
      <c r="AG33" s="66"/>
      <c r="AH33" s="67">
        <f t="shared" ref="AH33:AH36" si="182">IFERROR(AG33-AF33,"-")</f>
        <v>-2000</v>
      </c>
      <c r="AI33" s="68">
        <f t="shared" ref="AI33:AI36" si="183">IFERROR(AG33/AF33-1,"-")</f>
        <v>-1</v>
      </c>
      <c r="AJ33" s="71">
        <f>($BH$33-($L$33+$P$33))*AJ32</f>
        <v>3500</v>
      </c>
      <c r="AK33" s="66"/>
      <c r="AL33" s="67">
        <f t="shared" ref="AL33:AL36" si="184">IFERROR(AK33-AJ33,"-")</f>
        <v>-3500</v>
      </c>
      <c r="AM33" s="68">
        <f t="shared" ref="AM33:AM36" si="185">IFERROR(AK33/AJ33-1,"-")</f>
        <v>-1</v>
      </c>
      <c r="AN33" s="71">
        <f>($BH$33-($L$33+$P$33))*AN32</f>
        <v>5500</v>
      </c>
      <c r="AO33" s="66"/>
      <c r="AP33" s="67">
        <f t="shared" ref="AP33:AP36" si="186">IFERROR(AO33-AN33,"-")</f>
        <v>-5500</v>
      </c>
      <c r="AQ33" s="68">
        <f t="shared" ref="AQ33:AQ36" si="187">IFERROR(AO33/AN33-1,"-")</f>
        <v>-1</v>
      </c>
      <c r="AR33" s="71">
        <f>($BH$33-($L$33+$P$33))*AR32</f>
        <v>7500</v>
      </c>
      <c r="AS33" s="66"/>
      <c r="AT33" s="67">
        <f t="shared" ref="AT33:AT36" si="188">IFERROR(AS33-AR33,"-")</f>
        <v>-7500</v>
      </c>
      <c r="AU33" s="68">
        <f t="shared" ref="AU33:AU36" si="189">IFERROR(AS33/AR33-1,"-")</f>
        <v>-1</v>
      </c>
      <c r="AV33" s="71">
        <f>($BH$33-($L$33+$P$33))*AV32</f>
        <v>10000</v>
      </c>
      <c r="AW33" s="66"/>
      <c r="AX33" s="67">
        <f t="shared" ref="AX33:AX36" si="190">IFERROR(AW33-AV33,"-")</f>
        <v>-10000</v>
      </c>
      <c r="AY33" s="68">
        <f t="shared" ref="AY33:AY36" si="191">IFERROR(AW33/AV33-1,"-")</f>
        <v>-1</v>
      </c>
      <c r="AZ33" s="71">
        <f>($BH$33-($L$33+$P$33))*AZ32</f>
        <v>10000</v>
      </c>
      <c r="BA33" s="66"/>
      <c r="BB33" s="67">
        <f t="shared" ref="BB33:BB36" si="192">IFERROR(BA33-AZ33,"-")</f>
        <v>-10000</v>
      </c>
      <c r="BC33" s="68">
        <f t="shared" ref="BC33:BC36" si="193">IFERROR(BA33/AZ33-1,"-")</f>
        <v>-1</v>
      </c>
      <c r="BD33" s="66">
        <f>($BH$33-($L$33+$P$33))*BD32</f>
        <v>10500</v>
      </c>
      <c r="BE33" s="66"/>
      <c r="BF33" s="67">
        <f t="shared" ref="BF33:BF36" si="194">IFERROR(BE33-BD33,"-")</f>
        <v>-10500</v>
      </c>
      <c r="BG33" s="70">
        <f t="shared" ref="BG33:BG36" si="195">IFERROR(BE33/BD33-1,"-")</f>
        <v>-1</v>
      </c>
      <c r="BH33" s="74">
        <v>50000.0</v>
      </c>
      <c r="BI33" s="75">
        <f>SUM(M33,Q33,U33,Y33,AC33,AG33,AK33,AO33,AS33,AW33,BA33,BE33)</f>
        <v>859.52</v>
      </c>
      <c r="BJ33" s="76">
        <f t="shared" ref="BJ33:BJ36" si="197">IFERROR(BI33/BH33-1,"-")</f>
        <v>-0.9828096</v>
      </c>
      <c r="BK33" s="77" t="s">
        <v>60</v>
      </c>
      <c r="BL33" s="78" t="str">
        <f t="shared" ref="BL33:BL34" si="198">IFERROR((BH33/BK33),"-")</f>
        <v>-</v>
      </c>
      <c r="BM33" s="3"/>
      <c r="BN33" s="3"/>
      <c r="BO33" s="3"/>
      <c r="BP33" s="3"/>
      <c r="BQ33" s="3"/>
      <c r="BR33" s="3"/>
    </row>
    <row r="34" ht="15.75" customHeight="1">
      <c r="A34" s="1"/>
      <c r="B34" s="105"/>
      <c r="C34" s="106"/>
      <c r="D34" s="107"/>
      <c r="E34" s="144"/>
      <c r="F34" s="109"/>
      <c r="G34" s="110"/>
      <c r="H34" s="111"/>
      <c r="I34" s="112"/>
      <c r="J34" s="50" t="s">
        <v>64</v>
      </c>
      <c r="K34" s="79"/>
      <c r="L34" s="80">
        <f>L33/$K$35</f>
        <v>0</v>
      </c>
      <c r="M34" s="81">
        <v>16.0</v>
      </c>
      <c r="N34" s="82">
        <f t="shared" si="172"/>
        <v>16</v>
      </c>
      <c r="O34" s="68" t="str">
        <f t="shared" si="173"/>
        <v>-</v>
      </c>
      <c r="P34" s="80">
        <f>P33/$K$35</f>
        <v>0</v>
      </c>
      <c r="Q34" s="81">
        <v>122.0</v>
      </c>
      <c r="R34" s="82">
        <f t="shared" si="174"/>
        <v>122</v>
      </c>
      <c r="S34" s="70" t="str">
        <f t="shared" si="175"/>
        <v>-</v>
      </c>
      <c r="T34" s="80">
        <f>T33/$K$35</f>
        <v>0</v>
      </c>
      <c r="U34" s="81">
        <v>31.0</v>
      </c>
      <c r="V34" s="82">
        <f t="shared" si="176"/>
        <v>31</v>
      </c>
      <c r="W34" s="68" t="str">
        <f t="shared" si="177"/>
        <v>-</v>
      </c>
      <c r="X34" s="80">
        <f>X33/$K$35</f>
        <v>0</v>
      </c>
      <c r="Y34" s="81">
        <v>2.0</v>
      </c>
      <c r="Z34" s="82">
        <f t="shared" si="178"/>
        <v>2</v>
      </c>
      <c r="AA34" s="68" t="str">
        <f t="shared" si="179"/>
        <v>-</v>
      </c>
      <c r="AB34" s="84">
        <f>AB33/$K$35</f>
        <v>16.66666667</v>
      </c>
      <c r="AC34" s="81"/>
      <c r="AD34" s="82">
        <f t="shared" si="180"/>
        <v>-16.66666667</v>
      </c>
      <c r="AE34" s="68">
        <f t="shared" si="181"/>
        <v>-1</v>
      </c>
      <c r="AF34" s="84">
        <f>AF33/$K$35</f>
        <v>33.33333333</v>
      </c>
      <c r="AG34" s="81"/>
      <c r="AH34" s="82">
        <f t="shared" si="182"/>
        <v>-33.33333333</v>
      </c>
      <c r="AI34" s="68">
        <f t="shared" si="183"/>
        <v>-1</v>
      </c>
      <c r="AJ34" s="84">
        <f>AJ33/$K$35</f>
        <v>58.33333333</v>
      </c>
      <c r="AK34" s="81"/>
      <c r="AL34" s="82">
        <f t="shared" si="184"/>
        <v>-58.33333333</v>
      </c>
      <c r="AM34" s="68">
        <f t="shared" si="185"/>
        <v>-1</v>
      </c>
      <c r="AN34" s="84">
        <f>AN33/$K$35</f>
        <v>91.66666667</v>
      </c>
      <c r="AO34" s="81"/>
      <c r="AP34" s="82">
        <f t="shared" si="186"/>
        <v>-91.66666667</v>
      </c>
      <c r="AQ34" s="68">
        <f t="shared" si="187"/>
        <v>-1</v>
      </c>
      <c r="AR34" s="84">
        <f>AR33/$K$35</f>
        <v>125</v>
      </c>
      <c r="AS34" s="81"/>
      <c r="AT34" s="82">
        <f t="shared" si="188"/>
        <v>-125</v>
      </c>
      <c r="AU34" s="68">
        <f t="shared" si="189"/>
        <v>-1</v>
      </c>
      <c r="AV34" s="84">
        <f>AV33/$K$35</f>
        <v>166.6666667</v>
      </c>
      <c r="AW34" s="81"/>
      <c r="AX34" s="82">
        <f t="shared" si="190"/>
        <v>-166.6666667</v>
      </c>
      <c r="AY34" s="68">
        <f t="shared" si="191"/>
        <v>-1</v>
      </c>
      <c r="AZ34" s="84">
        <f>AZ33/$K$35</f>
        <v>166.6666667</v>
      </c>
      <c r="BA34" s="81"/>
      <c r="BB34" s="82">
        <f t="shared" si="192"/>
        <v>-166.6666667</v>
      </c>
      <c r="BC34" s="68">
        <f t="shared" si="193"/>
        <v>-1</v>
      </c>
      <c r="BD34" s="81">
        <f>BD33/$K$35</f>
        <v>175</v>
      </c>
      <c r="BE34" s="81"/>
      <c r="BF34" s="82">
        <f t="shared" si="194"/>
        <v>-175</v>
      </c>
      <c r="BG34" s="70">
        <f t="shared" si="195"/>
        <v>-1</v>
      </c>
      <c r="BH34" s="86">
        <f t="shared" ref="BH34:BI34" si="196">SUM(L34,P34,T34,X34,AB34,AF34,AJ34,AN34,AR34,AV34,AZ34,BD34)</f>
        <v>833.3333333</v>
      </c>
      <c r="BI34" s="87">
        <f t="shared" si="196"/>
        <v>171</v>
      </c>
      <c r="BJ34" s="76">
        <f t="shared" si="197"/>
        <v>-0.7948</v>
      </c>
      <c r="BK34" s="88" t="s">
        <v>60</v>
      </c>
      <c r="BL34" s="78" t="str">
        <f t="shared" si="198"/>
        <v>-</v>
      </c>
      <c r="BM34" s="147"/>
      <c r="BN34" s="3"/>
      <c r="BO34" s="3"/>
      <c r="BP34" s="3"/>
      <c r="BQ34" s="3"/>
      <c r="BR34" s="3"/>
      <c r="BZ34" s="162" t="s">
        <v>75</v>
      </c>
    </row>
    <row r="35" ht="15.75" customHeight="1">
      <c r="A35" s="1"/>
      <c r="B35" s="105"/>
      <c r="C35" s="106"/>
      <c r="D35" s="107"/>
      <c r="E35" s="144"/>
      <c r="F35" s="109"/>
      <c r="G35" s="110"/>
      <c r="H35" s="111"/>
      <c r="I35" s="112"/>
      <c r="J35" s="50" t="s">
        <v>65</v>
      </c>
      <c r="K35" s="79">
        <v>60.0</v>
      </c>
      <c r="L35" s="80">
        <v>60.0</v>
      </c>
      <c r="M35" s="66">
        <f>IFERROR(M33/M34,"-")</f>
        <v>14.5225</v>
      </c>
      <c r="N35" s="67">
        <f t="shared" si="172"/>
        <v>-45.4775</v>
      </c>
      <c r="O35" s="68">
        <f t="shared" si="173"/>
        <v>-0.7579583333</v>
      </c>
      <c r="P35" s="127">
        <v>60.0</v>
      </c>
      <c r="Q35" s="66">
        <f>IFERROR(Q33/Q34,"-")</f>
        <v>3.011967213</v>
      </c>
      <c r="R35" s="67">
        <f t="shared" si="174"/>
        <v>-56.98803279</v>
      </c>
      <c r="S35" s="70">
        <f t="shared" si="175"/>
        <v>-0.9498005464</v>
      </c>
      <c r="T35" s="80">
        <v>60.0</v>
      </c>
      <c r="U35" s="66">
        <f>IFERROR(U33/U34,"-")</f>
        <v>5.724516129</v>
      </c>
      <c r="V35" s="67">
        <f t="shared" si="176"/>
        <v>-54.27548387</v>
      </c>
      <c r="W35" s="68">
        <f t="shared" si="177"/>
        <v>-0.9045913978</v>
      </c>
      <c r="X35" s="80">
        <v>60.0</v>
      </c>
      <c r="Y35" s="81">
        <f>Y33/Y34</f>
        <v>41.12</v>
      </c>
      <c r="Z35" s="67">
        <f t="shared" si="178"/>
        <v>-18.88</v>
      </c>
      <c r="AA35" s="68">
        <f t="shared" si="179"/>
        <v>-0.3146666667</v>
      </c>
      <c r="AB35" s="84">
        <f>AB33/AB34</f>
        <v>60</v>
      </c>
      <c r="AC35" s="66" t="str">
        <f>IFERROR(AC33/AC34,"-")</f>
        <v>-</v>
      </c>
      <c r="AD35" s="67" t="str">
        <f t="shared" si="180"/>
        <v>-</v>
      </c>
      <c r="AE35" s="68" t="str">
        <f t="shared" si="181"/>
        <v>-</v>
      </c>
      <c r="AF35" s="84">
        <f>AF33/AF34</f>
        <v>60</v>
      </c>
      <c r="AG35" s="66" t="str">
        <f>IFERROR(AG33/AG34,"-")</f>
        <v>-</v>
      </c>
      <c r="AH35" s="67" t="str">
        <f t="shared" si="182"/>
        <v>-</v>
      </c>
      <c r="AI35" s="68" t="str">
        <f t="shared" si="183"/>
        <v>-</v>
      </c>
      <c r="AJ35" s="84">
        <f>AJ33/AJ34</f>
        <v>60</v>
      </c>
      <c r="AK35" s="66" t="str">
        <f>IFERROR(AK33/AK34,"-")</f>
        <v>-</v>
      </c>
      <c r="AL35" s="67" t="str">
        <f t="shared" si="184"/>
        <v>-</v>
      </c>
      <c r="AM35" s="68" t="str">
        <f t="shared" si="185"/>
        <v>-</v>
      </c>
      <c r="AN35" s="84">
        <f>AN33/AN34</f>
        <v>60</v>
      </c>
      <c r="AO35" s="66" t="str">
        <f>IFERROR(AO33/AO34,"-")</f>
        <v>-</v>
      </c>
      <c r="AP35" s="67" t="str">
        <f t="shared" si="186"/>
        <v>-</v>
      </c>
      <c r="AQ35" s="68" t="str">
        <f t="shared" si="187"/>
        <v>-</v>
      </c>
      <c r="AR35" s="84">
        <f>AR33/AR34</f>
        <v>60</v>
      </c>
      <c r="AS35" s="66" t="str">
        <f>IFERROR(AS33/AS34,"-")</f>
        <v>-</v>
      </c>
      <c r="AT35" s="67" t="str">
        <f t="shared" si="188"/>
        <v>-</v>
      </c>
      <c r="AU35" s="68" t="str">
        <f t="shared" si="189"/>
        <v>-</v>
      </c>
      <c r="AV35" s="84">
        <f>AV33/AV34</f>
        <v>60</v>
      </c>
      <c r="AW35" s="66" t="str">
        <f>IFERROR(AW33/AW34,"-")</f>
        <v>-</v>
      </c>
      <c r="AX35" s="67" t="str">
        <f t="shared" si="190"/>
        <v>-</v>
      </c>
      <c r="AY35" s="68" t="str">
        <f t="shared" si="191"/>
        <v>-</v>
      </c>
      <c r="AZ35" s="84">
        <f>AZ33/AZ34</f>
        <v>60</v>
      </c>
      <c r="BA35" s="66" t="str">
        <f>IFERROR(BA33/BA34,"-")</f>
        <v>-</v>
      </c>
      <c r="BB35" s="67" t="str">
        <f t="shared" si="192"/>
        <v>-</v>
      </c>
      <c r="BC35" s="68" t="str">
        <f t="shared" si="193"/>
        <v>-</v>
      </c>
      <c r="BD35" s="81">
        <f>BD33/BD34</f>
        <v>60</v>
      </c>
      <c r="BE35" s="66" t="str">
        <f>IFERROR(BE33/BE34,"-")</f>
        <v>-</v>
      </c>
      <c r="BF35" s="67" t="str">
        <f t="shared" si="194"/>
        <v>-</v>
      </c>
      <c r="BG35" s="70" t="str">
        <f t="shared" si="195"/>
        <v>-</v>
      </c>
      <c r="BH35" s="163">
        <f t="shared" ref="BH35:BI35" si="199">BH33/BH34</f>
        <v>60</v>
      </c>
      <c r="BI35" s="90">
        <f t="shared" si="199"/>
        <v>5.026432749</v>
      </c>
      <c r="BJ35" s="76">
        <f t="shared" si="197"/>
        <v>-0.9162261209</v>
      </c>
      <c r="BK35" s="88"/>
      <c r="BL35" s="78"/>
      <c r="BM35" s="147"/>
      <c r="BN35" s="3"/>
      <c r="BO35" s="3"/>
      <c r="BP35" s="3"/>
      <c r="BQ35" s="3"/>
      <c r="BR35" s="3"/>
    </row>
    <row r="36" ht="15.75" customHeight="1">
      <c r="A36" s="1"/>
      <c r="B36" s="105"/>
      <c r="C36" s="106"/>
      <c r="D36" s="107"/>
      <c r="E36" s="144"/>
      <c r="F36" s="109"/>
      <c r="G36" s="110"/>
      <c r="H36" s="111"/>
      <c r="I36" s="112"/>
      <c r="J36" s="91" t="s">
        <v>66</v>
      </c>
      <c r="K36" s="92">
        <v>0.049</v>
      </c>
      <c r="L36" s="93">
        <f t="shared" ref="L36:M36" si="200">L33*$K$36</f>
        <v>0</v>
      </c>
      <c r="M36" s="97">
        <f t="shared" si="200"/>
        <v>11.38564</v>
      </c>
      <c r="N36" s="95">
        <f t="shared" si="172"/>
        <v>11.38564</v>
      </c>
      <c r="O36" s="96" t="str">
        <f t="shared" si="173"/>
        <v>-</v>
      </c>
      <c r="P36" s="93">
        <f t="shared" ref="P36:Q36" si="201">P33*$K$36</f>
        <v>0</v>
      </c>
      <c r="Q36" s="97">
        <f t="shared" si="201"/>
        <v>18.00554</v>
      </c>
      <c r="R36" s="95">
        <f t="shared" si="174"/>
        <v>18.00554</v>
      </c>
      <c r="S36" s="98" t="str">
        <f t="shared" si="175"/>
        <v>-</v>
      </c>
      <c r="T36" s="93">
        <f t="shared" ref="T36:U36" si="202">T33*$K$36</f>
        <v>0</v>
      </c>
      <c r="U36" s="97">
        <f t="shared" si="202"/>
        <v>8.69554</v>
      </c>
      <c r="V36" s="95">
        <f t="shared" si="176"/>
        <v>8.69554</v>
      </c>
      <c r="W36" s="96" t="str">
        <f t="shared" si="177"/>
        <v>-</v>
      </c>
      <c r="X36" s="93">
        <f t="shared" ref="X36:Y36" si="203">X33*$K$36</f>
        <v>0</v>
      </c>
      <c r="Y36" s="97">
        <f t="shared" si="203"/>
        <v>4.02976</v>
      </c>
      <c r="Z36" s="95">
        <f t="shared" si="178"/>
        <v>4.02976</v>
      </c>
      <c r="AA36" s="96" t="str">
        <f t="shared" si="179"/>
        <v>-</v>
      </c>
      <c r="AB36" s="93">
        <f t="shared" ref="AB36:AC36" si="204">AB33*$K$36</f>
        <v>49</v>
      </c>
      <c r="AC36" s="97">
        <f t="shared" si="204"/>
        <v>0</v>
      </c>
      <c r="AD36" s="95">
        <f t="shared" si="180"/>
        <v>-49</v>
      </c>
      <c r="AE36" s="96">
        <f t="shared" si="181"/>
        <v>-1</v>
      </c>
      <c r="AF36" s="93">
        <f t="shared" ref="AF36:AG36" si="205">AF33*$K$36</f>
        <v>98</v>
      </c>
      <c r="AG36" s="97">
        <f t="shared" si="205"/>
        <v>0</v>
      </c>
      <c r="AH36" s="95">
        <f t="shared" si="182"/>
        <v>-98</v>
      </c>
      <c r="AI36" s="96">
        <f t="shared" si="183"/>
        <v>-1</v>
      </c>
      <c r="AJ36" s="93">
        <f t="shared" ref="AJ36:AK36" si="206">AJ33*$K$36</f>
        <v>171.5</v>
      </c>
      <c r="AK36" s="97">
        <f t="shared" si="206"/>
        <v>0</v>
      </c>
      <c r="AL36" s="95">
        <f t="shared" si="184"/>
        <v>-171.5</v>
      </c>
      <c r="AM36" s="96">
        <f t="shared" si="185"/>
        <v>-1</v>
      </c>
      <c r="AN36" s="93">
        <f t="shared" ref="AN36:AO36" si="207">AN33*$K$36</f>
        <v>269.5</v>
      </c>
      <c r="AO36" s="97">
        <f t="shared" si="207"/>
        <v>0</v>
      </c>
      <c r="AP36" s="95">
        <f t="shared" si="186"/>
        <v>-269.5</v>
      </c>
      <c r="AQ36" s="96">
        <f t="shared" si="187"/>
        <v>-1</v>
      </c>
      <c r="AR36" s="93">
        <f t="shared" ref="AR36:AS36" si="208">AR33*$K$36</f>
        <v>367.5</v>
      </c>
      <c r="AS36" s="97">
        <f t="shared" si="208"/>
        <v>0</v>
      </c>
      <c r="AT36" s="95">
        <f t="shared" si="188"/>
        <v>-367.5</v>
      </c>
      <c r="AU36" s="96">
        <f t="shared" si="189"/>
        <v>-1</v>
      </c>
      <c r="AV36" s="93">
        <f t="shared" ref="AV36:AW36" si="209">AV33*$K$36</f>
        <v>490</v>
      </c>
      <c r="AW36" s="97">
        <f t="shared" si="209"/>
        <v>0</v>
      </c>
      <c r="AX36" s="95">
        <f t="shared" si="190"/>
        <v>-490</v>
      </c>
      <c r="AY36" s="96">
        <f t="shared" si="191"/>
        <v>-1</v>
      </c>
      <c r="AZ36" s="93">
        <f t="shared" ref="AZ36:BA36" si="210">AZ33*$K$36</f>
        <v>490</v>
      </c>
      <c r="BA36" s="97">
        <f t="shared" si="210"/>
        <v>0</v>
      </c>
      <c r="BB36" s="95">
        <f t="shared" si="192"/>
        <v>-490</v>
      </c>
      <c r="BC36" s="96">
        <f t="shared" si="193"/>
        <v>-1</v>
      </c>
      <c r="BD36" s="97">
        <f t="shared" ref="BD36:BE36" si="211">BD33*$K$36</f>
        <v>514.5</v>
      </c>
      <c r="BE36" s="97">
        <f t="shared" si="211"/>
        <v>0</v>
      </c>
      <c r="BF36" s="95">
        <f t="shared" si="194"/>
        <v>-514.5</v>
      </c>
      <c r="BG36" s="98">
        <f t="shared" si="195"/>
        <v>-1</v>
      </c>
      <c r="BH36" s="100">
        <f t="shared" ref="BH36:BI36" si="212">SUM(L36,P36,T36,X36,AB36,AF36,AJ36,AN36,AR36,AV36,AZ36,BD36)</f>
        <v>2450</v>
      </c>
      <c r="BI36" s="101">
        <f t="shared" si="212"/>
        <v>42.11648</v>
      </c>
      <c r="BJ36" s="102">
        <f t="shared" si="197"/>
        <v>-0.9828096</v>
      </c>
      <c r="BK36" s="103" t="s">
        <v>60</v>
      </c>
      <c r="BL36" s="104" t="str">
        <f>IFERROR((BH36/BK36),"-")</f>
        <v>-</v>
      </c>
      <c r="BM36" s="3"/>
      <c r="BN36" s="3"/>
      <c r="BO36" s="3"/>
      <c r="BP36" s="3"/>
    </row>
    <row r="37" ht="15.75" customHeight="1">
      <c r="A37" s="1"/>
      <c r="B37" s="105"/>
      <c r="C37" s="106"/>
      <c r="D37" s="107"/>
      <c r="E37" s="144"/>
      <c r="F37" s="109"/>
      <c r="G37" s="110"/>
      <c r="H37" s="111"/>
      <c r="I37" s="112"/>
      <c r="J37" s="12"/>
      <c r="K37" s="148"/>
      <c r="L37" s="12"/>
      <c r="M37" s="149"/>
      <c r="N37" s="149"/>
      <c r="O37" s="149"/>
      <c r="P37" s="149"/>
      <c r="Q37" s="23"/>
      <c r="R37" s="149"/>
      <c r="S37" s="12"/>
      <c r="T37" s="12"/>
      <c r="U37" s="12"/>
      <c r="V37" s="12"/>
      <c r="W37" s="12"/>
      <c r="X37" s="13"/>
      <c r="Y37" s="14"/>
      <c r="Z37" s="15"/>
      <c r="AA37" s="3"/>
      <c r="AB37" s="3"/>
      <c r="AC37" s="3"/>
      <c r="AD37" s="3"/>
      <c r="AE37" s="3"/>
      <c r="AF37" s="3"/>
      <c r="AV37" s="138"/>
      <c r="AW37" s="25"/>
      <c r="AX37" s="139"/>
      <c r="AY37" s="25"/>
    </row>
    <row r="38" ht="15.75" customHeight="1">
      <c r="A38" s="1"/>
      <c r="B38" s="105"/>
      <c r="C38" s="106"/>
      <c r="D38" s="107"/>
      <c r="E38" s="144"/>
      <c r="F38" s="109"/>
      <c r="G38" s="110"/>
      <c r="H38" s="111"/>
      <c r="I38" s="112"/>
      <c r="J38" s="34" t="s">
        <v>76</v>
      </c>
      <c r="K38" s="35"/>
      <c r="L38" s="36" t="s">
        <v>10</v>
      </c>
      <c r="M38" s="152" t="s">
        <v>11</v>
      </c>
      <c r="N38" s="38" t="s">
        <v>12</v>
      </c>
      <c r="O38" s="45" t="s">
        <v>13</v>
      </c>
      <c r="P38" s="119" t="s">
        <v>14</v>
      </c>
      <c r="Q38" s="152" t="s">
        <v>15</v>
      </c>
      <c r="R38" s="38" t="s">
        <v>16</v>
      </c>
      <c r="S38" s="42" t="s">
        <v>17</v>
      </c>
      <c r="T38" s="164" t="s">
        <v>18</v>
      </c>
      <c r="U38" s="152" t="s">
        <v>19</v>
      </c>
      <c r="V38" s="38" t="s">
        <v>20</v>
      </c>
      <c r="W38" s="45" t="s">
        <v>21</v>
      </c>
      <c r="X38" s="44" t="s">
        <v>22</v>
      </c>
      <c r="Y38" s="152" t="s">
        <v>23</v>
      </c>
      <c r="Z38" s="38" t="s">
        <v>24</v>
      </c>
      <c r="AA38" s="45" t="s">
        <v>25</v>
      </c>
      <c r="AB38" s="43" t="s">
        <v>26</v>
      </c>
      <c r="AC38" s="152" t="s">
        <v>27</v>
      </c>
      <c r="AD38" s="38" t="s">
        <v>28</v>
      </c>
      <c r="AE38" s="45" t="s">
        <v>29</v>
      </c>
      <c r="AF38" s="44" t="s">
        <v>30</v>
      </c>
      <c r="AG38" s="152" t="s">
        <v>31</v>
      </c>
      <c r="AH38" s="38" t="s">
        <v>32</v>
      </c>
      <c r="AI38" s="45" t="s">
        <v>33</v>
      </c>
      <c r="AJ38" s="43" t="s">
        <v>34</v>
      </c>
      <c r="AK38" s="152" t="s">
        <v>35</v>
      </c>
      <c r="AL38" s="38" t="s">
        <v>36</v>
      </c>
      <c r="AM38" s="45" t="s">
        <v>37</v>
      </c>
      <c r="AN38" s="153" t="s">
        <v>38</v>
      </c>
      <c r="AO38" s="152" t="s">
        <v>39</v>
      </c>
      <c r="AP38" s="38" t="s">
        <v>40</v>
      </c>
      <c r="AQ38" s="45" t="s">
        <v>41</v>
      </c>
      <c r="AR38" s="43" t="s">
        <v>42</v>
      </c>
      <c r="AS38" s="152" t="s">
        <v>43</v>
      </c>
      <c r="AT38" s="38" t="s">
        <v>44</v>
      </c>
      <c r="AU38" s="45" t="s">
        <v>45</v>
      </c>
      <c r="AV38" s="44" t="s">
        <v>46</v>
      </c>
      <c r="AW38" s="152" t="s">
        <v>47</v>
      </c>
      <c r="AX38" s="38" t="s">
        <v>48</v>
      </c>
      <c r="AY38" s="45" t="s">
        <v>49</v>
      </c>
      <c r="AZ38" s="43" t="s">
        <v>50</v>
      </c>
      <c r="BA38" s="152" t="s">
        <v>51</v>
      </c>
      <c r="BB38" s="38" t="s">
        <v>52</v>
      </c>
      <c r="BC38" s="45" t="s">
        <v>53</v>
      </c>
      <c r="BD38" s="44" t="s">
        <v>54</v>
      </c>
      <c r="BE38" s="152" t="s">
        <v>55</v>
      </c>
      <c r="BF38" s="38" t="s">
        <v>56</v>
      </c>
      <c r="BG38" s="45" t="s">
        <v>57</v>
      </c>
      <c r="BH38" s="122">
        <v>2026.0</v>
      </c>
      <c r="BI38" s="37" t="s">
        <v>58</v>
      </c>
      <c r="BJ38" s="47" t="s">
        <v>59</v>
      </c>
      <c r="BK38" s="48">
        <v>2025.0</v>
      </c>
      <c r="BL38" s="49"/>
      <c r="BM38" s="3"/>
      <c r="BN38" s="3"/>
      <c r="BO38" s="3"/>
      <c r="BP38" s="3"/>
      <c r="BQ38" s="3"/>
      <c r="BR38" s="3"/>
    </row>
    <row r="39" ht="15.75" customHeight="1">
      <c r="A39" s="1"/>
      <c r="B39" s="105">
        <v>7.0</v>
      </c>
      <c r="C39" s="106" t="s">
        <v>77</v>
      </c>
      <c r="D39" s="107"/>
      <c r="E39" s="144"/>
      <c r="F39" s="109"/>
      <c r="G39" s="110"/>
      <c r="H39" s="111"/>
      <c r="I39" s="112"/>
      <c r="J39" s="50" t="s">
        <v>78</v>
      </c>
      <c r="K39" s="51"/>
      <c r="L39" s="52" t="s">
        <v>60</v>
      </c>
      <c r="M39" s="154" t="s">
        <v>60</v>
      </c>
      <c r="N39" s="54" t="s">
        <v>60</v>
      </c>
      <c r="O39" s="55" t="s">
        <v>62</v>
      </c>
      <c r="P39" s="52" t="s">
        <v>60</v>
      </c>
      <c r="Q39" s="154" t="s">
        <v>60</v>
      </c>
      <c r="R39" s="54" t="s">
        <v>60</v>
      </c>
      <c r="S39" s="57" t="s">
        <v>62</v>
      </c>
      <c r="T39" s="58">
        <v>0.04</v>
      </c>
      <c r="U39" s="59">
        <f>U40/(BH40-(L40 + P40))</f>
        <v>0.05181774334</v>
      </c>
      <c r="V39" s="54" t="s">
        <v>60</v>
      </c>
      <c r="W39" s="55" t="s">
        <v>62</v>
      </c>
      <c r="X39" s="58">
        <v>0.05</v>
      </c>
      <c r="Y39" s="59">
        <f>Y40/(BH40-(L40+P40))</f>
        <v>0.03728023143</v>
      </c>
      <c r="Z39" s="54" t="s">
        <v>60</v>
      </c>
      <c r="AA39" s="55" t="s">
        <v>62</v>
      </c>
      <c r="AB39" s="58">
        <v>0.05</v>
      </c>
      <c r="AC39" s="59">
        <f>AC40/(BH40-(L40+P40))</f>
        <v>0.05252107165</v>
      </c>
      <c r="AD39" s="54" t="s">
        <v>60</v>
      </c>
      <c r="AE39" s="55" t="s">
        <v>62</v>
      </c>
      <c r="AF39" s="58">
        <v>0.08</v>
      </c>
      <c r="AG39" s="59">
        <f>AG40/(BH40-(L40+P40))</f>
        <v>0.03748592748</v>
      </c>
      <c r="AH39" s="54" t="s">
        <v>60</v>
      </c>
      <c r="AI39" s="55" t="s">
        <v>62</v>
      </c>
      <c r="AJ39" s="58">
        <v>0.08</v>
      </c>
      <c r="AK39" s="59">
        <f>AK40/(BH40-(L40+P40))</f>
        <v>0</v>
      </c>
      <c r="AL39" s="54" t="s">
        <v>60</v>
      </c>
      <c r="AM39" s="55" t="s">
        <v>62</v>
      </c>
      <c r="AN39" s="155">
        <v>0.08</v>
      </c>
      <c r="AO39" s="59">
        <f>AO40/(BH40-(L40+P40))</f>
        <v>0</v>
      </c>
      <c r="AP39" s="54" t="s">
        <v>60</v>
      </c>
      <c r="AQ39" s="55" t="s">
        <v>62</v>
      </c>
      <c r="AR39" s="58">
        <v>0.13</v>
      </c>
      <c r="AS39" s="59">
        <f>AS40/(BH40-(L40+P40))</f>
        <v>0</v>
      </c>
      <c r="AT39" s="54" t="s">
        <v>60</v>
      </c>
      <c r="AU39" s="55" t="s">
        <v>62</v>
      </c>
      <c r="AV39" s="58">
        <v>0.13</v>
      </c>
      <c r="AW39" s="59">
        <f>AW40/(BH40-(L40+P40))</f>
        <v>0</v>
      </c>
      <c r="AX39" s="54" t="s">
        <v>60</v>
      </c>
      <c r="AY39" s="55" t="s">
        <v>62</v>
      </c>
      <c r="AZ39" s="58">
        <v>0.23</v>
      </c>
      <c r="BA39" s="59">
        <f>BA40/(BH40-(L40+P40))</f>
        <v>0</v>
      </c>
      <c r="BB39" s="54" t="s">
        <v>60</v>
      </c>
      <c r="BC39" s="55" t="s">
        <v>62</v>
      </c>
      <c r="BD39" s="58">
        <v>0.13</v>
      </c>
      <c r="BE39" s="59">
        <f>BE40/(BH40-(L40+P40))</f>
        <v>0</v>
      </c>
      <c r="BF39" s="54" t="s">
        <v>60</v>
      </c>
      <c r="BG39" s="55" t="s">
        <v>62</v>
      </c>
      <c r="BH39" s="165">
        <f t="shared" ref="BH39:BI39" si="213">SUM(T39,X39,AB39,AF39,AJ39,AN39,AR39,AV39,AZ39,BD39)</f>
        <v>1</v>
      </c>
      <c r="BI39" s="61">
        <f t="shared" si="213"/>
        <v>0.1791049739</v>
      </c>
      <c r="BJ39" s="62"/>
      <c r="BK39" s="63" t="s">
        <v>60</v>
      </c>
      <c r="BL39" s="64"/>
      <c r="BM39" s="3"/>
      <c r="BN39" s="3"/>
      <c r="BO39" s="3"/>
      <c r="BP39" s="3"/>
      <c r="BQ39" s="3"/>
      <c r="BR39" s="3"/>
    </row>
    <row r="40" ht="15.75" customHeight="1">
      <c r="A40" s="1"/>
      <c r="B40" s="105"/>
      <c r="C40" s="106"/>
      <c r="D40" s="107"/>
      <c r="E40" s="144"/>
      <c r="F40" s="109"/>
      <c r="G40" s="110"/>
      <c r="H40" s="111"/>
      <c r="I40" s="112"/>
      <c r="J40" s="50" t="s">
        <v>63</v>
      </c>
      <c r="K40" s="51"/>
      <c r="L40" s="127">
        <v>60057.0</v>
      </c>
      <c r="M40" s="66">
        <v>45206.81</v>
      </c>
      <c r="N40" s="67">
        <f t="shared" ref="N40:N43" si="214">IFERROR(M40-L40,"-")</f>
        <v>-14850.19</v>
      </c>
      <c r="O40" s="68">
        <f t="shared" ref="O40:O43" si="215">IFERROR(M40/L40-1,"-")</f>
        <v>-0.2472682618</v>
      </c>
      <c r="P40" s="127">
        <v>44180.0</v>
      </c>
      <c r="Q40" s="66">
        <v>42436.91</v>
      </c>
      <c r="R40" s="67">
        <f t="shared" ref="R40:R43" si="216">IFERROR(Q40-P40,"-")</f>
        <v>-1743.09</v>
      </c>
      <c r="S40" s="70">
        <f t="shared" ref="S40:S43" si="217">IFERROR(Q40/P40-1,"-")</f>
        <v>-0.03945427795</v>
      </c>
      <c r="T40" s="71">
        <f>($BH$40-($L$40+$P$40))*T39</f>
        <v>46989.71903</v>
      </c>
      <c r="U40" s="66">
        <v>60872.53</v>
      </c>
      <c r="V40" s="67">
        <f t="shared" ref="V40:V43" si="218">IFERROR(U40-T40,"-")</f>
        <v>13882.81097</v>
      </c>
      <c r="W40" s="68">
        <f t="shared" ref="W40:W43" si="219">IFERROR(U40/T40-1,"-")</f>
        <v>0.2954435834</v>
      </c>
      <c r="X40" s="71">
        <f>($BH$40-($L$40+$P$40))*X39</f>
        <v>58737.14879</v>
      </c>
      <c r="Y40" s="66">
        <v>43794.69</v>
      </c>
      <c r="Z40" s="67">
        <f t="shared" ref="Z40:Z43" si="220">IFERROR(Y40-X40,"-")</f>
        <v>-14942.45879</v>
      </c>
      <c r="AA40" s="68">
        <f t="shared" ref="AA40:AA43" si="221">IFERROR(Y40/X40-1,"-")</f>
        <v>-0.2543953715</v>
      </c>
      <c r="AB40" s="71">
        <f>($BH$40-($L$40+$P$40))*AB39</f>
        <v>58737.14879</v>
      </c>
      <c r="AC40" s="66">
        <v>61698.76</v>
      </c>
      <c r="AD40" s="67">
        <f t="shared" ref="AD40:AD43" si="222">IFERROR(AC40-AB40,"-")</f>
        <v>2961.611215</v>
      </c>
      <c r="AE40" s="68">
        <f t="shared" ref="AE40:AE43" si="223">IFERROR(AC40/AB40-1,"-")</f>
        <v>0.05042143304</v>
      </c>
      <c r="AF40" s="71">
        <f>($BH$40-($L$40+$P$40))*AF39</f>
        <v>93979.43806</v>
      </c>
      <c r="AG40" s="73">
        <v>44036.33</v>
      </c>
      <c r="AH40" s="67">
        <f t="shared" ref="AH40:AH43" si="224">IFERROR(AG40-AF40,"-")</f>
        <v>-49943.10806</v>
      </c>
      <c r="AI40" s="68">
        <f t="shared" ref="AI40:AI43" si="225">IFERROR(AG40/AF40-1,"-")</f>
        <v>-0.5314259064</v>
      </c>
      <c r="AJ40" s="71">
        <f>($BH$40-($L$40+$P$40))*AJ39</f>
        <v>93979.43806</v>
      </c>
      <c r="AK40" s="66">
        <v>0.0</v>
      </c>
      <c r="AL40" s="67">
        <f t="shared" ref="AL40:AL43" si="226">IFERROR(AK40-AJ40,"-")</f>
        <v>-93979.43806</v>
      </c>
      <c r="AM40" s="68">
        <f t="shared" ref="AM40:AM43" si="227">IFERROR(AK40/AJ40-1,"-")</f>
        <v>-1</v>
      </c>
      <c r="AN40" s="66">
        <f>($BH$40-($L$40+$P$40))*AN39</f>
        <v>93979.43806</v>
      </c>
      <c r="AO40" s="66">
        <v>0.0</v>
      </c>
      <c r="AP40" s="67">
        <f t="shared" ref="AP40:AP43" si="228">IFERROR(AO40-AN40,"-")</f>
        <v>-93979.43806</v>
      </c>
      <c r="AQ40" s="68">
        <f t="shared" ref="AQ40:AQ43" si="229">IFERROR(AO40/AN40-1,"-")</f>
        <v>-1</v>
      </c>
      <c r="AR40" s="71">
        <f>($BH$40-($L$40+$P$40))*AR39</f>
        <v>152716.5868</v>
      </c>
      <c r="AS40" s="66">
        <v>0.0</v>
      </c>
      <c r="AT40" s="67">
        <f t="shared" ref="AT40:AT43" si="230">IFERROR(AS40-AR40,"-")</f>
        <v>-152716.5868</v>
      </c>
      <c r="AU40" s="68">
        <f t="shared" ref="AU40:AU43" si="231">IFERROR(AS40/AR40-1,"-")</f>
        <v>-1</v>
      </c>
      <c r="AV40" s="71">
        <f>($BH$40-($L$40+$P$40))*AV39</f>
        <v>152716.5868</v>
      </c>
      <c r="AW40" s="66">
        <v>0.0</v>
      </c>
      <c r="AX40" s="67">
        <f t="shared" ref="AX40:AX43" si="232">IFERROR(AW40-AV40,"-")</f>
        <v>-152716.5868</v>
      </c>
      <c r="AY40" s="68">
        <f t="shared" ref="AY40:AY43" si="233">IFERROR(AW40/AV40-1,"-")</f>
        <v>-1</v>
      </c>
      <c r="AZ40" s="71">
        <f>($BH$40-($L$40+$P$40))*AZ39</f>
        <v>270190.8844</v>
      </c>
      <c r="BA40" s="66">
        <v>0.0</v>
      </c>
      <c r="BB40" s="67">
        <f t="shared" ref="BB40:BB43" si="234">IFERROR(BA40-AZ40,"-")</f>
        <v>-270190.8844</v>
      </c>
      <c r="BC40" s="68">
        <f t="shared" ref="BC40:BC43" si="235">IFERROR(BA40/AZ40-1,"-")</f>
        <v>-1</v>
      </c>
      <c r="BD40" s="71">
        <f>($BH$40-($L$40+$P$40))*BD39</f>
        <v>152716.5868</v>
      </c>
      <c r="BE40" s="66">
        <v>0.0</v>
      </c>
      <c r="BF40" s="67">
        <f t="shared" ref="BF40:BF43" si="236">IFERROR(BE40-BD40,"-")</f>
        <v>-152716.5868</v>
      </c>
      <c r="BG40" s="68">
        <f t="shared" ref="BG40:BG43" si="237">IFERROR(BE40/BD40-1,"-")</f>
        <v>-1</v>
      </c>
      <c r="BH40" s="166">
        <v>1278979.9757081596</v>
      </c>
      <c r="BI40" s="75">
        <f>SUM(M40,Q40,U40,Y40,AC40,AG40,AK40,AO40,AS40,AW40,BA40,BE40)</f>
        <v>298046.03</v>
      </c>
      <c r="BJ40" s="76">
        <f t="shared" ref="BJ40:BJ43" si="239">IFERROR(BI40/BH40-1,"-")</f>
        <v>-0.7669658355</v>
      </c>
      <c r="BK40" s="77">
        <v>368854.14</v>
      </c>
      <c r="BL40" s="78">
        <f t="shared" ref="BL40:BL41" si="240">BH40/BK40</f>
        <v>3.467441021</v>
      </c>
      <c r="BM40" s="3"/>
      <c r="BN40" s="3"/>
      <c r="BO40" s="3"/>
      <c r="BP40" s="3"/>
      <c r="BQ40" s="3"/>
      <c r="BR40" s="3"/>
    </row>
    <row r="41" ht="15.75" customHeight="1">
      <c r="A41" s="1"/>
      <c r="B41" s="105"/>
      <c r="C41" s="106"/>
      <c r="D41" s="107"/>
      <c r="E41" s="144"/>
      <c r="F41" s="109"/>
      <c r="G41" s="110"/>
      <c r="H41" s="111"/>
      <c r="I41" s="112"/>
      <c r="J41" s="50" t="s">
        <v>64</v>
      </c>
      <c r="K41" s="79"/>
      <c r="L41" s="129">
        <f>L40/$K$42</f>
        <v>834.125</v>
      </c>
      <c r="M41" s="81">
        <v>647.0</v>
      </c>
      <c r="N41" s="82">
        <f t="shared" si="214"/>
        <v>-187.125</v>
      </c>
      <c r="O41" s="68">
        <f t="shared" si="215"/>
        <v>-0.22433688</v>
      </c>
      <c r="P41" s="129">
        <f>P40/$K$42</f>
        <v>613.6111111</v>
      </c>
      <c r="Q41" s="81">
        <v>585.0</v>
      </c>
      <c r="R41" s="82">
        <f t="shared" si="216"/>
        <v>-28.61111111</v>
      </c>
      <c r="S41" s="70">
        <f t="shared" si="217"/>
        <v>-0.04662743323</v>
      </c>
      <c r="T41" s="84">
        <f>T40/$K$42</f>
        <v>652.6349865</v>
      </c>
      <c r="U41" s="81">
        <v>1063.0</v>
      </c>
      <c r="V41" s="82">
        <f t="shared" si="218"/>
        <v>410.3650135</v>
      </c>
      <c r="W41" s="68">
        <f t="shared" si="219"/>
        <v>0.6287818183</v>
      </c>
      <c r="X41" s="84">
        <f>X40/$K$42</f>
        <v>815.7937331</v>
      </c>
      <c r="Y41" s="81">
        <v>793.0</v>
      </c>
      <c r="Z41" s="82">
        <f t="shared" si="220"/>
        <v>-22.79373313</v>
      </c>
      <c r="AA41" s="68">
        <f t="shared" si="221"/>
        <v>-0.02794055924</v>
      </c>
      <c r="AB41" s="84">
        <f>AB40/$K$42</f>
        <v>815.7937331</v>
      </c>
      <c r="AC41" s="81">
        <v>852.0</v>
      </c>
      <c r="AD41" s="82">
        <f t="shared" si="222"/>
        <v>36.20626687</v>
      </c>
      <c r="AE41" s="68">
        <f t="shared" si="223"/>
        <v>0.04438164379</v>
      </c>
      <c r="AF41" s="84">
        <f>AF40/$K$42</f>
        <v>1305.269973</v>
      </c>
      <c r="AG41" s="85">
        <v>618.0</v>
      </c>
      <c r="AH41" s="82">
        <f t="shared" si="224"/>
        <v>-687.269973</v>
      </c>
      <c r="AI41" s="68">
        <f t="shared" si="225"/>
        <v>-0.5265347301</v>
      </c>
      <c r="AJ41" s="84">
        <f>AJ40/$K$42</f>
        <v>1305.269973</v>
      </c>
      <c r="AK41" s="81">
        <v>0.0</v>
      </c>
      <c r="AL41" s="82">
        <f t="shared" si="226"/>
        <v>-1305.269973</v>
      </c>
      <c r="AM41" s="68">
        <f t="shared" si="227"/>
        <v>-1</v>
      </c>
      <c r="AN41" s="81">
        <f>AN40/$K$42</f>
        <v>1305.269973</v>
      </c>
      <c r="AO41" s="81">
        <v>0.0</v>
      </c>
      <c r="AP41" s="82">
        <f t="shared" si="228"/>
        <v>-1305.269973</v>
      </c>
      <c r="AQ41" s="68">
        <f t="shared" si="229"/>
        <v>-1</v>
      </c>
      <c r="AR41" s="84">
        <f>AR40/$K$42</f>
        <v>2121.063706</v>
      </c>
      <c r="AS41" s="81">
        <v>0.0</v>
      </c>
      <c r="AT41" s="82">
        <f t="shared" si="230"/>
        <v>-2121.063706</v>
      </c>
      <c r="AU41" s="68">
        <f t="shared" si="231"/>
        <v>-1</v>
      </c>
      <c r="AV41" s="84">
        <f>AV40/$K$42</f>
        <v>2121.063706</v>
      </c>
      <c r="AW41" s="81">
        <v>0.0</v>
      </c>
      <c r="AX41" s="82">
        <f t="shared" si="232"/>
        <v>-2121.063706</v>
      </c>
      <c r="AY41" s="68">
        <f t="shared" si="233"/>
        <v>-1</v>
      </c>
      <c r="AZ41" s="84">
        <f>AZ40/$K$42</f>
        <v>3752.651172</v>
      </c>
      <c r="BA41" s="81">
        <v>0.0</v>
      </c>
      <c r="BB41" s="82">
        <f t="shared" si="234"/>
        <v>-3752.651172</v>
      </c>
      <c r="BC41" s="68">
        <f t="shared" si="235"/>
        <v>-1</v>
      </c>
      <c r="BD41" s="84">
        <f>BD40/$K$42</f>
        <v>2121.063706</v>
      </c>
      <c r="BE41" s="81">
        <v>0.0</v>
      </c>
      <c r="BF41" s="82">
        <f t="shared" si="236"/>
        <v>-2121.063706</v>
      </c>
      <c r="BG41" s="68">
        <f t="shared" si="237"/>
        <v>-1</v>
      </c>
      <c r="BH41" s="167">
        <f t="shared" ref="BH41:BI41" si="238">SUM(L41,P41,T41,X41,AB41,AF41,AJ41,AN41,AR41,AV41,AZ41,BD41)</f>
        <v>17763.61077</v>
      </c>
      <c r="BI41" s="87">
        <f t="shared" si="238"/>
        <v>4558</v>
      </c>
      <c r="BJ41" s="76">
        <f t="shared" si="239"/>
        <v>-0.7434080234</v>
      </c>
      <c r="BK41" s="88">
        <v>5074.0</v>
      </c>
      <c r="BL41" s="78">
        <f t="shared" si="240"/>
        <v>3.500908706</v>
      </c>
      <c r="BM41" s="3"/>
      <c r="BN41" s="3"/>
      <c r="BO41" s="3"/>
      <c r="BP41" s="3"/>
      <c r="BQ41" s="3"/>
      <c r="BR41" s="3"/>
    </row>
    <row r="42" ht="15.75" customHeight="1">
      <c r="A42" s="1"/>
      <c r="B42" s="105"/>
      <c r="C42" s="106"/>
      <c r="D42" s="107"/>
      <c r="E42" s="144"/>
      <c r="F42" s="109"/>
      <c r="G42" s="110"/>
      <c r="H42" s="111"/>
      <c r="I42" s="112"/>
      <c r="J42" s="50" t="s">
        <v>65</v>
      </c>
      <c r="K42" s="79">
        <v>72.0</v>
      </c>
      <c r="L42" s="129">
        <f>L40/L41</f>
        <v>72</v>
      </c>
      <c r="M42" s="66">
        <f>IFERROR(M40/M41,"-")</f>
        <v>69.87142195</v>
      </c>
      <c r="N42" s="67">
        <f t="shared" si="214"/>
        <v>-2.128578053</v>
      </c>
      <c r="O42" s="68">
        <f t="shared" si="215"/>
        <v>-0.02956358406</v>
      </c>
      <c r="P42" s="65">
        <f t="shared" ref="P42:Q42" si="241">IFERROR(P40/P41,"-")</f>
        <v>72</v>
      </c>
      <c r="Q42" s="66">
        <f t="shared" si="241"/>
        <v>72.5417265</v>
      </c>
      <c r="R42" s="67">
        <f t="shared" si="216"/>
        <v>0.5417264957</v>
      </c>
      <c r="S42" s="70">
        <f t="shared" si="217"/>
        <v>0.007523979107</v>
      </c>
      <c r="T42" s="84">
        <f>T40/T41</f>
        <v>72</v>
      </c>
      <c r="U42" s="66">
        <f>IFERROR(U40/U41,"-")</f>
        <v>57.26484478</v>
      </c>
      <c r="V42" s="67">
        <f t="shared" si="218"/>
        <v>-14.73515522</v>
      </c>
      <c r="W42" s="68">
        <f t="shared" si="219"/>
        <v>-0.2046549336</v>
      </c>
      <c r="X42" s="71">
        <f t="shared" ref="X42:Y42" si="242">IFERROR(X40/X41,"-")</f>
        <v>72</v>
      </c>
      <c r="Y42" s="66">
        <f t="shared" si="242"/>
        <v>55.22659521</v>
      </c>
      <c r="Z42" s="67">
        <f t="shared" si="220"/>
        <v>-16.77340479</v>
      </c>
      <c r="AA42" s="68">
        <f t="shared" si="221"/>
        <v>-0.2329639554</v>
      </c>
      <c r="AB42" s="84">
        <f>AB40/AB41</f>
        <v>72</v>
      </c>
      <c r="AC42" s="66">
        <f>IFERROR(AC40/AC41,"-")</f>
        <v>72.41638498</v>
      </c>
      <c r="AD42" s="67">
        <f t="shared" si="222"/>
        <v>0.4163849765</v>
      </c>
      <c r="AE42" s="68">
        <f t="shared" si="223"/>
        <v>0.005783124674</v>
      </c>
      <c r="AF42" s="84">
        <f>AF40/AF41</f>
        <v>72</v>
      </c>
      <c r="AG42" s="66">
        <f>IFERROR(AG40/AG41,"-")</f>
        <v>71.25619741</v>
      </c>
      <c r="AH42" s="67">
        <f t="shared" si="224"/>
        <v>-0.743802589</v>
      </c>
      <c r="AI42" s="68">
        <f t="shared" si="225"/>
        <v>-0.01033059151</v>
      </c>
      <c r="AJ42" s="84">
        <f>AJ40/AJ41</f>
        <v>72</v>
      </c>
      <c r="AK42" s="66" t="str">
        <f>IFERROR(AK40/AK41,"-")</f>
        <v>-</v>
      </c>
      <c r="AL42" s="67" t="str">
        <f t="shared" si="226"/>
        <v>-</v>
      </c>
      <c r="AM42" s="68" t="str">
        <f t="shared" si="227"/>
        <v>-</v>
      </c>
      <c r="AN42" s="81">
        <f>AN40/AN41</f>
        <v>72</v>
      </c>
      <c r="AO42" s="66" t="str">
        <f>IFERROR(AO40/AO41,"-")</f>
        <v>-</v>
      </c>
      <c r="AP42" s="67" t="str">
        <f t="shared" si="228"/>
        <v>-</v>
      </c>
      <c r="AQ42" s="68" t="str">
        <f t="shared" si="229"/>
        <v>-</v>
      </c>
      <c r="AR42" s="84">
        <f>AR40/AR41</f>
        <v>72</v>
      </c>
      <c r="AS42" s="66" t="str">
        <f>IFERROR(AS40/AS41,"-")</f>
        <v>-</v>
      </c>
      <c r="AT42" s="67" t="str">
        <f t="shared" si="230"/>
        <v>-</v>
      </c>
      <c r="AU42" s="68" t="str">
        <f t="shared" si="231"/>
        <v>-</v>
      </c>
      <c r="AV42" s="84">
        <f>AV40/AV41</f>
        <v>72</v>
      </c>
      <c r="AW42" s="66" t="str">
        <f>IFERROR(AW40/AW41,"-")</f>
        <v>-</v>
      </c>
      <c r="AX42" s="67" t="str">
        <f t="shared" si="232"/>
        <v>-</v>
      </c>
      <c r="AY42" s="68" t="str">
        <f t="shared" si="233"/>
        <v>-</v>
      </c>
      <c r="AZ42" s="84">
        <f>AZ40/AZ41</f>
        <v>72</v>
      </c>
      <c r="BA42" s="66" t="str">
        <f>IFERROR(BA40/BA41,"-")</f>
        <v>-</v>
      </c>
      <c r="BB42" s="67" t="str">
        <f t="shared" si="234"/>
        <v>-</v>
      </c>
      <c r="BC42" s="68" t="str">
        <f t="shared" si="235"/>
        <v>-</v>
      </c>
      <c r="BD42" s="84">
        <f>BD40/BD41</f>
        <v>72</v>
      </c>
      <c r="BE42" s="66" t="str">
        <f>IFERROR(BE40/BE41,"-")</f>
        <v>-</v>
      </c>
      <c r="BF42" s="67" t="str">
        <f t="shared" si="236"/>
        <v>-</v>
      </c>
      <c r="BG42" s="68" t="str">
        <f t="shared" si="237"/>
        <v>-</v>
      </c>
      <c r="BH42" s="168">
        <f t="shared" ref="BH42:BI42" si="243">BH40/BH41</f>
        <v>72</v>
      </c>
      <c r="BI42" s="90">
        <f t="shared" si="243"/>
        <v>65.38965116</v>
      </c>
      <c r="BJ42" s="76">
        <f t="shared" si="239"/>
        <v>-0.09181040052</v>
      </c>
      <c r="BK42" s="88">
        <f>BK40/BK41</f>
        <v>72.69494285</v>
      </c>
      <c r="BL42" s="78">
        <f>BH42/BK42-1</f>
        <v>-0.009559713767</v>
      </c>
      <c r="BM42" s="3"/>
      <c r="BN42" s="3"/>
      <c r="BO42" s="3"/>
      <c r="BP42" s="3"/>
      <c r="BQ42" s="3"/>
      <c r="BR42" s="3"/>
    </row>
    <row r="43" ht="15.75" customHeight="1">
      <c r="A43" s="1"/>
      <c r="B43" s="105"/>
      <c r="C43" s="106"/>
      <c r="D43" s="107"/>
      <c r="E43" s="144"/>
      <c r="F43" s="109"/>
      <c r="G43" s="110"/>
      <c r="H43" s="111"/>
      <c r="I43" s="112"/>
      <c r="J43" s="91" t="s">
        <v>66</v>
      </c>
      <c r="K43" s="92">
        <v>0.04</v>
      </c>
      <c r="L43" s="99">
        <f t="shared" ref="L43:M43" si="244">MIN(L40, 500000) * 0.04 +
 MAX(0, MIN(L40, 1000000) - 500000) * 0.035 +
 MAX(0, L40 - 1000000) * 0.03</f>
        <v>2402.28</v>
      </c>
      <c r="M43" s="94">
        <f t="shared" si="244"/>
        <v>1808.2724</v>
      </c>
      <c r="N43" s="95">
        <f t="shared" si="214"/>
        <v>-594.0076</v>
      </c>
      <c r="O43" s="96">
        <f t="shared" si="215"/>
        <v>-0.2472682618</v>
      </c>
      <c r="P43" s="99">
        <f t="shared" ref="P43:Q43" si="245">MIN(P40, 500000) * 0.04 +
 MAX(0, MIN(P40, 1000000) - 500000) * 0.035 +
 MAX(0, P40 - 1000000) * 0.03</f>
        <v>1767.2</v>
      </c>
      <c r="Q43" s="94">
        <f t="shared" si="245"/>
        <v>1697.4764</v>
      </c>
      <c r="R43" s="95">
        <f t="shared" si="216"/>
        <v>-69.7236</v>
      </c>
      <c r="S43" s="98">
        <f t="shared" si="217"/>
        <v>-0.03945427795</v>
      </c>
      <c r="T43" s="99">
        <f t="shared" ref="T43:U43" si="246">MIN(T40, 500000) * 0.04 +
 MAX(0, MIN(T40, 1000000) - 500000) * 0.035 +
 MAX(0, T40 - 1000000) * 0.03</f>
        <v>1879.588761</v>
      </c>
      <c r="U43" s="94">
        <f t="shared" si="246"/>
        <v>2434.9012</v>
      </c>
      <c r="V43" s="95">
        <f t="shared" si="218"/>
        <v>555.3124389</v>
      </c>
      <c r="W43" s="96">
        <f t="shared" si="219"/>
        <v>0.2954435834</v>
      </c>
      <c r="X43" s="99">
        <f t="shared" ref="X43:Y43" si="247">MIN(X40, 500000) * 0.04 +
 MAX(0, MIN(X40, 1000000) - 500000) * 0.035 +
 MAX(0, X40 - 1000000) * 0.03</f>
        <v>2349.485951</v>
      </c>
      <c r="Y43" s="94">
        <f t="shared" si="247"/>
        <v>1751.7876</v>
      </c>
      <c r="Z43" s="95">
        <f t="shared" si="220"/>
        <v>-597.6983514</v>
      </c>
      <c r="AA43" s="96">
        <f t="shared" si="221"/>
        <v>-0.2543953715</v>
      </c>
      <c r="AB43" s="99">
        <f t="shared" ref="AB43:AC43" si="248">MIN(AB40, 500000) * 0.04 +
 MAX(0, MIN(AB40, 1000000) - 500000) * 0.035 +
 MAX(0, AB40 - 1000000) * 0.03</f>
        <v>2349.485951</v>
      </c>
      <c r="AC43" s="94">
        <f t="shared" si="248"/>
        <v>2467.9504</v>
      </c>
      <c r="AD43" s="95">
        <f t="shared" si="222"/>
        <v>118.4644486</v>
      </c>
      <c r="AE43" s="96">
        <f t="shared" si="223"/>
        <v>0.05042143304</v>
      </c>
      <c r="AF43" s="99">
        <f t="shared" ref="AF43:AG43" si="249">MIN(AF40, 500000) * 0.04 +
 MAX(0, MIN(AF40, 1000000) - 500000) * 0.035 +
 MAX(0, AF40 - 1000000) * 0.03</f>
        <v>3759.177522</v>
      </c>
      <c r="AG43" s="94">
        <f t="shared" si="249"/>
        <v>1761.4532</v>
      </c>
      <c r="AH43" s="95">
        <f t="shared" si="224"/>
        <v>-1997.724322</v>
      </c>
      <c r="AI43" s="96">
        <f t="shared" si="225"/>
        <v>-0.5314259064</v>
      </c>
      <c r="AJ43" s="99">
        <f t="shared" ref="AJ43:AK43" si="250">MIN(AJ40, 500000) * 0.04 +
 MAX(0, MIN(AJ40, 1000000) - 500000) * 0.035 +
 MAX(0, AJ40 - 1000000) * 0.03</f>
        <v>3759.177522</v>
      </c>
      <c r="AK43" s="94">
        <f t="shared" si="250"/>
        <v>0</v>
      </c>
      <c r="AL43" s="95">
        <f t="shared" si="226"/>
        <v>-3759.177522</v>
      </c>
      <c r="AM43" s="96">
        <f t="shared" si="227"/>
        <v>-1</v>
      </c>
      <c r="AN43" s="94">
        <f t="shared" ref="AN43:AO43" si="251">MIN(AN40, 500000) * 0.04 +
 MAX(0, MIN(AN40, 1000000) - 500000) * 0.035 +
 MAX(0, AN40 - 1000000) * 0.03</f>
        <v>3759.177522</v>
      </c>
      <c r="AO43" s="94">
        <f t="shared" si="251"/>
        <v>0</v>
      </c>
      <c r="AP43" s="95">
        <f t="shared" si="228"/>
        <v>-3759.177522</v>
      </c>
      <c r="AQ43" s="96">
        <f t="shared" si="229"/>
        <v>-1</v>
      </c>
      <c r="AR43" s="99">
        <f t="shared" ref="AR43:AS43" si="252">MIN(AR40, 500000) * 0.04 +
 MAX(0, MIN(AR40, 1000000) - 500000) * 0.035 +
 MAX(0, AR40 - 1000000) * 0.03</f>
        <v>6108.663474</v>
      </c>
      <c r="AS43" s="94">
        <f t="shared" si="252"/>
        <v>0</v>
      </c>
      <c r="AT43" s="95">
        <f t="shared" si="230"/>
        <v>-6108.663474</v>
      </c>
      <c r="AU43" s="96">
        <f t="shared" si="231"/>
        <v>-1</v>
      </c>
      <c r="AV43" s="99">
        <f t="shared" ref="AV43:AW43" si="253">MIN(AV40, 500000) * 0.04 +
 MAX(0, MIN(AV40, 1000000) - 500000) * 0.035 +
 MAX(0, AV40 - 1000000) * 0.03</f>
        <v>6108.663474</v>
      </c>
      <c r="AW43" s="94">
        <f t="shared" si="253"/>
        <v>0</v>
      </c>
      <c r="AX43" s="95">
        <f t="shared" si="232"/>
        <v>-6108.663474</v>
      </c>
      <c r="AY43" s="96">
        <f t="shared" si="233"/>
        <v>-1</v>
      </c>
      <c r="AZ43" s="99">
        <f t="shared" ref="AZ43:BA43" si="254">MIN(AZ40, 500000) * 0.04 +
 MAX(0, MIN(AZ40, 1000000) - 500000) * 0.035 +
 MAX(0, AZ40 - 1000000) * 0.03</f>
        <v>10807.63538</v>
      </c>
      <c r="BA43" s="94">
        <f t="shared" si="254"/>
        <v>0</v>
      </c>
      <c r="BB43" s="95">
        <f t="shared" si="234"/>
        <v>-10807.63538</v>
      </c>
      <c r="BC43" s="96">
        <f t="shared" si="235"/>
        <v>-1</v>
      </c>
      <c r="BD43" s="99">
        <f t="shared" ref="BD43:BE43" si="255">MIN(BD40, 500000) * 0.04 +
 MAX(0, MIN(BD40, 1000000) - 500000) * 0.035 +
 MAX(0, BD40 - 1000000) * 0.03</f>
        <v>6108.663474</v>
      </c>
      <c r="BE43" s="94">
        <f t="shared" si="255"/>
        <v>0</v>
      </c>
      <c r="BF43" s="95">
        <f t="shared" si="236"/>
        <v>-6108.663474</v>
      </c>
      <c r="BG43" s="96">
        <f t="shared" si="237"/>
        <v>-1</v>
      </c>
      <c r="BH43" s="169">
        <f t="shared" ref="BH43:BI43" si="256">SUM(L43,P43,T43,X43,AB43,AF43,AJ43,AN43,AR43,AV43,AZ43,BD43)</f>
        <v>51159.19903</v>
      </c>
      <c r="BI43" s="101">
        <f t="shared" si="256"/>
        <v>11921.8412</v>
      </c>
      <c r="BJ43" s="102">
        <f t="shared" si="239"/>
        <v>-0.7669658355</v>
      </c>
      <c r="BK43" s="103">
        <f>BK40*0.04</f>
        <v>14754.1656</v>
      </c>
      <c r="BL43" s="104">
        <f>BH43/BK43</f>
        <v>3.467441021</v>
      </c>
      <c r="BM43" s="3"/>
      <c r="BN43" s="3"/>
      <c r="BO43" s="3"/>
      <c r="BP43" s="3"/>
      <c r="BQ43" s="3"/>
      <c r="BR43" s="3"/>
    </row>
    <row r="44" ht="15.75" customHeight="1">
      <c r="A44" s="1"/>
      <c r="B44" s="105"/>
      <c r="C44" s="106"/>
      <c r="D44" s="107"/>
      <c r="E44" s="144"/>
      <c r="F44" s="109"/>
      <c r="G44" s="110"/>
      <c r="H44" s="111"/>
      <c r="I44" s="112"/>
      <c r="J44" s="13"/>
      <c r="K44" s="113"/>
      <c r="L44" s="136"/>
      <c r="M44" s="136"/>
      <c r="N44" s="136"/>
      <c r="O44" s="149">
        <f>X47/7000</f>
        <v>5.714285714</v>
      </c>
      <c r="P44" s="149">
        <f>AB47/7000</f>
        <v>5.714285714</v>
      </c>
      <c r="Q44" s="160"/>
      <c r="R44" s="149">
        <f>AJ47/7000</f>
        <v>51.42857143</v>
      </c>
      <c r="S44" s="149">
        <f>AN47/7000</f>
        <v>74.28571429</v>
      </c>
      <c r="T44" s="149">
        <f>AR47/7000</f>
        <v>91.42857143</v>
      </c>
      <c r="U44" s="149">
        <f>AV47/7000</f>
        <v>91.42857143</v>
      </c>
      <c r="V44" s="149">
        <f>AZ47/7000</f>
        <v>131.4285714</v>
      </c>
      <c r="W44" s="149">
        <f>BD47/7000</f>
        <v>85.71428571</v>
      </c>
      <c r="X44" s="137"/>
      <c r="Y44" s="14"/>
      <c r="Z44" s="170"/>
      <c r="AA44" s="3"/>
      <c r="AB44" s="3"/>
      <c r="AC44" s="3"/>
      <c r="AD44" s="3"/>
      <c r="AE44" s="3"/>
      <c r="AF44" s="3"/>
      <c r="AV44" s="138"/>
      <c r="AW44" s="25"/>
      <c r="AX44" s="139"/>
      <c r="AY44" s="25"/>
    </row>
    <row r="45" ht="15.75" customHeight="1">
      <c r="A45" s="1"/>
      <c r="B45" s="105"/>
      <c r="C45" s="106"/>
      <c r="D45" s="107"/>
      <c r="E45" s="144"/>
      <c r="F45" s="109"/>
      <c r="G45" s="110"/>
      <c r="H45" s="111"/>
      <c r="I45" s="112"/>
      <c r="J45" s="34" t="s">
        <v>79</v>
      </c>
      <c r="K45" s="35"/>
      <c r="L45" s="36" t="s">
        <v>10</v>
      </c>
      <c r="M45" s="37" t="s">
        <v>11</v>
      </c>
      <c r="N45" s="38" t="s">
        <v>12</v>
      </c>
      <c r="O45" s="39" t="s">
        <v>13</v>
      </c>
      <c r="P45" s="119" t="s">
        <v>14</v>
      </c>
      <c r="Q45" s="152" t="s">
        <v>15</v>
      </c>
      <c r="R45" s="38" t="s">
        <v>16</v>
      </c>
      <c r="S45" s="42" t="s">
        <v>17</v>
      </c>
      <c r="T45" s="36" t="s">
        <v>18</v>
      </c>
      <c r="U45" s="152" t="s">
        <v>19</v>
      </c>
      <c r="V45" s="38" t="s">
        <v>20</v>
      </c>
      <c r="W45" s="45" t="s">
        <v>21</v>
      </c>
      <c r="X45" s="44" t="s">
        <v>22</v>
      </c>
      <c r="Y45" s="152" t="s">
        <v>23</v>
      </c>
      <c r="Z45" s="38" t="s">
        <v>24</v>
      </c>
      <c r="AA45" s="45" t="s">
        <v>25</v>
      </c>
      <c r="AB45" s="43" t="s">
        <v>26</v>
      </c>
      <c r="AC45" s="152" t="s">
        <v>27</v>
      </c>
      <c r="AD45" s="38" t="s">
        <v>28</v>
      </c>
      <c r="AE45" s="45" t="s">
        <v>29</v>
      </c>
      <c r="AF45" s="44" t="s">
        <v>30</v>
      </c>
      <c r="AG45" s="152" t="s">
        <v>31</v>
      </c>
      <c r="AH45" s="38" t="s">
        <v>32</v>
      </c>
      <c r="AI45" s="45" t="s">
        <v>33</v>
      </c>
      <c r="AJ45" s="43" t="s">
        <v>34</v>
      </c>
      <c r="AK45" s="152" t="s">
        <v>35</v>
      </c>
      <c r="AL45" s="38" t="s">
        <v>36</v>
      </c>
      <c r="AM45" s="45" t="s">
        <v>37</v>
      </c>
      <c r="AN45" s="153" t="s">
        <v>38</v>
      </c>
      <c r="AO45" s="152" t="s">
        <v>39</v>
      </c>
      <c r="AP45" s="38" t="s">
        <v>40</v>
      </c>
      <c r="AQ45" s="45" t="s">
        <v>41</v>
      </c>
      <c r="AR45" s="43" t="s">
        <v>42</v>
      </c>
      <c r="AS45" s="152" t="s">
        <v>43</v>
      </c>
      <c r="AT45" s="38" t="s">
        <v>44</v>
      </c>
      <c r="AU45" s="45" t="s">
        <v>45</v>
      </c>
      <c r="AV45" s="44" t="s">
        <v>46</v>
      </c>
      <c r="AW45" s="152" t="s">
        <v>47</v>
      </c>
      <c r="AX45" s="38" t="s">
        <v>48</v>
      </c>
      <c r="AY45" s="45" t="s">
        <v>49</v>
      </c>
      <c r="AZ45" s="43" t="s">
        <v>50</v>
      </c>
      <c r="BA45" s="152" t="s">
        <v>51</v>
      </c>
      <c r="BB45" s="38" t="s">
        <v>52</v>
      </c>
      <c r="BC45" s="45" t="s">
        <v>53</v>
      </c>
      <c r="BD45" s="153" t="s">
        <v>54</v>
      </c>
      <c r="BE45" s="152" t="s">
        <v>55</v>
      </c>
      <c r="BF45" s="38" t="s">
        <v>56</v>
      </c>
      <c r="BG45" s="42" t="s">
        <v>57</v>
      </c>
      <c r="BH45" s="46">
        <v>2026.0</v>
      </c>
      <c r="BI45" s="37" t="s">
        <v>58</v>
      </c>
      <c r="BJ45" s="47" t="s">
        <v>59</v>
      </c>
      <c r="BK45" s="48">
        <v>2025.0</v>
      </c>
      <c r="BL45" s="49"/>
      <c r="BM45" s="3"/>
      <c r="BN45" s="3"/>
      <c r="BO45" s="157"/>
      <c r="BP45" s="3"/>
      <c r="BQ45" s="3"/>
      <c r="BR45" s="3"/>
    </row>
    <row r="46" ht="15.75" customHeight="1">
      <c r="A46" s="1"/>
      <c r="B46" s="105">
        <v>8.0</v>
      </c>
      <c r="C46" s="106" t="s">
        <v>80</v>
      </c>
      <c r="D46" s="107">
        <v>3000000.0</v>
      </c>
      <c r="E46" s="144">
        <v>80.0</v>
      </c>
      <c r="F46" s="109">
        <f>E46*D46</f>
        <v>240000000</v>
      </c>
      <c r="G46" s="110">
        <v>294165.12000000407</v>
      </c>
      <c r="H46" s="111">
        <v>3683.0</v>
      </c>
      <c r="I46" s="140">
        <v>79.87106163453817</v>
      </c>
      <c r="J46" s="50" t="s">
        <v>61</v>
      </c>
      <c r="K46" s="51"/>
      <c r="L46" s="52" t="s">
        <v>60</v>
      </c>
      <c r="M46" s="53" t="s">
        <v>60</v>
      </c>
      <c r="N46" s="54" t="s">
        <v>60</v>
      </c>
      <c r="O46" s="55" t="s">
        <v>62</v>
      </c>
      <c r="P46" s="52" t="s">
        <v>60</v>
      </c>
      <c r="Q46" s="154" t="s">
        <v>60</v>
      </c>
      <c r="R46" s="54" t="s">
        <v>60</v>
      </c>
      <c r="S46" s="57" t="s">
        <v>62</v>
      </c>
      <c r="T46" s="52"/>
      <c r="U46" s="154"/>
      <c r="V46" s="54" t="s">
        <v>60</v>
      </c>
      <c r="W46" s="55" t="s">
        <v>62</v>
      </c>
      <c r="X46" s="58">
        <v>0.01</v>
      </c>
      <c r="Y46" s="59">
        <f>Y47/(BH47-(L47+P47+T47))</f>
        <v>0.0000927775</v>
      </c>
      <c r="Z46" s="54" t="s">
        <v>60</v>
      </c>
      <c r="AA46" s="55" t="s">
        <v>62</v>
      </c>
      <c r="AB46" s="58">
        <v>0.01</v>
      </c>
      <c r="AC46" s="59">
        <f>AC47/(BH47-(L47+P47+T47))</f>
        <v>0.0003291625</v>
      </c>
      <c r="AD46" s="54" t="s">
        <v>60</v>
      </c>
      <c r="AE46" s="55" t="s">
        <v>62</v>
      </c>
      <c r="AF46" s="58">
        <v>0.06</v>
      </c>
      <c r="AG46" s="59">
        <f>AG47/(BH47-(L47+P47+T47))</f>
        <v>0.000112095</v>
      </c>
      <c r="AH46" s="54" t="s">
        <v>60</v>
      </c>
      <c r="AI46" s="55" t="s">
        <v>62</v>
      </c>
      <c r="AJ46" s="58">
        <v>0.09</v>
      </c>
      <c r="AK46" s="59">
        <f>AK47/(BH47-(L47+P47+T47))</f>
        <v>0</v>
      </c>
      <c r="AL46" s="54" t="s">
        <v>60</v>
      </c>
      <c r="AM46" s="55" t="s">
        <v>62</v>
      </c>
      <c r="AN46" s="155">
        <v>0.13</v>
      </c>
      <c r="AO46" s="59">
        <f>AO47/(BH47-(L47+P47+T47))</f>
        <v>0</v>
      </c>
      <c r="AP46" s="54" t="s">
        <v>60</v>
      </c>
      <c r="AQ46" s="55" t="s">
        <v>62</v>
      </c>
      <c r="AR46" s="58">
        <v>0.16</v>
      </c>
      <c r="AS46" s="59">
        <f>AS47/(BH47-(L47+P47+T47))</f>
        <v>0</v>
      </c>
      <c r="AT46" s="54" t="s">
        <v>60</v>
      </c>
      <c r="AU46" s="55" t="s">
        <v>62</v>
      </c>
      <c r="AV46" s="58">
        <v>0.16</v>
      </c>
      <c r="AW46" s="59">
        <f>AW47/(BH47-(L47+P47+T47))</f>
        <v>0</v>
      </c>
      <c r="AX46" s="54" t="s">
        <v>60</v>
      </c>
      <c r="AY46" s="55" t="s">
        <v>62</v>
      </c>
      <c r="AZ46" s="58">
        <v>0.23</v>
      </c>
      <c r="BA46" s="59">
        <f>BA47/(BH47-(L47+P47+T47))</f>
        <v>0</v>
      </c>
      <c r="BB46" s="54" t="s">
        <v>60</v>
      </c>
      <c r="BC46" s="55" t="s">
        <v>62</v>
      </c>
      <c r="BD46" s="155">
        <v>0.15</v>
      </c>
      <c r="BE46" s="59">
        <f>BE47/(BH47-(L47+P47+T47))</f>
        <v>0</v>
      </c>
      <c r="BF46" s="54" t="s">
        <v>60</v>
      </c>
      <c r="BG46" s="57" t="s">
        <v>62</v>
      </c>
      <c r="BH46" s="60">
        <f t="shared" ref="BH46:BI46" si="257">SUM(X46,AB46,AF46,AJ46,AN46,AR46,AV46,AZ46,BD46)</f>
        <v>1</v>
      </c>
      <c r="BI46" s="61">
        <f t="shared" si="257"/>
        <v>0.000534035</v>
      </c>
      <c r="BJ46" s="62"/>
      <c r="BK46" s="63" t="s">
        <v>60</v>
      </c>
      <c r="BL46" s="64"/>
      <c r="BM46" s="3"/>
      <c r="BN46" s="4"/>
      <c r="BO46" s="3"/>
      <c r="BP46" s="3"/>
      <c r="BQ46" s="3"/>
      <c r="BR46" s="3"/>
    </row>
    <row r="47" ht="15.75" customHeight="1">
      <c r="A47" s="1"/>
      <c r="B47" s="105"/>
      <c r="C47" s="106"/>
      <c r="D47" s="107"/>
      <c r="E47" s="144"/>
      <c r="F47" s="109"/>
      <c r="G47" s="110"/>
      <c r="H47" s="111"/>
      <c r="I47" s="140"/>
      <c r="J47" s="50" t="s">
        <v>63</v>
      </c>
      <c r="K47" s="51"/>
      <c r="L47" s="127">
        <v>0.0</v>
      </c>
      <c r="M47" s="66">
        <v>0.0</v>
      </c>
      <c r="N47" s="67">
        <f t="shared" ref="N47:N50" si="258">IFERROR(M47-L47,"-")</f>
        <v>0</v>
      </c>
      <c r="O47" s="68" t="str">
        <f t="shared" ref="O47:O50" si="259">IFERROR(M47/L47-1,"-")</f>
        <v>-</v>
      </c>
      <c r="P47" s="127">
        <v>0.0</v>
      </c>
      <c r="Q47" s="66">
        <v>0.0</v>
      </c>
      <c r="R47" s="67">
        <f t="shared" ref="R47:R50" si="260">IFERROR(Q47-P47,"-")</f>
        <v>0</v>
      </c>
      <c r="S47" s="70" t="str">
        <f t="shared" ref="S47:S50" si="261">IFERROR(Q47/P47-1,"-")</f>
        <v>-</v>
      </c>
      <c r="T47" s="65">
        <f>($BH$47-($L$47+$P$47))*T46</f>
        <v>0</v>
      </c>
      <c r="U47" s="66">
        <v>53.8</v>
      </c>
      <c r="V47" s="67">
        <f t="shared" ref="V47:V50" si="262">IFERROR(U47-T47,"-")</f>
        <v>53.8</v>
      </c>
      <c r="W47" s="68" t="str">
        <f t="shared" ref="W47:W50" si="263">IFERROR(U47/T47-1,"-")</f>
        <v>-</v>
      </c>
      <c r="X47" s="71">
        <f>($BH$47-($L$47+$P$47+$T$47))*X46</f>
        <v>40000</v>
      </c>
      <c r="Y47" s="66">
        <v>371.11</v>
      </c>
      <c r="Z47" s="67">
        <f t="shared" ref="Z47:Z50" si="264">IFERROR(Y47-X47,"-")</f>
        <v>-39628.89</v>
      </c>
      <c r="AA47" s="68">
        <f t="shared" ref="AA47:AA50" si="265">IFERROR(Y47/X47-1,"-")</f>
        <v>-0.99072225</v>
      </c>
      <c r="AB47" s="71">
        <f>($BH$47-($L$47+$P$47+$T$47))*AB46</f>
        <v>40000</v>
      </c>
      <c r="AC47" s="66">
        <v>1316.65</v>
      </c>
      <c r="AD47" s="67">
        <f t="shared" ref="AD47:AD50" si="266">IFERROR(AC47-AB47,"-")</f>
        <v>-38683.35</v>
      </c>
      <c r="AE47" s="68">
        <f t="shared" ref="AE47:AE50" si="267">IFERROR(AC47/AB47-1,"-")</f>
        <v>-0.96708375</v>
      </c>
      <c r="AF47" s="71">
        <f>($BH$47-($L$47+$P$47+$T$47))*AF46</f>
        <v>240000</v>
      </c>
      <c r="AG47" s="73">
        <v>448.38</v>
      </c>
      <c r="AH47" s="67">
        <f t="shared" ref="AH47:AH50" si="268">IFERROR(AG47-AF47,"-")</f>
        <v>-239551.62</v>
      </c>
      <c r="AI47" s="68">
        <f t="shared" ref="AI47:AI50" si="269">IFERROR(AG47/AF47-1,"-")</f>
        <v>-0.99813175</v>
      </c>
      <c r="AJ47" s="71">
        <f>($BH$47-($L$47+$P$47+$T$47))*AJ46</f>
        <v>360000</v>
      </c>
      <c r="AK47" s="66">
        <v>0.0</v>
      </c>
      <c r="AL47" s="67">
        <f t="shared" ref="AL47:AL50" si="270">IFERROR(AK47-AJ47,"-")</f>
        <v>-360000</v>
      </c>
      <c r="AM47" s="68">
        <f t="shared" ref="AM47:AM50" si="271">IFERROR(AK47/AJ47-1,"-")</f>
        <v>-1</v>
      </c>
      <c r="AN47" s="66">
        <f>($BH$47-($L$47+$P$47+$T$47))*AN46</f>
        <v>520000</v>
      </c>
      <c r="AO47" s="66">
        <v>0.0</v>
      </c>
      <c r="AP47" s="67">
        <f t="shared" ref="AP47:AP50" si="272">IFERROR(AO47-AN47,"-")</f>
        <v>-520000</v>
      </c>
      <c r="AQ47" s="68">
        <f t="shared" ref="AQ47:AQ50" si="273">IFERROR(AO47/AN47-1,"-")</f>
        <v>-1</v>
      </c>
      <c r="AR47" s="71">
        <f>($BH$47-($L$47+$P$47+$T$47))*AR46</f>
        <v>640000</v>
      </c>
      <c r="AS47" s="66">
        <v>0.0</v>
      </c>
      <c r="AT47" s="67">
        <f t="shared" ref="AT47:AT50" si="274">IFERROR(AS47-AR47,"-")</f>
        <v>-640000</v>
      </c>
      <c r="AU47" s="68">
        <f t="shared" ref="AU47:AU50" si="275">IFERROR(AS47/AR47-1,"-")</f>
        <v>-1</v>
      </c>
      <c r="AV47" s="71">
        <f>($BH$47-($L$47+$P$47+$T$47))*AV46</f>
        <v>640000</v>
      </c>
      <c r="AW47" s="66">
        <v>0.0</v>
      </c>
      <c r="AX47" s="67">
        <f t="shared" ref="AX47:AX50" si="276">IFERROR(AW47-AV47,"-")</f>
        <v>-640000</v>
      </c>
      <c r="AY47" s="68">
        <f t="shared" ref="AY47:AY50" si="277">IFERROR(AW47/AV47-1,"-")</f>
        <v>-1</v>
      </c>
      <c r="AZ47" s="71">
        <f>($BH$47-($L$47+$P$47+$T$47))*AZ46</f>
        <v>920000</v>
      </c>
      <c r="BA47" s="66">
        <v>0.0</v>
      </c>
      <c r="BB47" s="67">
        <f t="shared" ref="BB47:BB50" si="278">IFERROR(BA47-AZ47,"-")</f>
        <v>-920000</v>
      </c>
      <c r="BC47" s="68">
        <f t="shared" ref="BC47:BC50" si="279">IFERROR(BA47/AZ47-1,"-")</f>
        <v>-1</v>
      </c>
      <c r="BD47" s="66">
        <f>($BH$47-($L$47+$P$47+$T$47))*BD46</f>
        <v>600000</v>
      </c>
      <c r="BE47" s="66">
        <v>0.0</v>
      </c>
      <c r="BF47" s="67">
        <f t="shared" ref="BF47:BF50" si="280">IFERROR(BE47-BD47,"-")</f>
        <v>-600000</v>
      </c>
      <c r="BG47" s="70">
        <f t="shared" ref="BG47:BG50" si="281">IFERROR(BE47/BD47-1,"-")</f>
        <v>-1</v>
      </c>
      <c r="BH47" s="74">
        <v>4000000.0</v>
      </c>
      <c r="BI47" s="75">
        <f>SUM(M47,Q47,U47,Y47,AC47,AG47,AK47,AO47,AS47,AW47,BA47,BE47)</f>
        <v>2189.94</v>
      </c>
      <c r="BJ47" s="76">
        <f t="shared" ref="BJ47:BJ50" si="283">IFERROR(BI47/BH47-1,"-")</f>
        <v>-0.999452515</v>
      </c>
      <c r="BK47" s="77" t="s">
        <v>60</v>
      </c>
      <c r="BL47" s="78" t="str">
        <f t="shared" ref="BL47:BL48" si="284">IFERROR((BH47/BK47),"-")</f>
        <v>-</v>
      </c>
      <c r="BM47" s="3"/>
      <c r="BN47" s="3"/>
      <c r="BO47" s="3"/>
      <c r="BP47" s="3"/>
      <c r="BQ47" s="3"/>
      <c r="BR47" s="3"/>
    </row>
    <row r="48" ht="15.75" customHeight="1">
      <c r="A48" s="1"/>
      <c r="B48" s="105"/>
      <c r="C48" s="106"/>
      <c r="D48" s="107"/>
      <c r="E48" s="144"/>
      <c r="F48" s="109"/>
      <c r="G48" s="110"/>
      <c r="H48" s="111"/>
      <c r="I48" s="140"/>
      <c r="J48" s="50" t="s">
        <v>64</v>
      </c>
      <c r="K48" s="79"/>
      <c r="L48" s="129">
        <f>L47/$K$49</f>
        <v>0</v>
      </c>
      <c r="M48" s="81">
        <v>0.0</v>
      </c>
      <c r="N48" s="82">
        <f t="shared" si="258"/>
        <v>0</v>
      </c>
      <c r="O48" s="68" t="str">
        <f t="shared" si="259"/>
        <v>-</v>
      </c>
      <c r="P48" s="129">
        <f>P47/$K$49</f>
        <v>0</v>
      </c>
      <c r="Q48" s="81">
        <v>0.0</v>
      </c>
      <c r="R48" s="82">
        <f t="shared" si="260"/>
        <v>0</v>
      </c>
      <c r="S48" s="70" t="str">
        <f t="shared" si="261"/>
        <v>-</v>
      </c>
      <c r="T48" s="129">
        <f>T47/$K$49</f>
        <v>0</v>
      </c>
      <c r="U48" s="81">
        <v>1.0</v>
      </c>
      <c r="V48" s="82">
        <f t="shared" si="262"/>
        <v>1</v>
      </c>
      <c r="W48" s="68" t="str">
        <f t="shared" si="263"/>
        <v>-</v>
      </c>
      <c r="X48" s="84">
        <f>X47/$K$49</f>
        <v>380.952381</v>
      </c>
      <c r="Y48" s="81">
        <v>5.0</v>
      </c>
      <c r="Z48" s="82">
        <f t="shared" si="264"/>
        <v>-375.952381</v>
      </c>
      <c r="AA48" s="68">
        <f t="shared" si="265"/>
        <v>-0.986875</v>
      </c>
      <c r="AB48" s="84">
        <f>AB47/$K$49</f>
        <v>380.952381</v>
      </c>
      <c r="AC48" s="81">
        <v>28.0</v>
      </c>
      <c r="AD48" s="82">
        <f t="shared" si="266"/>
        <v>-352.952381</v>
      </c>
      <c r="AE48" s="68">
        <f t="shared" si="267"/>
        <v>-0.9265</v>
      </c>
      <c r="AF48" s="84">
        <f>AF47/$K$49</f>
        <v>2285.714286</v>
      </c>
      <c r="AG48" s="85">
        <v>10.0</v>
      </c>
      <c r="AH48" s="82">
        <f t="shared" si="268"/>
        <v>-2275.714286</v>
      </c>
      <c r="AI48" s="68">
        <f t="shared" si="269"/>
        <v>-0.995625</v>
      </c>
      <c r="AJ48" s="84">
        <f>AJ47/$K$49</f>
        <v>3428.571429</v>
      </c>
      <c r="AK48" s="81">
        <v>0.0</v>
      </c>
      <c r="AL48" s="82">
        <f t="shared" si="270"/>
        <v>-3428.571429</v>
      </c>
      <c r="AM48" s="68">
        <f t="shared" si="271"/>
        <v>-1</v>
      </c>
      <c r="AN48" s="81">
        <f>AN47/$K$49</f>
        <v>4952.380952</v>
      </c>
      <c r="AO48" s="81">
        <v>0.0</v>
      </c>
      <c r="AP48" s="82">
        <f t="shared" si="272"/>
        <v>-4952.380952</v>
      </c>
      <c r="AQ48" s="68">
        <f t="shared" si="273"/>
        <v>-1</v>
      </c>
      <c r="AR48" s="84">
        <f>AR47/$K$49</f>
        <v>6095.238095</v>
      </c>
      <c r="AS48" s="81">
        <v>0.0</v>
      </c>
      <c r="AT48" s="82">
        <f t="shared" si="274"/>
        <v>-6095.238095</v>
      </c>
      <c r="AU48" s="68">
        <f t="shared" si="275"/>
        <v>-1</v>
      </c>
      <c r="AV48" s="84">
        <f>AV47/$K$49</f>
        <v>6095.238095</v>
      </c>
      <c r="AW48" s="81">
        <v>0.0</v>
      </c>
      <c r="AX48" s="82">
        <f t="shared" si="276"/>
        <v>-6095.238095</v>
      </c>
      <c r="AY48" s="68">
        <f t="shared" si="277"/>
        <v>-1</v>
      </c>
      <c r="AZ48" s="84">
        <f>AZ47/$K$49</f>
        <v>8761.904762</v>
      </c>
      <c r="BA48" s="81">
        <v>0.0</v>
      </c>
      <c r="BB48" s="82">
        <f t="shared" si="278"/>
        <v>-8761.904762</v>
      </c>
      <c r="BC48" s="68">
        <f t="shared" si="279"/>
        <v>-1</v>
      </c>
      <c r="BD48" s="81">
        <f>BD47/$K$49</f>
        <v>5714.285714</v>
      </c>
      <c r="BE48" s="81">
        <v>0.0</v>
      </c>
      <c r="BF48" s="82">
        <f t="shared" si="280"/>
        <v>-5714.285714</v>
      </c>
      <c r="BG48" s="70">
        <f t="shared" si="281"/>
        <v>-1</v>
      </c>
      <c r="BH48" s="156">
        <f t="shared" ref="BH48:BI48" si="282">SUM(L48,P48,T48,X48,AB48,AF48,AJ48,AN48,AR48,AV48,AZ48,BD48)</f>
        <v>38095.2381</v>
      </c>
      <c r="BI48" s="87">
        <f t="shared" si="282"/>
        <v>44</v>
      </c>
      <c r="BJ48" s="76">
        <f t="shared" si="283"/>
        <v>-0.998845</v>
      </c>
      <c r="BK48" s="88" t="s">
        <v>60</v>
      </c>
      <c r="BL48" s="78" t="str">
        <f t="shared" si="284"/>
        <v>-</v>
      </c>
      <c r="BM48" s="3"/>
      <c r="BN48" s="3"/>
      <c r="BO48" s="3"/>
      <c r="BP48" s="3"/>
      <c r="BQ48" s="3"/>
      <c r="BR48" s="3"/>
    </row>
    <row r="49" ht="15.75" customHeight="1">
      <c r="A49" s="1"/>
      <c r="B49" s="105"/>
      <c r="C49" s="106"/>
      <c r="D49" s="107"/>
      <c r="E49" s="144"/>
      <c r="F49" s="109"/>
      <c r="G49" s="110"/>
      <c r="H49" s="111"/>
      <c r="I49" s="140"/>
      <c r="J49" s="50" t="s">
        <v>65</v>
      </c>
      <c r="K49" s="79">
        <v>105.0</v>
      </c>
      <c r="L49" s="65" t="str">
        <f t="shared" ref="L49:M49" si="285">IFERROR(L47/L48,"-")</f>
        <v>-</v>
      </c>
      <c r="M49" s="66" t="str">
        <f t="shared" si="285"/>
        <v>-</v>
      </c>
      <c r="N49" s="67" t="str">
        <f t="shared" si="258"/>
        <v>-</v>
      </c>
      <c r="O49" s="68" t="str">
        <f t="shared" si="259"/>
        <v>-</v>
      </c>
      <c r="P49" s="65" t="str">
        <f t="shared" ref="P49:Q49" si="286">IFERROR(P47/P48,"-")</f>
        <v>-</v>
      </c>
      <c r="Q49" s="66" t="str">
        <f t="shared" si="286"/>
        <v>-</v>
      </c>
      <c r="R49" s="67" t="str">
        <f t="shared" si="260"/>
        <v>-</v>
      </c>
      <c r="S49" s="70" t="str">
        <f t="shared" si="261"/>
        <v>-</v>
      </c>
      <c r="T49" s="65" t="str">
        <f t="shared" ref="T49:U49" si="287">IFERROR(T47/T48,"-")</f>
        <v>-</v>
      </c>
      <c r="U49" s="66">
        <f t="shared" si="287"/>
        <v>53.8</v>
      </c>
      <c r="V49" s="67" t="str">
        <f t="shared" si="262"/>
        <v>-</v>
      </c>
      <c r="W49" s="68" t="str">
        <f t="shared" si="263"/>
        <v>-</v>
      </c>
      <c r="X49" s="71">
        <f t="shared" ref="X49:Y49" si="288">IFERROR(X47/X48,"-")</f>
        <v>105</v>
      </c>
      <c r="Y49" s="66">
        <f t="shared" si="288"/>
        <v>74.222</v>
      </c>
      <c r="Z49" s="67">
        <f t="shared" si="264"/>
        <v>-30.778</v>
      </c>
      <c r="AA49" s="68">
        <f t="shared" si="265"/>
        <v>-0.2931238095</v>
      </c>
      <c r="AB49" s="84">
        <f>AB47/AB48</f>
        <v>105</v>
      </c>
      <c r="AC49" s="66">
        <f>IFERROR(AC47/AC48,"-")</f>
        <v>47.02321429</v>
      </c>
      <c r="AD49" s="67">
        <f t="shared" si="266"/>
        <v>-57.97678571</v>
      </c>
      <c r="AE49" s="68">
        <f t="shared" si="267"/>
        <v>-0.5521598639</v>
      </c>
      <c r="AF49" s="84">
        <f>AF47/AF48</f>
        <v>105</v>
      </c>
      <c r="AG49" s="66">
        <f>IFERROR(AG47/AG48,"-")</f>
        <v>44.838</v>
      </c>
      <c r="AH49" s="67">
        <f t="shared" si="268"/>
        <v>-60.162</v>
      </c>
      <c r="AI49" s="68">
        <f t="shared" si="269"/>
        <v>-0.5729714286</v>
      </c>
      <c r="AJ49" s="84">
        <f>AJ47/AJ48</f>
        <v>105</v>
      </c>
      <c r="AK49" s="66" t="str">
        <f>IFERROR(AK47/AK48,"-")</f>
        <v>-</v>
      </c>
      <c r="AL49" s="67" t="str">
        <f t="shared" si="270"/>
        <v>-</v>
      </c>
      <c r="AM49" s="68" t="str">
        <f t="shared" si="271"/>
        <v>-</v>
      </c>
      <c r="AN49" s="81">
        <f>AN47/AN48</f>
        <v>105</v>
      </c>
      <c r="AO49" s="66" t="str">
        <f>IFERROR(AO47/AO48,"-")</f>
        <v>-</v>
      </c>
      <c r="AP49" s="67" t="str">
        <f t="shared" si="272"/>
        <v>-</v>
      </c>
      <c r="AQ49" s="68" t="str">
        <f t="shared" si="273"/>
        <v>-</v>
      </c>
      <c r="AR49" s="84">
        <f>AR47/AR48</f>
        <v>105</v>
      </c>
      <c r="AS49" s="66" t="str">
        <f>IFERROR(AS47/AS48,"-")</f>
        <v>-</v>
      </c>
      <c r="AT49" s="67" t="str">
        <f t="shared" si="274"/>
        <v>-</v>
      </c>
      <c r="AU49" s="68" t="str">
        <f t="shared" si="275"/>
        <v>-</v>
      </c>
      <c r="AV49" s="84">
        <f>AV47/AV48</f>
        <v>105</v>
      </c>
      <c r="AW49" s="66" t="str">
        <f>IFERROR(AW47/AW48,"-")</f>
        <v>-</v>
      </c>
      <c r="AX49" s="67" t="str">
        <f t="shared" si="276"/>
        <v>-</v>
      </c>
      <c r="AY49" s="68" t="str">
        <f t="shared" si="277"/>
        <v>-</v>
      </c>
      <c r="AZ49" s="84">
        <f>AZ47/AZ48</f>
        <v>105</v>
      </c>
      <c r="BA49" s="66" t="str">
        <f>IFERROR(BA47/BA48,"-")</f>
        <v>-</v>
      </c>
      <c r="BB49" s="67" t="str">
        <f t="shared" si="278"/>
        <v>-</v>
      </c>
      <c r="BC49" s="68" t="str">
        <f t="shared" si="279"/>
        <v>-</v>
      </c>
      <c r="BD49" s="81">
        <f>BD47/BD48</f>
        <v>105</v>
      </c>
      <c r="BE49" s="66" t="str">
        <f>IFERROR(BE47/BE48,"-")</f>
        <v>-</v>
      </c>
      <c r="BF49" s="67" t="str">
        <f t="shared" si="280"/>
        <v>-</v>
      </c>
      <c r="BG49" s="70" t="str">
        <f t="shared" si="281"/>
        <v>-</v>
      </c>
      <c r="BH49" s="89">
        <f t="shared" ref="BH49:BI49" si="289">BH47/BH48</f>
        <v>105</v>
      </c>
      <c r="BI49" s="90">
        <f t="shared" si="289"/>
        <v>49.77136364</v>
      </c>
      <c r="BJ49" s="76">
        <f t="shared" si="283"/>
        <v>-0.525987013</v>
      </c>
      <c r="BK49" s="88"/>
      <c r="BL49" s="78"/>
      <c r="BM49" s="3"/>
      <c r="BN49" s="3"/>
      <c r="BO49" s="3"/>
      <c r="BP49" s="3"/>
      <c r="BQ49" s="3"/>
      <c r="BR49" s="3"/>
    </row>
    <row r="50" ht="15.75" customHeight="1">
      <c r="A50" s="1"/>
      <c r="B50" s="105"/>
      <c r="C50" s="106"/>
      <c r="D50" s="107"/>
      <c r="E50" s="144"/>
      <c r="F50" s="109"/>
      <c r="G50" s="110"/>
      <c r="H50" s="111"/>
      <c r="I50" s="140"/>
      <c r="J50" s="91" t="s">
        <v>66</v>
      </c>
      <c r="K50" s="92">
        <v>0.03</v>
      </c>
      <c r="L50" s="99">
        <f t="shared" ref="L50:M50" si="290">MIN(L47, 500000) * 0.03 + MAX(0, MIN(L47, 1000000) - 500000) * 0.025 + MAX(0, MIN(L47, 2000000) - 1000000) * 0.0225 + MAX(0, MIN(L47, 3000000) - 2000000) * 0.02 + MAX(0, MIN(L47, 5000000) - 3000000) * 0.0175 + MAX(0, L47 - 5000000) * 0.015</f>
        <v>0</v>
      </c>
      <c r="M50" s="94">
        <f t="shared" si="290"/>
        <v>0</v>
      </c>
      <c r="N50" s="95">
        <f t="shared" si="258"/>
        <v>0</v>
      </c>
      <c r="O50" s="96" t="str">
        <f t="shared" si="259"/>
        <v>-</v>
      </c>
      <c r="P50" s="99">
        <f t="shared" ref="P50:Q50" si="291">MIN(P47, 500000) * 0.03 + MAX(0, MIN(P47, 1000000) - 500000) * 0.025 + MAX(0, MIN(P47, 2000000) - 1000000) * 0.0225 + MAX(0, MIN(P47, 3000000) - 2000000) * 0.02 + MAX(0, MIN(P47, 5000000) - 3000000) * 0.0175 + MAX(0, P47 - 5000000) * 0.015</f>
        <v>0</v>
      </c>
      <c r="Q50" s="94">
        <f t="shared" si="291"/>
        <v>0</v>
      </c>
      <c r="R50" s="95">
        <f t="shared" si="260"/>
        <v>0</v>
      </c>
      <c r="S50" s="98" t="str">
        <f t="shared" si="261"/>
        <v>-</v>
      </c>
      <c r="T50" s="99">
        <f t="shared" ref="T50:U50" si="292">MIN(T47, 500000) * 0.03 + MAX(0, MIN(T47, 1000000) - 500000) * 0.025 + MAX(0, MIN(T47, 2000000) - 1000000) * 0.0225 + MAX(0, MIN(T47, 3000000) - 2000000) * 0.02 + MAX(0, MIN(T47, 5000000) - 3000000) * 0.0175 + MAX(0, T47 - 5000000) * 0.015</f>
        <v>0</v>
      </c>
      <c r="U50" s="94">
        <f t="shared" si="292"/>
        <v>1.614</v>
      </c>
      <c r="V50" s="95">
        <f t="shared" si="262"/>
        <v>1.614</v>
      </c>
      <c r="W50" s="96" t="str">
        <f t="shared" si="263"/>
        <v>-</v>
      </c>
      <c r="X50" s="99">
        <f t="shared" ref="X50:Y50" si="293">MIN(X47, 500000) * 0.03 + MAX(0, MIN(X47, 1000000) - 500000) * 0.025 + MAX(0, MIN(X47, 2000000) - 1000000) * 0.0225 + MAX(0, MIN(X47, 3000000) - 2000000) * 0.02 + MAX(0, MIN(X47, 5000000) - 3000000) * 0.0175 + MAX(0, X47 - 5000000) * 0.015</f>
        <v>1200</v>
      </c>
      <c r="Y50" s="94">
        <f t="shared" si="293"/>
        <v>11.1333</v>
      </c>
      <c r="Z50" s="95">
        <f t="shared" si="264"/>
        <v>-1188.8667</v>
      </c>
      <c r="AA50" s="96">
        <f t="shared" si="265"/>
        <v>-0.99072225</v>
      </c>
      <c r="AB50" s="99">
        <f t="shared" ref="AB50:AC50" si="294">MIN(AB47, 500000) * 0.03 + MAX(0, MIN(AB47, 1000000) - 500000) * 0.025 + MAX(0, MIN(AB47, 2000000) - 1000000) * 0.0225 + MAX(0, MIN(AB47, 3000000) - 2000000) * 0.02 + MAX(0, MIN(AB47, 5000000) - 3000000) * 0.0175 + MAX(0, AB47 - 5000000) * 0.015</f>
        <v>1200</v>
      </c>
      <c r="AC50" s="94">
        <f t="shared" si="294"/>
        <v>39.4995</v>
      </c>
      <c r="AD50" s="95">
        <f t="shared" si="266"/>
        <v>-1160.5005</v>
      </c>
      <c r="AE50" s="96">
        <f t="shared" si="267"/>
        <v>-0.96708375</v>
      </c>
      <c r="AF50" s="99">
        <f t="shared" ref="AF50:AG50" si="295">MIN(AF47, 500000) * 0.03 + MAX(0, MIN(AF47, 1000000) - 500000) * 0.025 + MAX(0, MIN(AF47, 2000000) - 1000000) * 0.0225 + MAX(0, MIN(AF47, 3000000) - 2000000) * 0.02 + MAX(0, MIN(AF47, 5000000) - 3000000) * 0.0175 + MAX(0, AF47 - 5000000) * 0.015</f>
        <v>7200</v>
      </c>
      <c r="AG50" s="94">
        <f t="shared" si="295"/>
        <v>13.4514</v>
      </c>
      <c r="AH50" s="95">
        <f t="shared" si="268"/>
        <v>-7186.5486</v>
      </c>
      <c r="AI50" s="96">
        <f t="shared" si="269"/>
        <v>-0.99813175</v>
      </c>
      <c r="AJ50" s="99">
        <f t="shared" ref="AJ50:AK50" si="296">MIN(AJ47, 500000) * 0.03 + MAX(0, MIN(AJ47, 1000000) - 500000) * 0.025 + MAX(0, MIN(AJ47, 2000000) - 1000000) * 0.0225 + MAX(0, MIN(AJ47, 3000000) - 2000000) * 0.02 + MAX(0, MIN(AJ47, 5000000) - 3000000) * 0.0175 + MAX(0, AJ47 - 5000000) * 0.015</f>
        <v>10800</v>
      </c>
      <c r="AK50" s="94">
        <f t="shared" si="296"/>
        <v>0</v>
      </c>
      <c r="AL50" s="95">
        <f t="shared" si="270"/>
        <v>-10800</v>
      </c>
      <c r="AM50" s="96">
        <f t="shared" si="271"/>
        <v>-1</v>
      </c>
      <c r="AN50" s="94">
        <f t="shared" ref="AN50:AO50" si="297">MIN(AN47, 500000) * 0.03 + MAX(0, MIN(AN47, 1000000) - 500000) * 0.025 + MAX(0, MIN(AN47, 2000000) - 1000000) * 0.0225 + MAX(0, MIN(AN47, 3000000) - 2000000) * 0.02 + MAX(0, MIN(AN47, 5000000) - 3000000) * 0.0175 + MAX(0, AN47 - 5000000) * 0.015</f>
        <v>15500</v>
      </c>
      <c r="AO50" s="94">
        <f t="shared" si="297"/>
        <v>0</v>
      </c>
      <c r="AP50" s="95">
        <f t="shared" si="272"/>
        <v>-15500</v>
      </c>
      <c r="AQ50" s="96">
        <f t="shared" si="273"/>
        <v>-1</v>
      </c>
      <c r="AR50" s="99">
        <f t="shared" ref="AR50:AS50" si="298">MIN(AR47, 500000) * 0.03 + MAX(0, MIN(AR47, 1000000) - 500000) * 0.025 + MAX(0, MIN(AR47, 2000000) - 1000000) * 0.0225 + MAX(0, MIN(AR47, 3000000) - 2000000) * 0.02 + MAX(0, MIN(AR47, 5000000) - 3000000) * 0.0175 + MAX(0, AR47 - 5000000) * 0.015</f>
        <v>18500</v>
      </c>
      <c r="AS50" s="94">
        <f t="shared" si="298"/>
        <v>0</v>
      </c>
      <c r="AT50" s="95">
        <f t="shared" si="274"/>
        <v>-18500</v>
      </c>
      <c r="AU50" s="96">
        <f t="shared" si="275"/>
        <v>-1</v>
      </c>
      <c r="AV50" s="99">
        <f t="shared" ref="AV50:AW50" si="299">MIN(AV47, 500000) * 0.03 + MAX(0, MIN(AV47, 1000000) - 500000) * 0.025 + MAX(0, MIN(AV47, 2000000) - 1000000) * 0.0225 + MAX(0, MIN(AV47, 3000000) - 2000000) * 0.02 + MAX(0, MIN(AV47, 5000000) - 3000000) * 0.0175 + MAX(0, AV47 - 5000000) * 0.015</f>
        <v>18500</v>
      </c>
      <c r="AW50" s="94">
        <f t="shared" si="299"/>
        <v>0</v>
      </c>
      <c r="AX50" s="95">
        <f t="shared" si="276"/>
        <v>-18500</v>
      </c>
      <c r="AY50" s="96">
        <f t="shared" si="277"/>
        <v>-1</v>
      </c>
      <c r="AZ50" s="99">
        <f t="shared" ref="AZ50:BA50" si="300">MIN(AZ47, 500000) * 0.03 + MAX(0, MIN(AZ47, 1000000) - 500000) * 0.025 + MAX(0, MIN(AZ47, 2000000) - 1000000) * 0.0225 + MAX(0, MIN(AZ47, 3000000) - 2000000) * 0.02 + MAX(0, MIN(AZ47, 5000000) - 3000000) * 0.0175 + MAX(0, AZ47 - 5000000) * 0.015</f>
        <v>25500</v>
      </c>
      <c r="BA50" s="94">
        <f t="shared" si="300"/>
        <v>0</v>
      </c>
      <c r="BB50" s="95">
        <f t="shared" si="278"/>
        <v>-25500</v>
      </c>
      <c r="BC50" s="96">
        <f t="shared" si="279"/>
        <v>-1</v>
      </c>
      <c r="BD50" s="94">
        <f t="shared" ref="BD50:BE50" si="301">MIN(BD47, 500000) * 0.03 + MAX(0, MIN(BD47, 1000000) - 500000) * 0.025 + MAX(0, MIN(BD47, 2000000) - 1000000) * 0.0225 + MAX(0, MIN(BD47, 3000000) - 2000000) * 0.02 + MAX(0, MIN(BD47, 5000000) - 3000000) * 0.0175 + MAX(0, BD47 - 5000000) * 0.015</f>
        <v>17500</v>
      </c>
      <c r="BE50" s="94">
        <f t="shared" si="301"/>
        <v>0</v>
      </c>
      <c r="BF50" s="95">
        <f t="shared" si="280"/>
        <v>-17500</v>
      </c>
      <c r="BG50" s="98">
        <f t="shared" si="281"/>
        <v>-1</v>
      </c>
      <c r="BH50" s="100">
        <f t="shared" ref="BH50:BI50" si="302">SUM(L50,P50,T50,X50,AB50,AF50,AJ50,AN50,AR50,AV50,AZ50,BD50)</f>
        <v>115900</v>
      </c>
      <c r="BI50" s="101">
        <f t="shared" si="302"/>
        <v>65.6982</v>
      </c>
      <c r="BJ50" s="102">
        <f t="shared" si="283"/>
        <v>-0.9994331475</v>
      </c>
      <c r="BK50" s="103" t="s">
        <v>60</v>
      </c>
      <c r="BL50" s="104" t="str">
        <f>IFERROR((BH50/BK50),"-")</f>
        <v>-</v>
      </c>
      <c r="BM50" s="3"/>
      <c r="BN50" s="3"/>
      <c r="BO50" s="3"/>
      <c r="BP50" s="3"/>
      <c r="BQ50" s="3"/>
      <c r="BR50" s="3"/>
    </row>
    <row r="51" ht="15.75" customHeight="1">
      <c r="A51" s="1"/>
      <c r="B51" s="105"/>
      <c r="C51" s="106"/>
      <c r="D51" s="107"/>
      <c r="E51" s="144"/>
      <c r="F51" s="109"/>
      <c r="G51" s="110"/>
      <c r="H51" s="111"/>
      <c r="I51" s="171">
        <v>0.0325</v>
      </c>
      <c r="J51" s="12"/>
      <c r="K51" s="148"/>
      <c r="L51" s="172">
        <f>L54/4600</f>
        <v>5.538130435</v>
      </c>
      <c r="M51" s="149">
        <f>P54/2890</f>
        <v>7.37716263</v>
      </c>
      <c r="N51" s="149">
        <f>T54/3000</f>
        <v>9.922007667</v>
      </c>
      <c r="O51" s="149">
        <f>X54/10000</f>
        <v>2.9766023</v>
      </c>
      <c r="P51" s="149">
        <f>AB54/15000</f>
        <v>7.937606133</v>
      </c>
      <c r="Q51" s="23"/>
      <c r="R51" s="149">
        <f>AJ54/15000</f>
        <v>31.75042453</v>
      </c>
      <c r="S51" s="149">
        <f>AN54/15000</f>
        <v>39.68803067</v>
      </c>
      <c r="T51" s="149">
        <f>AR54/15000</f>
        <v>43.65683373</v>
      </c>
      <c r="U51" s="149">
        <f>AV54/15000</f>
        <v>71.4384552</v>
      </c>
      <c r="V51" s="149">
        <f>AZ54/25000</f>
        <v>71.4384552</v>
      </c>
      <c r="W51" s="149">
        <f>BD54/15000</f>
        <v>71.4384552</v>
      </c>
      <c r="X51" s="13"/>
      <c r="Y51" s="14"/>
      <c r="Z51" s="15"/>
      <c r="AA51" s="3"/>
      <c r="AB51" s="3"/>
      <c r="AC51" s="3"/>
      <c r="AD51" s="3"/>
      <c r="AE51" s="3"/>
      <c r="AF51" s="3"/>
      <c r="AV51" s="138"/>
      <c r="AW51" s="25"/>
      <c r="AX51" s="139"/>
      <c r="AY51" s="25"/>
    </row>
    <row r="52" ht="15.75" customHeight="1">
      <c r="A52" s="1"/>
      <c r="B52" s="105"/>
      <c r="C52" s="106"/>
      <c r="D52" s="107"/>
      <c r="E52" s="144"/>
      <c r="F52" s="109"/>
      <c r="G52" s="110"/>
      <c r="H52" s="111"/>
      <c r="I52" s="173"/>
      <c r="J52" s="34" t="s">
        <v>81</v>
      </c>
      <c r="K52" s="35"/>
      <c r="L52" s="36" t="s">
        <v>10</v>
      </c>
      <c r="M52" s="37" t="s">
        <v>11</v>
      </c>
      <c r="N52" s="38" t="s">
        <v>12</v>
      </c>
      <c r="O52" s="39" t="s">
        <v>13</v>
      </c>
      <c r="P52" s="119" t="s">
        <v>14</v>
      </c>
      <c r="Q52" s="152" t="s">
        <v>15</v>
      </c>
      <c r="R52" s="38" t="s">
        <v>16</v>
      </c>
      <c r="S52" s="42" t="s">
        <v>17</v>
      </c>
      <c r="T52" s="43" t="s">
        <v>18</v>
      </c>
      <c r="U52" s="152" t="s">
        <v>19</v>
      </c>
      <c r="V52" s="38" t="s">
        <v>20</v>
      </c>
      <c r="W52" s="45" t="s">
        <v>21</v>
      </c>
      <c r="X52" s="44" t="s">
        <v>22</v>
      </c>
      <c r="Y52" s="152" t="s">
        <v>23</v>
      </c>
      <c r="Z52" s="38" t="s">
        <v>24</v>
      </c>
      <c r="AA52" s="45" t="s">
        <v>25</v>
      </c>
      <c r="AB52" s="43" t="s">
        <v>26</v>
      </c>
      <c r="AC52" s="152" t="s">
        <v>27</v>
      </c>
      <c r="AD52" s="38" t="s">
        <v>28</v>
      </c>
      <c r="AE52" s="45" t="s">
        <v>29</v>
      </c>
      <c r="AF52" s="44" t="s">
        <v>30</v>
      </c>
      <c r="AG52" s="152" t="s">
        <v>31</v>
      </c>
      <c r="AH52" s="38" t="s">
        <v>32</v>
      </c>
      <c r="AI52" s="45" t="s">
        <v>33</v>
      </c>
      <c r="AJ52" s="43" t="s">
        <v>34</v>
      </c>
      <c r="AK52" s="152" t="s">
        <v>35</v>
      </c>
      <c r="AL52" s="38" t="s">
        <v>36</v>
      </c>
      <c r="AM52" s="45" t="s">
        <v>37</v>
      </c>
      <c r="AN52" s="44" t="s">
        <v>38</v>
      </c>
      <c r="AO52" s="152" t="s">
        <v>39</v>
      </c>
      <c r="AP52" s="38" t="s">
        <v>40</v>
      </c>
      <c r="AQ52" s="45" t="s">
        <v>41</v>
      </c>
      <c r="AR52" s="43" t="s">
        <v>42</v>
      </c>
      <c r="AS52" s="152" t="s">
        <v>43</v>
      </c>
      <c r="AT52" s="38" t="s">
        <v>44</v>
      </c>
      <c r="AU52" s="45" t="s">
        <v>45</v>
      </c>
      <c r="AV52" s="44" t="s">
        <v>46</v>
      </c>
      <c r="AW52" s="152" t="s">
        <v>47</v>
      </c>
      <c r="AX52" s="38" t="s">
        <v>48</v>
      </c>
      <c r="AY52" s="45" t="s">
        <v>49</v>
      </c>
      <c r="AZ52" s="43" t="s">
        <v>50</v>
      </c>
      <c r="BA52" s="152" t="s">
        <v>51</v>
      </c>
      <c r="BB52" s="38" t="s">
        <v>52</v>
      </c>
      <c r="BC52" s="45" t="s">
        <v>53</v>
      </c>
      <c r="BD52" s="44" t="s">
        <v>54</v>
      </c>
      <c r="BE52" s="152" t="s">
        <v>55</v>
      </c>
      <c r="BF52" s="38" t="s">
        <v>56</v>
      </c>
      <c r="BG52" s="45" t="s">
        <v>57</v>
      </c>
      <c r="BH52" s="122">
        <v>2026.0</v>
      </c>
      <c r="BI52" s="37" t="s">
        <v>58</v>
      </c>
      <c r="BJ52" s="47" t="s">
        <v>59</v>
      </c>
      <c r="BK52" s="48">
        <v>2025.0</v>
      </c>
      <c r="BL52" s="49"/>
      <c r="BM52" s="3"/>
      <c r="BN52" s="3"/>
      <c r="BO52" s="3"/>
      <c r="BP52" s="3"/>
      <c r="BQ52" s="3"/>
      <c r="BR52" s="3"/>
    </row>
    <row r="53" ht="15.75" customHeight="1">
      <c r="A53" s="1"/>
      <c r="B53" s="105">
        <v>9.0</v>
      </c>
      <c r="C53" s="106" t="s">
        <v>82</v>
      </c>
      <c r="D53" s="107">
        <v>7200000.0</v>
      </c>
      <c r="E53" s="144">
        <v>30.0</v>
      </c>
      <c r="F53" s="109">
        <f>E53*D53</f>
        <v>216000000</v>
      </c>
      <c r="G53" s="110">
        <v>1580724.5999999477</v>
      </c>
      <c r="H53" s="111">
        <v>66014.0</v>
      </c>
      <c r="I53" s="140">
        <v>23.945293422606532</v>
      </c>
      <c r="J53" s="50" t="s">
        <v>61</v>
      </c>
      <c r="K53" s="51"/>
      <c r="L53" s="52" t="s">
        <v>60</v>
      </c>
      <c r="M53" s="53" t="s">
        <v>60</v>
      </c>
      <c r="N53" s="54" t="s">
        <v>60</v>
      </c>
      <c r="O53" s="55" t="s">
        <v>62</v>
      </c>
      <c r="P53" s="52" t="s">
        <v>60</v>
      </c>
      <c r="Q53" s="154" t="s">
        <v>60</v>
      </c>
      <c r="R53" s="54" t="s">
        <v>60</v>
      </c>
      <c r="S53" s="57" t="s">
        <v>62</v>
      </c>
      <c r="T53" s="58">
        <v>0.005</v>
      </c>
      <c r="U53" s="59">
        <f>U54/(BH54-(L54 + P54))</f>
        <v>0.003961936736</v>
      </c>
      <c r="V53" s="54" t="s">
        <v>60</v>
      </c>
      <c r="W53" s="55" t="s">
        <v>62</v>
      </c>
      <c r="X53" s="58">
        <v>0.005</v>
      </c>
      <c r="Y53" s="59">
        <f>Y54/(BH54-(L54+P54))</f>
        <v>0.002035463387</v>
      </c>
      <c r="Z53" s="54" t="s">
        <v>60</v>
      </c>
      <c r="AA53" s="55" t="s">
        <v>62</v>
      </c>
      <c r="AB53" s="58">
        <v>0.02</v>
      </c>
      <c r="AC53" s="59">
        <f>AC54/(BH54-(L54+P54))</f>
        <v>0.002218722669</v>
      </c>
      <c r="AD53" s="54" t="s">
        <v>60</v>
      </c>
      <c r="AE53" s="55" t="s">
        <v>62</v>
      </c>
      <c r="AF53" s="58">
        <v>0.02</v>
      </c>
      <c r="AG53" s="59">
        <f>AG54/(BH54-(L54+P54))</f>
        <v>0.001207684009</v>
      </c>
      <c r="AH53" s="54" t="s">
        <v>60</v>
      </c>
      <c r="AI53" s="55" t="s">
        <v>62</v>
      </c>
      <c r="AJ53" s="58">
        <v>0.08</v>
      </c>
      <c r="AK53" s="59">
        <f>AK54/(BH54-(L54+P54))</f>
        <v>0</v>
      </c>
      <c r="AL53" s="54" t="s">
        <v>60</v>
      </c>
      <c r="AM53" s="55" t="s">
        <v>62</v>
      </c>
      <c r="AN53" s="58">
        <v>0.1</v>
      </c>
      <c r="AO53" s="59">
        <f>AO54/(BH54-(L54+P54))</f>
        <v>0</v>
      </c>
      <c r="AP53" s="54" t="s">
        <v>60</v>
      </c>
      <c r="AQ53" s="55" t="s">
        <v>62</v>
      </c>
      <c r="AR53" s="58">
        <v>0.11</v>
      </c>
      <c r="AS53" s="59">
        <f>AS54/(BH54-(L54+P54))</f>
        <v>0</v>
      </c>
      <c r="AT53" s="54" t="s">
        <v>60</v>
      </c>
      <c r="AU53" s="55" t="s">
        <v>62</v>
      </c>
      <c r="AV53" s="58">
        <v>0.18</v>
      </c>
      <c r="AW53" s="59">
        <f>AW54/(BH54-(L54+P54))</f>
        <v>0</v>
      </c>
      <c r="AX53" s="54" t="s">
        <v>60</v>
      </c>
      <c r="AY53" s="55" t="s">
        <v>62</v>
      </c>
      <c r="AZ53" s="58">
        <v>0.3</v>
      </c>
      <c r="BA53" s="59">
        <f>BA54/(BH54-(L54+P54))</f>
        <v>0</v>
      </c>
      <c r="BB53" s="54" t="s">
        <v>60</v>
      </c>
      <c r="BC53" s="55" t="s">
        <v>62</v>
      </c>
      <c r="BD53" s="58">
        <v>0.18</v>
      </c>
      <c r="BE53" s="59">
        <f>BE54/(BH54-(L54+P54))</f>
        <v>0</v>
      </c>
      <c r="BF53" s="54" t="s">
        <v>60</v>
      </c>
      <c r="BG53" s="55" t="s">
        <v>62</v>
      </c>
      <c r="BH53" s="165">
        <f t="shared" ref="BH53:BI53" si="303">SUM(T53,X53,AB53,AF53,AJ53,AN53,AR53,AV53,AZ53,BD53)</f>
        <v>1</v>
      </c>
      <c r="BI53" s="61">
        <f t="shared" si="303"/>
        <v>0.009423806801</v>
      </c>
      <c r="BJ53" s="62"/>
      <c r="BK53" s="63" t="s">
        <v>60</v>
      </c>
      <c r="BL53" s="64"/>
      <c r="BM53" s="3"/>
      <c r="BN53" s="3"/>
      <c r="BO53" s="3"/>
      <c r="BP53" s="3"/>
      <c r="BQ53" s="3"/>
      <c r="BR53" s="3"/>
    </row>
    <row r="54" ht="15.75" customHeight="1">
      <c r="A54" s="1"/>
      <c r="B54" s="105"/>
      <c r="C54" s="106"/>
      <c r="D54" s="107"/>
      <c r="E54" s="144"/>
      <c r="F54" s="109"/>
      <c r="G54" s="110"/>
      <c r="H54" s="111"/>
      <c r="I54" s="140"/>
      <c r="J54" s="50" t="s">
        <v>63</v>
      </c>
      <c r="K54" s="51"/>
      <c r="L54" s="127">
        <v>25475.4</v>
      </c>
      <c r="M54" s="66">
        <v>24291.16</v>
      </c>
      <c r="N54" s="67">
        <f t="shared" ref="N54:N57" si="304">IFERROR(M54-L54,"-")</f>
        <v>-1184.24</v>
      </c>
      <c r="O54" s="68">
        <f t="shared" ref="O54:O57" si="305">IFERROR(M54/L54-1,"-")</f>
        <v>-0.04648562927</v>
      </c>
      <c r="P54" s="127">
        <v>21320.0</v>
      </c>
      <c r="Q54" s="66">
        <v>20219.57</v>
      </c>
      <c r="R54" s="67">
        <f t="shared" ref="R54:R57" si="306">IFERROR(Q54-P54,"-")</f>
        <v>-1100.43</v>
      </c>
      <c r="S54" s="70">
        <f t="shared" ref="S54:S57" si="307">IFERROR(Q54/P54-1,"-")</f>
        <v>-0.05161491557</v>
      </c>
      <c r="T54" s="71">
        <f>($BH$54-($L$54+$P$54))*T53</f>
        <v>29766.023</v>
      </c>
      <c r="U54" s="66">
        <v>23586.22</v>
      </c>
      <c r="V54" s="67">
        <f t="shared" ref="V54:V57" si="308">IFERROR(U54-T54,"-")</f>
        <v>-6179.803</v>
      </c>
      <c r="W54" s="68">
        <f t="shared" ref="W54:W57" si="309">IFERROR(U54/T54-1,"-")</f>
        <v>-0.2076126529</v>
      </c>
      <c r="X54" s="71">
        <f>($BH$54-($L$54+$P$54))*X53</f>
        <v>29766.023</v>
      </c>
      <c r="Y54" s="66">
        <v>12117.53</v>
      </c>
      <c r="Z54" s="67">
        <f t="shared" ref="Z54:Z57" si="310">IFERROR(Y54-X54,"-")</f>
        <v>-17648.493</v>
      </c>
      <c r="AA54" s="68">
        <f t="shared" ref="AA54:AA57" si="311">IFERROR(Y54/X54-1,"-")</f>
        <v>-0.5929073226</v>
      </c>
      <c r="AB54" s="71">
        <f>($BH$54-($L$54+$P$54))*AB53</f>
        <v>119064.092</v>
      </c>
      <c r="AC54" s="66">
        <v>13208.51</v>
      </c>
      <c r="AD54" s="67">
        <f t="shared" ref="AD54:AD57" si="312">IFERROR(AC54-AB54,"-")</f>
        <v>-105855.582</v>
      </c>
      <c r="AE54" s="68">
        <f t="shared" ref="AE54:AE57" si="313">IFERROR(AC54/AB54-1,"-")</f>
        <v>-0.8890638665</v>
      </c>
      <c r="AF54" s="71">
        <f>($BH$54-($L$54+$P$54))*AF53</f>
        <v>119064.092</v>
      </c>
      <c r="AG54" s="73">
        <v>7189.59</v>
      </c>
      <c r="AH54" s="67">
        <f t="shared" ref="AH54:AH57" si="314">IFERROR(AG54-AF54,"-")</f>
        <v>-111874.502</v>
      </c>
      <c r="AI54" s="68">
        <f t="shared" ref="AI54:AI57" si="315">IFERROR(AG54/AF54-1,"-")</f>
        <v>-0.9396157995</v>
      </c>
      <c r="AJ54" s="71">
        <f>($BH$54-($L$54+$P$54))*AJ53</f>
        <v>476256.368</v>
      </c>
      <c r="AK54" s="66">
        <v>0.0</v>
      </c>
      <c r="AL54" s="67">
        <f t="shared" ref="AL54:AL57" si="316">IFERROR(AK54-AJ54,"-")</f>
        <v>-476256.368</v>
      </c>
      <c r="AM54" s="68">
        <f t="shared" ref="AM54:AM57" si="317">IFERROR(AK54/AJ54-1,"-")</f>
        <v>-1</v>
      </c>
      <c r="AN54" s="71">
        <f>($BH$54-($L$54+$P$54))*AN53</f>
        <v>595320.46</v>
      </c>
      <c r="AO54" s="66">
        <v>0.0</v>
      </c>
      <c r="AP54" s="67">
        <f t="shared" ref="AP54:AP57" si="318">IFERROR(AO54-AN54,"-")</f>
        <v>-595320.46</v>
      </c>
      <c r="AQ54" s="68">
        <f t="shared" ref="AQ54:AQ57" si="319">IFERROR(AO54/AN54-1,"-")</f>
        <v>-1</v>
      </c>
      <c r="AR54" s="71">
        <f>($BH$54-($L$54+$P$54))*AR53</f>
        <v>654852.506</v>
      </c>
      <c r="AS54" s="66">
        <v>0.0</v>
      </c>
      <c r="AT54" s="67">
        <f t="shared" ref="AT54:AT57" si="320">IFERROR(AS54-AR54,"-")</f>
        <v>-654852.506</v>
      </c>
      <c r="AU54" s="68">
        <f t="shared" ref="AU54:AU57" si="321">IFERROR(AS54/AR54-1,"-")</f>
        <v>-1</v>
      </c>
      <c r="AV54" s="174">
        <f>($BH$54-($L$54+$P$54))*AV53</f>
        <v>1071576.828</v>
      </c>
      <c r="AW54" s="66">
        <v>0.0</v>
      </c>
      <c r="AX54" s="67">
        <f t="shared" ref="AX54:AX57" si="322">IFERROR(AW54-AV54,"-")</f>
        <v>-1071576.828</v>
      </c>
      <c r="AY54" s="68">
        <f t="shared" ref="AY54:AY57" si="323">IFERROR(AW54/AV54-1,"-")</f>
        <v>-1</v>
      </c>
      <c r="AZ54" s="71">
        <f>($BH$54-($L$54+$P$54))*AZ53</f>
        <v>1785961.38</v>
      </c>
      <c r="BA54" s="66">
        <v>0.0</v>
      </c>
      <c r="BB54" s="67">
        <f t="shared" ref="BB54:BB57" si="324">IFERROR(BA54-AZ54,"-")</f>
        <v>-1785961.38</v>
      </c>
      <c r="BC54" s="68">
        <f t="shared" ref="BC54:BC57" si="325">IFERROR(BA54/AZ54-1,"-")</f>
        <v>-1</v>
      </c>
      <c r="BD54" s="71">
        <f>($BH$54-($L$54+$P$54))*BD53</f>
        <v>1071576.828</v>
      </c>
      <c r="BE54" s="66">
        <v>0.0</v>
      </c>
      <c r="BF54" s="67">
        <f t="shared" ref="BF54:BF57" si="326">IFERROR(BE54-BD54,"-")</f>
        <v>-1071576.828</v>
      </c>
      <c r="BG54" s="68">
        <f t="shared" ref="BG54:BG57" si="327">IFERROR(BE54/BD54-1,"-")</f>
        <v>-1</v>
      </c>
      <c r="BH54" s="166">
        <v>6000000.0</v>
      </c>
      <c r="BI54" s="75">
        <f>SUM(M54,Q54,U54,Y54,AC54,AG54,AK54,AO54,AS54,AW54,BA54,BE54)</f>
        <v>100612.58</v>
      </c>
      <c r="BJ54" s="76">
        <f t="shared" ref="BJ54:BJ57" si="329">IFERROR(BI54/BH54-1,"-")</f>
        <v>-0.9832312367</v>
      </c>
      <c r="BK54" s="77">
        <v>294165.0</v>
      </c>
      <c r="BL54" s="78">
        <f t="shared" ref="BL54:BL55" si="330">BH54/BK54</f>
        <v>20.39671613</v>
      </c>
      <c r="BM54" s="3"/>
      <c r="BN54" s="3"/>
      <c r="BO54" s="3"/>
      <c r="BP54" s="3"/>
      <c r="BQ54" s="3"/>
      <c r="BR54" s="3"/>
    </row>
    <row r="55" ht="15.75" customHeight="1">
      <c r="A55" s="1"/>
      <c r="B55" s="105"/>
      <c r="C55" s="106"/>
      <c r="D55" s="107"/>
      <c r="E55" s="144"/>
      <c r="F55" s="109"/>
      <c r="G55" s="110"/>
      <c r="H55" s="111"/>
      <c r="I55" s="140"/>
      <c r="J55" s="50" t="s">
        <v>64</v>
      </c>
      <c r="K55" s="79"/>
      <c r="L55" s="129">
        <f>L54/$K$56</f>
        <v>276.9065217</v>
      </c>
      <c r="M55" s="81">
        <v>239.0</v>
      </c>
      <c r="N55" s="82">
        <f t="shared" si="304"/>
        <v>-37.90652174</v>
      </c>
      <c r="O55" s="68">
        <f t="shared" si="305"/>
        <v>-0.1368928456</v>
      </c>
      <c r="P55" s="129">
        <f>P54/$K$56</f>
        <v>231.7391304</v>
      </c>
      <c r="Q55" s="81">
        <v>177.0</v>
      </c>
      <c r="R55" s="82">
        <f t="shared" si="306"/>
        <v>-54.73913043</v>
      </c>
      <c r="S55" s="70">
        <f t="shared" si="307"/>
        <v>-0.2362101313</v>
      </c>
      <c r="T55" s="84">
        <f>T54/$K$56</f>
        <v>323.5437283</v>
      </c>
      <c r="U55" s="81">
        <v>204.0</v>
      </c>
      <c r="V55" s="82">
        <f t="shared" si="308"/>
        <v>-119.5437283</v>
      </c>
      <c r="W55" s="68">
        <f t="shared" si="309"/>
        <v>-0.3694824465</v>
      </c>
      <c r="X55" s="84">
        <f>X54/$K$56</f>
        <v>323.5437283</v>
      </c>
      <c r="Y55" s="81">
        <v>99.0</v>
      </c>
      <c r="Z55" s="82">
        <f t="shared" si="310"/>
        <v>-224.5437283</v>
      </c>
      <c r="AA55" s="68">
        <f t="shared" si="311"/>
        <v>-0.6940135402</v>
      </c>
      <c r="AB55" s="84">
        <f>AB54/$K$56</f>
        <v>1294.174913</v>
      </c>
      <c r="AC55" s="81">
        <v>103.0</v>
      </c>
      <c r="AD55" s="82">
        <f t="shared" si="312"/>
        <v>-1191.174913</v>
      </c>
      <c r="AE55" s="68">
        <f t="shared" si="313"/>
        <v>-0.9204126127</v>
      </c>
      <c r="AF55" s="84">
        <f>AF54/$K$56</f>
        <v>1294.174913</v>
      </c>
      <c r="AG55" s="85">
        <v>64.0</v>
      </c>
      <c r="AH55" s="82">
        <f t="shared" si="314"/>
        <v>-1230.174913</v>
      </c>
      <c r="AI55" s="68">
        <f t="shared" si="315"/>
        <v>-0.9505476429</v>
      </c>
      <c r="AJ55" s="84">
        <f>AJ54/$K$56</f>
        <v>5176.699652</v>
      </c>
      <c r="AK55" s="81">
        <v>0.0</v>
      </c>
      <c r="AL55" s="82">
        <f t="shared" si="316"/>
        <v>-5176.699652</v>
      </c>
      <c r="AM55" s="68">
        <f t="shared" si="317"/>
        <v>-1</v>
      </c>
      <c r="AN55" s="84">
        <f>AN54/$K$56</f>
        <v>6470.874565</v>
      </c>
      <c r="AO55" s="81">
        <v>0.0</v>
      </c>
      <c r="AP55" s="82">
        <f t="shared" si="318"/>
        <v>-6470.874565</v>
      </c>
      <c r="AQ55" s="68">
        <f t="shared" si="319"/>
        <v>-1</v>
      </c>
      <c r="AR55" s="84">
        <f>AR54/$K$56</f>
        <v>7117.962022</v>
      </c>
      <c r="AS55" s="81">
        <v>0.0</v>
      </c>
      <c r="AT55" s="82">
        <f t="shared" si="320"/>
        <v>-7117.962022</v>
      </c>
      <c r="AU55" s="68">
        <f t="shared" si="321"/>
        <v>-1</v>
      </c>
      <c r="AV55" s="84">
        <f>AV54/$K$56</f>
        <v>11647.57422</v>
      </c>
      <c r="AW55" s="81">
        <v>0.0</v>
      </c>
      <c r="AX55" s="82">
        <f t="shared" si="322"/>
        <v>-11647.57422</v>
      </c>
      <c r="AY55" s="68">
        <f t="shared" si="323"/>
        <v>-1</v>
      </c>
      <c r="AZ55" s="84">
        <f>AZ54/$K$56</f>
        <v>19412.6237</v>
      </c>
      <c r="BA55" s="81">
        <v>0.0</v>
      </c>
      <c r="BB55" s="82">
        <f t="shared" si="324"/>
        <v>-19412.6237</v>
      </c>
      <c r="BC55" s="68">
        <f t="shared" si="325"/>
        <v>-1</v>
      </c>
      <c r="BD55" s="84">
        <f>BD54/$K$56</f>
        <v>11647.57422</v>
      </c>
      <c r="BE55" s="81">
        <v>0.0</v>
      </c>
      <c r="BF55" s="82">
        <f t="shared" si="326"/>
        <v>-11647.57422</v>
      </c>
      <c r="BG55" s="68">
        <f t="shared" si="327"/>
        <v>-1</v>
      </c>
      <c r="BH55" s="167">
        <f t="shared" ref="BH55:BI55" si="328">SUM(L55,P55,T55,X55,AB55,AF55,AJ55,AN55,AR55,AV55,AZ55,BD55)</f>
        <v>65217.3913</v>
      </c>
      <c r="BI55" s="87">
        <f t="shared" si="328"/>
        <v>886</v>
      </c>
      <c r="BJ55" s="76">
        <f t="shared" si="329"/>
        <v>-0.9864146667</v>
      </c>
      <c r="BK55" s="88">
        <v>3683.0</v>
      </c>
      <c r="BL55" s="78">
        <f t="shared" si="330"/>
        <v>17.70768159</v>
      </c>
      <c r="BM55" s="3"/>
      <c r="BN55" s="3"/>
      <c r="BO55" s="3"/>
      <c r="BP55" s="3"/>
      <c r="BQ55" s="3"/>
      <c r="BR55" s="3"/>
    </row>
    <row r="56" ht="15.75" customHeight="1">
      <c r="A56" s="1"/>
      <c r="B56" s="105"/>
      <c r="C56" s="106"/>
      <c r="D56" s="107"/>
      <c r="E56" s="144"/>
      <c r="F56" s="109"/>
      <c r="G56" s="110"/>
      <c r="H56" s="111"/>
      <c r="I56" s="140"/>
      <c r="J56" s="50" t="s">
        <v>65</v>
      </c>
      <c r="K56" s="79">
        <v>92.0</v>
      </c>
      <c r="L56" s="129">
        <f>L54/L55</f>
        <v>92</v>
      </c>
      <c r="M56" s="66">
        <f>IFERROR(M54/M55,"-")</f>
        <v>101.6366527</v>
      </c>
      <c r="N56" s="67">
        <f t="shared" si="304"/>
        <v>9.63665272</v>
      </c>
      <c r="O56" s="68">
        <f t="shared" si="305"/>
        <v>0.1047462252</v>
      </c>
      <c r="P56" s="65">
        <f t="shared" ref="P56:Q56" si="331">IFERROR(P54/P55,"-")</f>
        <v>92</v>
      </c>
      <c r="Q56" s="66">
        <f t="shared" si="331"/>
        <v>114.2348588</v>
      </c>
      <c r="R56" s="67">
        <f t="shared" si="306"/>
        <v>22.23485876</v>
      </c>
      <c r="S56" s="70">
        <f t="shared" si="307"/>
        <v>0.2416832474</v>
      </c>
      <c r="T56" s="84">
        <f>T54/T55</f>
        <v>92</v>
      </c>
      <c r="U56" s="66">
        <f>IFERROR(U54/U55,"-")</f>
        <v>115.6187255</v>
      </c>
      <c r="V56" s="67">
        <f t="shared" si="308"/>
        <v>23.61872549</v>
      </c>
      <c r="W56" s="68">
        <f t="shared" si="309"/>
        <v>0.2567252771</v>
      </c>
      <c r="X56" s="71">
        <f t="shared" ref="X56:Y56" si="332">IFERROR(X54/X55,"-")</f>
        <v>92</v>
      </c>
      <c r="Y56" s="66">
        <f t="shared" si="332"/>
        <v>122.3992929</v>
      </c>
      <c r="Z56" s="67">
        <f t="shared" si="310"/>
        <v>30.39929293</v>
      </c>
      <c r="AA56" s="68">
        <f t="shared" si="311"/>
        <v>0.3304270971</v>
      </c>
      <c r="AB56" s="84">
        <f>AB54/AB55</f>
        <v>92</v>
      </c>
      <c r="AC56" s="66">
        <f>IFERROR(AC54/AC55,"-")</f>
        <v>128.2379612</v>
      </c>
      <c r="AD56" s="67">
        <f t="shared" si="312"/>
        <v>36.23796117</v>
      </c>
      <c r="AE56" s="68">
        <f t="shared" si="313"/>
        <v>0.3938908822</v>
      </c>
      <c r="AF56" s="84">
        <f>AF54/AF55</f>
        <v>92</v>
      </c>
      <c r="AG56" s="66">
        <f>IFERROR(AG54/AG55,"-")</f>
        <v>112.3373438</v>
      </c>
      <c r="AH56" s="67">
        <f t="shared" si="314"/>
        <v>20.33734375</v>
      </c>
      <c r="AI56" s="68">
        <f t="shared" si="315"/>
        <v>0.2210580842</v>
      </c>
      <c r="AJ56" s="84">
        <f>AJ54/AJ55</f>
        <v>92</v>
      </c>
      <c r="AK56" s="66" t="str">
        <f>IFERROR(AK54/AK55,"-")</f>
        <v>-</v>
      </c>
      <c r="AL56" s="67" t="str">
        <f t="shared" si="316"/>
        <v>-</v>
      </c>
      <c r="AM56" s="68" t="str">
        <f t="shared" si="317"/>
        <v>-</v>
      </c>
      <c r="AN56" s="84">
        <f>AN54/AN55</f>
        <v>92</v>
      </c>
      <c r="AO56" s="66" t="str">
        <f>IFERROR(AO54/AO55,"-")</f>
        <v>-</v>
      </c>
      <c r="AP56" s="67" t="str">
        <f t="shared" si="318"/>
        <v>-</v>
      </c>
      <c r="AQ56" s="68" t="str">
        <f t="shared" si="319"/>
        <v>-</v>
      </c>
      <c r="AR56" s="84">
        <f>AR54/AR55</f>
        <v>92</v>
      </c>
      <c r="AS56" s="66" t="str">
        <f>IFERROR(AS54/AS55,"-")</f>
        <v>-</v>
      </c>
      <c r="AT56" s="67" t="str">
        <f t="shared" si="320"/>
        <v>-</v>
      </c>
      <c r="AU56" s="68" t="str">
        <f t="shared" si="321"/>
        <v>-</v>
      </c>
      <c r="AV56" s="84">
        <f>AV54/AV55</f>
        <v>92</v>
      </c>
      <c r="AW56" s="66" t="str">
        <f>IFERROR(AW54/AW55,"-")</f>
        <v>-</v>
      </c>
      <c r="AX56" s="67" t="str">
        <f t="shared" si="322"/>
        <v>-</v>
      </c>
      <c r="AY56" s="68" t="str">
        <f t="shared" si="323"/>
        <v>-</v>
      </c>
      <c r="AZ56" s="84">
        <f>AZ54/AZ55</f>
        <v>92</v>
      </c>
      <c r="BA56" s="66" t="str">
        <f>IFERROR(BA54/BA55,"-")</f>
        <v>-</v>
      </c>
      <c r="BB56" s="67" t="str">
        <f t="shared" si="324"/>
        <v>-</v>
      </c>
      <c r="BC56" s="68" t="str">
        <f t="shared" si="325"/>
        <v>-</v>
      </c>
      <c r="BD56" s="84">
        <f>BD54/BD55</f>
        <v>92</v>
      </c>
      <c r="BE56" s="66" t="str">
        <f>IFERROR(BE54/BE55,"-")</f>
        <v>-</v>
      </c>
      <c r="BF56" s="67" t="str">
        <f t="shared" si="326"/>
        <v>-</v>
      </c>
      <c r="BG56" s="68" t="str">
        <f t="shared" si="327"/>
        <v>-</v>
      </c>
      <c r="BH56" s="168">
        <f t="shared" ref="BH56:BI56" si="333">BH54/BH55</f>
        <v>92</v>
      </c>
      <c r="BI56" s="90">
        <f t="shared" si="333"/>
        <v>113.5582167</v>
      </c>
      <c r="BJ56" s="76">
        <f t="shared" si="329"/>
        <v>0.2343284424</v>
      </c>
      <c r="BK56" s="88">
        <f>BK54/BK55</f>
        <v>79.87102905</v>
      </c>
      <c r="BL56" s="78">
        <f>BH56/BK56-1</f>
        <v>0.151856951</v>
      </c>
      <c r="BM56" s="3"/>
      <c r="BN56" s="3"/>
      <c r="BO56" s="3"/>
      <c r="BP56" s="3"/>
      <c r="BQ56" s="3"/>
      <c r="BR56" s="3"/>
    </row>
    <row r="57" ht="15.75" customHeight="1">
      <c r="A57" s="1"/>
      <c r="B57" s="105"/>
      <c r="C57" s="106"/>
      <c r="D57" s="107"/>
      <c r="E57" s="144"/>
      <c r="F57" s="109"/>
      <c r="G57" s="110"/>
      <c r="H57" s="111"/>
      <c r="I57" s="140"/>
      <c r="J57" s="91" t="s">
        <v>66</v>
      </c>
      <c r="K57" s="92">
        <v>0.0325</v>
      </c>
      <c r="L57" s="99">
        <f>IF(L55=0, 0, (MIN(L55, 10000) * 0.0325 + MAX(0, MIN(L55, 25000) - 10000) * 0.03 + MAX(0, MIN(L55, 50000) - 25000) * 0.0275 + MAX(0, L55 - 50000) * 0.025) * (L54 / L55))</f>
        <v>827.9505</v>
      </c>
      <c r="M57" s="94">
        <f>MIN(M54, 500000) * 0.03 + MAX(0, MIN(M54, 1000000) - 500000) * 0.025 + MAX(0, MIN(M54, 2000000) - 1000000) * 0.0225 + MAX(0, MIN(M54, 3000000) - 2000000) * 0.02 + MAX(0, MIN(M54, 5000000) - 3000000) * 0.0175 + MAX(0, M54 - 5000000) * 0.015</f>
        <v>728.7348</v>
      </c>
      <c r="N57" s="95">
        <f t="shared" si="304"/>
        <v>-99.2157</v>
      </c>
      <c r="O57" s="96">
        <f t="shared" si="305"/>
        <v>-0.1198328886</v>
      </c>
      <c r="P57" s="99">
        <f t="shared" ref="P57:Q57" si="334">IF(P55=0, 0, (MIN(P55, 10000) * 0.0325 + MAX(0, MIN(P55, 25000) - 10000) * 0.03 + MAX(0, MIN(P55, 50000) - 25000) * 0.0275 + MAX(0, P55 - 50000) * 0.025) * (P54 / P55))</f>
        <v>692.9</v>
      </c>
      <c r="Q57" s="94">
        <f t="shared" si="334"/>
        <v>657.136025</v>
      </c>
      <c r="R57" s="95">
        <f t="shared" si="306"/>
        <v>-35.763975</v>
      </c>
      <c r="S57" s="98">
        <f t="shared" si="307"/>
        <v>-0.05161491557</v>
      </c>
      <c r="T57" s="99">
        <f t="shared" ref="T57:U57" si="335">IF(T55=0, 0, (MIN(T55, 10000) * 0.0325 + MAX(0, MIN(T55, 25000) - 10000) * 0.03 + MAX(0, MIN(T55, 50000) - 25000) * 0.0275 + MAX(0, T55 - 50000) * 0.025) * (T54 / T55))</f>
        <v>967.3957475</v>
      </c>
      <c r="U57" s="94">
        <f t="shared" si="335"/>
        <v>766.55215</v>
      </c>
      <c r="V57" s="95">
        <f t="shared" si="308"/>
        <v>-200.8435975</v>
      </c>
      <c r="W57" s="96">
        <f t="shared" si="309"/>
        <v>-0.2076126529</v>
      </c>
      <c r="X57" s="99">
        <f t="shared" ref="X57:Y57" si="336">IF(X55=0, 0, (MIN(X55, 10000) * 0.0325 + MAX(0, MIN(X55, 25000) - 10000) * 0.03 + MAX(0, MIN(X55, 50000) - 25000) * 0.0275 + MAX(0, X55 - 50000) * 0.025) * (X54 / X55))</f>
        <v>967.3957475</v>
      </c>
      <c r="Y57" s="94">
        <f t="shared" si="336"/>
        <v>393.819725</v>
      </c>
      <c r="Z57" s="95">
        <f t="shared" si="310"/>
        <v>-573.5760225</v>
      </c>
      <c r="AA57" s="96">
        <f t="shared" si="311"/>
        <v>-0.5929073226</v>
      </c>
      <c r="AB57" s="99">
        <f t="shared" ref="AB57:AC57" si="337">IF(AB55=0, 0, (MIN(AB55, 10000) * 0.0325 + MAX(0, MIN(AB55, 25000) - 10000) * 0.03 + MAX(0, MIN(AB55, 50000) - 25000) * 0.0275 + MAX(0, AB55 - 50000) * 0.025) * (AB54 / AB55))</f>
        <v>3869.58299</v>
      </c>
      <c r="AC57" s="94">
        <f t="shared" si="337"/>
        <v>429.276575</v>
      </c>
      <c r="AD57" s="95">
        <f t="shared" si="312"/>
        <v>-3440.306415</v>
      </c>
      <c r="AE57" s="96">
        <f t="shared" si="313"/>
        <v>-0.8890638665</v>
      </c>
      <c r="AF57" s="99">
        <f t="shared" ref="AF57:AG57" si="338">IF(AF55=0, 0, (MIN(AF55, 10000) * 0.0325 + MAX(0, MIN(AF55, 25000) - 10000) * 0.03 + MAX(0, MIN(AF55, 50000) - 25000) * 0.0275 + MAX(0, AF55 - 50000) * 0.025) * (AF54 / AF55))</f>
        <v>3869.58299</v>
      </c>
      <c r="AG57" s="94">
        <f t="shared" si="338"/>
        <v>233.661675</v>
      </c>
      <c r="AH57" s="95">
        <f t="shared" si="314"/>
        <v>-3635.921315</v>
      </c>
      <c r="AI57" s="96">
        <f t="shared" si="315"/>
        <v>-0.9396157995</v>
      </c>
      <c r="AJ57" s="99">
        <f t="shared" ref="AJ57:AK57" si="339">IF(AJ55=0, 0, (MIN(AJ55, 10000) * 0.0325 + MAX(0, MIN(AJ55, 25000) - 10000) * 0.03 + MAX(0, MIN(AJ55, 50000) - 25000) * 0.0275 + MAX(0, AJ55 - 50000) * 0.025) * (AJ54 / AJ55))</f>
        <v>15478.33196</v>
      </c>
      <c r="AK57" s="94">
        <f t="shared" si="339"/>
        <v>0</v>
      </c>
      <c r="AL57" s="95">
        <f t="shared" si="316"/>
        <v>-15478.33196</v>
      </c>
      <c r="AM57" s="96">
        <f t="shared" si="317"/>
        <v>-1</v>
      </c>
      <c r="AN57" s="99">
        <f t="shared" ref="AN57:AO57" si="340">IF(AN55=0, 0, (MIN(AN55, 10000) * 0.0325 + MAX(0, MIN(AN55, 25000) - 10000) * 0.03 + MAX(0, MIN(AN55, 50000) - 25000) * 0.0275 + MAX(0, AN55 - 50000) * 0.025) * (AN54 / AN55))</f>
        <v>19347.91495</v>
      </c>
      <c r="AO57" s="94">
        <f t="shared" si="340"/>
        <v>0</v>
      </c>
      <c r="AP57" s="95">
        <f t="shared" si="318"/>
        <v>-19347.91495</v>
      </c>
      <c r="AQ57" s="96">
        <f t="shared" si="319"/>
        <v>-1</v>
      </c>
      <c r="AR57" s="99">
        <f t="shared" ref="AR57:AS57" si="341">IF(AR55=0, 0, (MIN(AR55, 10000) * 0.0325 + MAX(0, MIN(AR55, 25000) - 10000) * 0.03 + MAX(0, MIN(AR55, 50000) - 25000) * 0.0275 + MAX(0, AR55 - 50000) * 0.025) * (AR54 / AR55))</f>
        <v>21282.70645</v>
      </c>
      <c r="AS57" s="94">
        <f t="shared" si="341"/>
        <v>0</v>
      </c>
      <c r="AT57" s="95">
        <f t="shared" si="320"/>
        <v>-21282.70645</v>
      </c>
      <c r="AU57" s="96">
        <f t="shared" si="321"/>
        <v>-1</v>
      </c>
      <c r="AV57" s="99">
        <f t="shared" ref="AV57:AW57" si="342">IF(AV55=0, 0, (MIN(AV55, 10000) * 0.0325 + MAX(0, MIN(AV55, 25000) - 10000) * 0.03 + MAX(0, MIN(AV55, 50000) - 25000) * 0.0275 + MAX(0, AV55 - 50000) * 0.025) * (AV54 / AV55))</f>
        <v>34447.30484</v>
      </c>
      <c r="AW57" s="94">
        <f t="shared" si="342"/>
        <v>0</v>
      </c>
      <c r="AX57" s="95">
        <f t="shared" si="322"/>
        <v>-34447.30484</v>
      </c>
      <c r="AY57" s="96">
        <f t="shared" si="323"/>
        <v>-1</v>
      </c>
      <c r="AZ57" s="99">
        <f t="shared" ref="AZ57:BA57" si="343">IF(AZ55=0, 0, (MIN(AZ55, 10000) * 0.0325 + MAX(0, MIN(AZ55, 25000) - 10000) * 0.03 + MAX(0, MIN(AZ55, 50000) - 25000) * 0.0275 + MAX(0, AZ55 - 50000) * 0.025) * (AZ54 / AZ55))</f>
        <v>55878.8414</v>
      </c>
      <c r="BA57" s="94">
        <f t="shared" si="343"/>
        <v>0</v>
      </c>
      <c r="BB57" s="95">
        <f t="shared" si="324"/>
        <v>-55878.8414</v>
      </c>
      <c r="BC57" s="96">
        <f t="shared" si="325"/>
        <v>-1</v>
      </c>
      <c r="BD57" s="99">
        <f t="shared" ref="BD57:BE57" si="344">IF(BD55=0, 0, (MIN(BD55, 10000) * 0.0325 + MAX(0, MIN(BD55, 25000) - 10000) * 0.03 + MAX(0, MIN(BD55, 50000) - 25000) * 0.0275 + MAX(0, BD55 - 50000) * 0.025) * (BD54 / BD55))</f>
        <v>34447.30484</v>
      </c>
      <c r="BE57" s="94">
        <f t="shared" si="344"/>
        <v>0</v>
      </c>
      <c r="BF57" s="95">
        <f t="shared" si="326"/>
        <v>-34447.30484</v>
      </c>
      <c r="BG57" s="96">
        <f t="shared" si="327"/>
        <v>-1</v>
      </c>
      <c r="BH57" s="169">
        <f t="shared" ref="BH57:BI57" si="345">SUM(L57,P57,T57,X57,AB57,AF57,AJ57,AN57,AR57,AV57,AZ57,BD57)</f>
        <v>192077.2124</v>
      </c>
      <c r="BI57" s="101">
        <f t="shared" si="345"/>
        <v>3209.18095</v>
      </c>
      <c r="BJ57" s="102">
        <f t="shared" si="329"/>
        <v>-0.9832922349</v>
      </c>
      <c r="BK57" s="103">
        <f>BK54*0.0325</f>
        <v>9560.3625</v>
      </c>
      <c r="BL57" s="104">
        <f>BH57/BK57</f>
        <v>20.0909968</v>
      </c>
      <c r="BM57" s="3"/>
      <c r="BN57" s="3"/>
      <c r="BO57" s="3"/>
      <c r="BP57" s="3"/>
      <c r="BQ57" s="3"/>
      <c r="BR57" s="3"/>
    </row>
    <row r="58" ht="15.75" customHeight="1">
      <c r="A58" s="1"/>
      <c r="B58" s="105"/>
      <c r="C58" s="106"/>
      <c r="D58" s="107"/>
      <c r="E58" s="144"/>
      <c r="F58" s="109"/>
      <c r="G58" s="110"/>
      <c r="H58" s="111"/>
      <c r="I58" s="112"/>
      <c r="J58" s="13"/>
      <c r="K58" s="175"/>
      <c r="L58" s="136"/>
      <c r="M58" s="136"/>
      <c r="N58" s="136"/>
      <c r="O58" s="136"/>
      <c r="P58" s="136"/>
      <c r="Q58" s="160"/>
      <c r="R58" s="136"/>
      <c r="S58" s="136"/>
      <c r="T58" s="136"/>
      <c r="U58" s="136"/>
      <c r="V58" s="136"/>
      <c r="W58" s="136"/>
      <c r="X58" s="137"/>
      <c r="Y58" s="14"/>
      <c r="Z58" s="15"/>
      <c r="AA58" s="3"/>
      <c r="AB58" s="3"/>
      <c r="AC58" s="3"/>
      <c r="AD58" s="3"/>
      <c r="AE58" s="3"/>
      <c r="AF58" s="3"/>
      <c r="AV58" s="138"/>
      <c r="AW58" s="25"/>
      <c r="AX58" s="139"/>
      <c r="AY58" s="25"/>
    </row>
    <row r="59" ht="15.75" customHeight="1">
      <c r="A59" s="1"/>
      <c r="B59" s="105"/>
      <c r="C59" s="106"/>
      <c r="D59" s="107"/>
      <c r="E59" s="144"/>
      <c r="F59" s="109"/>
      <c r="G59" s="110"/>
      <c r="H59" s="111"/>
      <c r="I59" s="112"/>
      <c r="J59" s="34" t="s">
        <v>83</v>
      </c>
      <c r="K59" s="35"/>
      <c r="L59" s="36" t="s">
        <v>10</v>
      </c>
      <c r="M59" s="37" t="s">
        <v>11</v>
      </c>
      <c r="N59" s="38" t="s">
        <v>12</v>
      </c>
      <c r="O59" s="39" t="s">
        <v>13</v>
      </c>
      <c r="P59" s="119" t="s">
        <v>14</v>
      </c>
      <c r="Q59" s="152" t="s">
        <v>15</v>
      </c>
      <c r="R59" s="38" t="s">
        <v>16</v>
      </c>
      <c r="S59" s="42" t="s">
        <v>17</v>
      </c>
      <c r="T59" s="43" t="s">
        <v>18</v>
      </c>
      <c r="U59" s="152" t="s">
        <v>19</v>
      </c>
      <c r="V59" s="38" t="s">
        <v>20</v>
      </c>
      <c r="W59" s="45" t="s">
        <v>21</v>
      </c>
      <c r="X59" s="44" t="s">
        <v>22</v>
      </c>
      <c r="Y59" s="152" t="s">
        <v>23</v>
      </c>
      <c r="Z59" s="38" t="s">
        <v>24</v>
      </c>
      <c r="AA59" s="45" t="s">
        <v>25</v>
      </c>
      <c r="AB59" s="43" t="s">
        <v>26</v>
      </c>
      <c r="AC59" s="152" t="s">
        <v>27</v>
      </c>
      <c r="AD59" s="38" t="s">
        <v>28</v>
      </c>
      <c r="AE59" s="45" t="s">
        <v>29</v>
      </c>
      <c r="AF59" s="44" t="s">
        <v>30</v>
      </c>
      <c r="AG59" s="152" t="s">
        <v>31</v>
      </c>
      <c r="AH59" s="38" t="s">
        <v>32</v>
      </c>
      <c r="AI59" s="45" t="s">
        <v>33</v>
      </c>
      <c r="AJ59" s="43" t="s">
        <v>34</v>
      </c>
      <c r="AK59" s="152" t="s">
        <v>35</v>
      </c>
      <c r="AL59" s="38" t="s">
        <v>36</v>
      </c>
      <c r="AM59" s="45" t="s">
        <v>37</v>
      </c>
      <c r="AN59" s="44" t="s">
        <v>38</v>
      </c>
      <c r="AO59" s="152" t="s">
        <v>39</v>
      </c>
      <c r="AP59" s="38" t="s">
        <v>40</v>
      </c>
      <c r="AQ59" s="45" t="s">
        <v>41</v>
      </c>
      <c r="AR59" s="43" t="s">
        <v>42</v>
      </c>
      <c r="AS59" s="152" t="s">
        <v>43</v>
      </c>
      <c r="AT59" s="38" t="s">
        <v>44</v>
      </c>
      <c r="AU59" s="45" t="s">
        <v>45</v>
      </c>
      <c r="AV59" s="44" t="s">
        <v>46</v>
      </c>
      <c r="AW59" s="152" t="s">
        <v>47</v>
      </c>
      <c r="AX59" s="38" t="s">
        <v>48</v>
      </c>
      <c r="AY59" s="45" t="s">
        <v>49</v>
      </c>
      <c r="AZ59" s="43" t="s">
        <v>50</v>
      </c>
      <c r="BA59" s="152" t="s">
        <v>51</v>
      </c>
      <c r="BB59" s="38" t="s">
        <v>52</v>
      </c>
      <c r="BC59" s="45" t="s">
        <v>53</v>
      </c>
      <c r="BD59" s="44" t="s">
        <v>54</v>
      </c>
      <c r="BE59" s="152" t="s">
        <v>55</v>
      </c>
      <c r="BF59" s="38" t="s">
        <v>56</v>
      </c>
      <c r="BG59" s="45" t="s">
        <v>57</v>
      </c>
      <c r="BH59" s="122">
        <v>2026.0</v>
      </c>
      <c r="BI59" s="37" t="s">
        <v>58</v>
      </c>
      <c r="BJ59" s="47" t="s">
        <v>59</v>
      </c>
      <c r="BK59" s="48">
        <v>2025.0</v>
      </c>
      <c r="BL59" s="49"/>
      <c r="BM59" s="3"/>
      <c r="BN59" s="3"/>
      <c r="BO59" s="3"/>
      <c r="BP59" s="3"/>
      <c r="BQ59" s="3"/>
      <c r="BR59" s="3"/>
    </row>
    <row r="60" ht="15.75" customHeight="1">
      <c r="A60" s="1"/>
      <c r="B60" s="105">
        <v>10.0</v>
      </c>
      <c r="C60" s="106" t="s">
        <v>84</v>
      </c>
      <c r="D60" s="107">
        <f>3000*12*8</f>
        <v>288000</v>
      </c>
      <c r="E60" s="144">
        <v>100.0</v>
      </c>
      <c r="F60" s="109">
        <f>E60*D60</f>
        <v>28800000</v>
      </c>
      <c r="G60" s="110">
        <v>195455.89999999918</v>
      </c>
      <c r="H60" s="111">
        <v>1727.0</v>
      </c>
      <c r="I60" s="112">
        <v>113.17654892877775</v>
      </c>
      <c r="J60" s="50" t="s">
        <v>61</v>
      </c>
      <c r="K60" s="51"/>
      <c r="L60" s="52" t="s">
        <v>60</v>
      </c>
      <c r="M60" s="53" t="s">
        <v>60</v>
      </c>
      <c r="N60" s="54" t="s">
        <v>60</v>
      </c>
      <c r="O60" s="55" t="s">
        <v>62</v>
      </c>
      <c r="P60" s="52" t="s">
        <v>60</v>
      </c>
      <c r="Q60" s="154" t="s">
        <v>60</v>
      </c>
      <c r="R60" s="54" t="s">
        <v>60</v>
      </c>
      <c r="S60" s="57" t="s">
        <v>62</v>
      </c>
      <c r="T60" s="58">
        <v>0.015</v>
      </c>
      <c r="U60" s="59">
        <f>U61/(BH61-(L61 + P61))</f>
        <v>0.01945941389</v>
      </c>
      <c r="V60" s="54" t="s">
        <v>60</v>
      </c>
      <c r="W60" s="55" t="s">
        <v>62</v>
      </c>
      <c r="X60" s="58">
        <v>0.015</v>
      </c>
      <c r="Y60" s="59">
        <f>Y61/(BH61-(P61 + T61))</f>
        <v>0.0175620812</v>
      </c>
      <c r="Z60" s="54" t="s">
        <v>60</v>
      </c>
      <c r="AA60" s="55" t="s">
        <v>62</v>
      </c>
      <c r="AB60" s="58">
        <v>0.02</v>
      </c>
      <c r="AC60" s="59">
        <f>AC61/(BH61-(L61+P61))</f>
        <v>0.01496113121</v>
      </c>
      <c r="AD60" s="54" t="s">
        <v>60</v>
      </c>
      <c r="AE60" s="55" t="s">
        <v>62</v>
      </c>
      <c r="AF60" s="58">
        <v>0.04</v>
      </c>
      <c r="AG60" s="59">
        <f>AG61/(BH61-(L61+P61))</f>
        <v>0.008327600183</v>
      </c>
      <c r="AH60" s="54" t="s">
        <v>60</v>
      </c>
      <c r="AI60" s="55" t="s">
        <v>62</v>
      </c>
      <c r="AJ60" s="58">
        <v>0.06</v>
      </c>
      <c r="AK60" s="59">
        <f>AK61/(BH61-(L61+P61))</f>
        <v>0</v>
      </c>
      <c r="AL60" s="54" t="s">
        <v>60</v>
      </c>
      <c r="AM60" s="55" t="s">
        <v>62</v>
      </c>
      <c r="AN60" s="58">
        <v>0.12</v>
      </c>
      <c r="AO60" s="59">
        <f>AO61/(BH61-(L61+P61))</f>
        <v>0</v>
      </c>
      <c r="AP60" s="54" t="s">
        <v>60</v>
      </c>
      <c r="AQ60" s="55" t="s">
        <v>62</v>
      </c>
      <c r="AR60" s="58">
        <v>0.15</v>
      </c>
      <c r="AS60" s="59">
        <f>AS61/(BH61-(L61+P61))</f>
        <v>0</v>
      </c>
      <c r="AT60" s="54" t="s">
        <v>60</v>
      </c>
      <c r="AU60" s="55" t="s">
        <v>62</v>
      </c>
      <c r="AV60" s="58">
        <v>0.18</v>
      </c>
      <c r="AW60" s="59">
        <f>AW61/(BH61-(L61+P61))</f>
        <v>0</v>
      </c>
      <c r="AX60" s="54" t="s">
        <v>60</v>
      </c>
      <c r="AY60" s="55" t="s">
        <v>62</v>
      </c>
      <c r="AZ60" s="58">
        <v>0.22</v>
      </c>
      <c r="BA60" s="59">
        <f>BA61/(BH61-(L61+P61))</f>
        <v>0</v>
      </c>
      <c r="BB60" s="54" t="s">
        <v>60</v>
      </c>
      <c r="BC60" s="55" t="s">
        <v>62</v>
      </c>
      <c r="BD60" s="58">
        <v>0.18</v>
      </c>
      <c r="BE60" s="59">
        <f>BE61/(BH61-(L61+P61))</f>
        <v>0</v>
      </c>
      <c r="BF60" s="54" t="s">
        <v>60</v>
      </c>
      <c r="BG60" s="55" t="s">
        <v>62</v>
      </c>
      <c r="BH60" s="165">
        <f t="shared" ref="BH60:BI60" si="346">SUM(T60,X60,AB60,AF60,AJ60,AN60,AR60,AV60,AZ60,BD60)</f>
        <v>1</v>
      </c>
      <c r="BI60" s="61">
        <f t="shared" si="346"/>
        <v>0.06031022648</v>
      </c>
      <c r="BJ60" s="62"/>
      <c r="BK60" s="63" t="s">
        <v>60</v>
      </c>
      <c r="BL60" s="64"/>
      <c r="BM60" s="3"/>
      <c r="BN60" s="3"/>
      <c r="BO60" s="3"/>
      <c r="BP60" s="3"/>
      <c r="BQ60" s="3"/>
      <c r="BR60" s="3"/>
    </row>
    <row r="61" ht="15.75" customHeight="1">
      <c r="A61" s="1"/>
      <c r="B61" s="105"/>
      <c r="C61" s="106"/>
      <c r="D61" s="107"/>
      <c r="E61" s="144"/>
      <c r="F61" s="109"/>
      <c r="G61" s="110"/>
      <c r="H61" s="111"/>
      <c r="I61" s="112"/>
      <c r="J61" s="50" t="s">
        <v>63</v>
      </c>
      <c r="K61" s="51"/>
      <c r="L61" s="127">
        <v>159323.5</v>
      </c>
      <c r="M61" s="66">
        <v>166359.97</v>
      </c>
      <c r="N61" s="67">
        <f t="shared" ref="N61:N64" si="347">IFERROR(M61-L61,"-")</f>
        <v>7036.47</v>
      </c>
      <c r="O61" s="68">
        <f t="shared" ref="O61:O64" si="348">IFERROR(M61/L61-1,"-")</f>
        <v>0.04416467125</v>
      </c>
      <c r="P61" s="127">
        <v>163059.0</v>
      </c>
      <c r="Q61" s="66">
        <v>168706.64</v>
      </c>
      <c r="R61" s="67">
        <f t="shared" ref="R61:R64" si="349">IFERROR(Q61-P61,"-")</f>
        <v>5647.64</v>
      </c>
      <c r="S61" s="70">
        <f t="shared" ref="S61:S64" si="350">IFERROR(Q61/P61-1,"-")</f>
        <v>0.03463556136</v>
      </c>
      <c r="T61" s="71">
        <f>($BH$61-($L$61+$P$61))*T60</f>
        <v>205164.2625</v>
      </c>
      <c r="U61" s="66">
        <v>266158.42</v>
      </c>
      <c r="V61" s="67">
        <f t="shared" ref="V61:V64" si="351">IFERROR(U61-T61,"-")</f>
        <v>60994.1575</v>
      </c>
      <c r="W61" s="68">
        <f t="shared" ref="W61:W64" si="352">IFERROR(U61/T61-1,"-")</f>
        <v>0.2972942595</v>
      </c>
      <c r="X61" s="71">
        <f>($BH$61-($L$61+$P$61))*X60</f>
        <v>205164.2625</v>
      </c>
      <c r="Y61" s="66">
        <v>239402.37</v>
      </c>
      <c r="Z61" s="67">
        <f t="shared" ref="Z61:Z64" si="353">IFERROR(Y61-X61,"-")</f>
        <v>34238.1075</v>
      </c>
      <c r="AA61" s="68">
        <f t="shared" ref="AA61:AA64" si="354">IFERROR(Y61/X61-1,"-")</f>
        <v>0.1668814397</v>
      </c>
      <c r="AB61" s="71">
        <f>($BH$61-($L$61+$P$61))*AB60</f>
        <v>273552.35</v>
      </c>
      <c r="AC61" s="66">
        <v>204632.63</v>
      </c>
      <c r="AD61" s="67">
        <f t="shared" ref="AD61:AD64" si="355">IFERROR(AC61-AB61,"-")</f>
        <v>-68919.72</v>
      </c>
      <c r="AE61" s="68">
        <f t="shared" ref="AE61:AE64" si="356">IFERROR(AC61/AB61-1,"-")</f>
        <v>-0.2519434397</v>
      </c>
      <c r="AF61" s="71">
        <f>($BH$61-($L$61+$P$61))*AF60</f>
        <v>547104.7</v>
      </c>
      <c r="AG61" s="73">
        <v>113901.73</v>
      </c>
      <c r="AH61" s="67">
        <f t="shared" ref="AH61:AH64" si="357">IFERROR(AG61-AF61,"-")</f>
        <v>-433202.97</v>
      </c>
      <c r="AI61" s="68">
        <f t="shared" ref="AI61:AI64" si="358">IFERROR(AG61/AF61-1,"-")</f>
        <v>-0.7918099954</v>
      </c>
      <c r="AJ61" s="71">
        <f>($BH$61-($L$61+$P$61))*AJ60</f>
        <v>820657.05</v>
      </c>
      <c r="AK61" s="66">
        <v>0.0</v>
      </c>
      <c r="AL61" s="67">
        <f t="shared" ref="AL61:AL64" si="359">IFERROR(AK61-AJ61,"-")</f>
        <v>-820657.05</v>
      </c>
      <c r="AM61" s="68">
        <f t="shared" ref="AM61:AM64" si="360">IFERROR(AK61/AJ61-1,"-")</f>
        <v>-1</v>
      </c>
      <c r="AN61" s="71">
        <f>($BH$61-($L$61+$P$61))*AN60</f>
        <v>1641314.1</v>
      </c>
      <c r="AO61" s="66">
        <v>0.0</v>
      </c>
      <c r="AP61" s="67">
        <f t="shared" ref="AP61:AP64" si="361">IFERROR(AO61-AN61,"-")</f>
        <v>-1641314.1</v>
      </c>
      <c r="AQ61" s="68">
        <f t="shared" ref="AQ61:AQ64" si="362">IFERROR(AO61/AN61-1,"-")</f>
        <v>-1</v>
      </c>
      <c r="AR61" s="71">
        <f>($BH$61-($L$61+$P$61))*AR60</f>
        <v>2051642.625</v>
      </c>
      <c r="AS61" s="66">
        <v>0.0</v>
      </c>
      <c r="AT61" s="67">
        <f t="shared" ref="AT61:AT64" si="363">IFERROR(AS61-AR61,"-")</f>
        <v>-2051642.625</v>
      </c>
      <c r="AU61" s="68">
        <f t="shared" ref="AU61:AU64" si="364">IFERROR(AS61/AR61-1,"-")</f>
        <v>-1</v>
      </c>
      <c r="AV61" s="71">
        <f>($BH$61-($L$61+$P$61))*AV60</f>
        <v>2461971.15</v>
      </c>
      <c r="AW61" s="66">
        <v>0.0</v>
      </c>
      <c r="AX61" s="67">
        <f t="shared" ref="AX61:AX64" si="365">IFERROR(AW61-AV61,"-")</f>
        <v>-2461971.15</v>
      </c>
      <c r="AY61" s="68">
        <f t="shared" ref="AY61:AY64" si="366">IFERROR(AW61/AV61-1,"-")</f>
        <v>-1</v>
      </c>
      <c r="AZ61" s="71">
        <f>($BH$61-($L$61+$P$61))*AZ60</f>
        <v>3009075.85</v>
      </c>
      <c r="BA61" s="66">
        <v>0.0</v>
      </c>
      <c r="BB61" s="67">
        <f t="shared" ref="BB61:BB64" si="367">IFERROR(BA61-AZ61,"-")</f>
        <v>-3009075.85</v>
      </c>
      <c r="BC61" s="68">
        <f t="shared" ref="BC61:BC64" si="368">IFERROR(BA61/AZ61-1,"-")</f>
        <v>-1</v>
      </c>
      <c r="BD61" s="71">
        <f>($BH$61-($L$61+$P$61))*BD60</f>
        <v>2461971.15</v>
      </c>
      <c r="BE61" s="66">
        <v>0.0</v>
      </c>
      <c r="BF61" s="67">
        <f t="shared" ref="BF61:BF64" si="369">IFERROR(BE61-BD61,"-")</f>
        <v>-2461971.15</v>
      </c>
      <c r="BG61" s="68">
        <f t="shared" ref="BG61:BG64" si="370">IFERROR(BE61/BD61-1,"-")</f>
        <v>-1</v>
      </c>
      <c r="BH61" s="166">
        <v>1.4E7</v>
      </c>
      <c r="BI61" s="75">
        <f>SUM(M61,Q61,U61,Y61,AC61,AG61,AK61,AO61,AS61,AW61,BA61,BE61)</f>
        <v>1159161.76</v>
      </c>
      <c r="BJ61" s="76">
        <f t="shared" ref="BJ61:BJ64" si="372">IFERROR(BI61/BH61-1,"-")</f>
        <v>-0.9172027314</v>
      </c>
      <c r="BK61" s="77">
        <v>1580676.0</v>
      </c>
      <c r="BL61" s="78">
        <f t="shared" ref="BL61:BL62" si="373">BH61/BK61</f>
        <v>8.856970056</v>
      </c>
      <c r="BM61" s="3"/>
      <c r="BN61" s="3"/>
      <c r="BO61" s="3"/>
      <c r="BP61" s="3"/>
      <c r="BQ61" s="3"/>
      <c r="BR61" s="3"/>
    </row>
    <row r="62" ht="15.75" customHeight="1">
      <c r="A62" s="1"/>
      <c r="B62" s="105"/>
      <c r="C62" s="106"/>
      <c r="D62" s="107"/>
      <c r="E62" s="144"/>
      <c r="F62" s="109"/>
      <c r="G62" s="110"/>
      <c r="H62" s="111"/>
      <c r="I62" s="112"/>
      <c r="J62" s="50" t="s">
        <v>64</v>
      </c>
      <c r="K62" s="79"/>
      <c r="L62" s="129">
        <f>L61/$K$63</f>
        <v>5310.783333</v>
      </c>
      <c r="M62" s="81">
        <v>5222.0</v>
      </c>
      <c r="N62" s="82">
        <f t="shared" si="347"/>
        <v>-88.78333333</v>
      </c>
      <c r="O62" s="68">
        <f t="shared" si="348"/>
        <v>-0.01671755893</v>
      </c>
      <c r="P62" s="129">
        <f>P61/$K$63</f>
        <v>5435.3</v>
      </c>
      <c r="Q62" s="81">
        <v>5242.0</v>
      </c>
      <c r="R62" s="82">
        <f t="shared" si="349"/>
        <v>-193.3</v>
      </c>
      <c r="S62" s="70">
        <f t="shared" si="350"/>
        <v>-0.03556381432</v>
      </c>
      <c r="T62" s="84">
        <f>T61/$K$63</f>
        <v>6838.80875</v>
      </c>
      <c r="U62" s="81">
        <v>9743.0</v>
      </c>
      <c r="V62" s="82">
        <f t="shared" si="351"/>
        <v>2904.19125</v>
      </c>
      <c r="W62" s="68">
        <f t="shared" si="352"/>
        <v>0.4246633231</v>
      </c>
      <c r="X62" s="84">
        <f>X61/$K$63</f>
        <v>6838.80875</v>
      </c>
      <c r="Y62" s="81">
        <v>9807.0</v>
      </c>
      <c r="Z62" s="82">
        <f t="shared" si="353"/>
        <v>2968.19125</v>
      </c>
      <c r="AA62" s="68">
        <f t="shared" si="354"/>
        <v>0.4340216781</v>
      </c>
      <c r="AB62" s="84">
        <f>AB61/$K$63</f>
        <v>9118.411667</v>
      </c>
      <c r="AC62" s="81">
        <v>7784.0</v>
      </c>
      <c r="AD62" s="82">
        <f t="shared" si="355"/>
        <v>-1334.411667</v>
      </c>
      <c r="AE62" s="68">
        <f t="shared" si="356"/>
        <v>-0.1463425556</v>
      </c>
      <c r="AF62" s="84">
        <f>AF61/$K$63</f>
        <v>18236.82333</v>
      </c>
      <c r="AG62" s="85">
        <v>3511.0</v>
      </c>
      <c r="AH62" s="82">
        <f t="shared" si="357"/>
        <v>-14725.82333</v>
      </c>
      <c r="AI62" s="68">
        <f t="shared" si="358"/>
        <v>-0.8074774353</v>
      </c>
      <c r="AJ62" s="84">
        <f>AJ61/$K$63</f>
        <v>27355.235</v>
      </c>
      <c r="AK62" s="81">
        <v>0.0</v>
      </c>
      <c r="AL62" s="82">
        <f t="shared" si="359"/>
        <v>-27355.235</v>
      </c>
      <c r="AM62" s="68">
        <f t="shared" si="360"/>
        <v>-1</v>
      </c>
      <c r="AN62" s="84">
        <f>AN61/$K$63</f>
        <v>54710.47</v>
      </c>
      <c r="AO62" s="81">
        <v>0.0</v>
      </c>
      <c r="AP62" s="82">
        <f t="shared" si="361"/>
        <v>-54710.47</v>
      </c>
      <c r="AQ62" s="68">
        <f t="shared" si="362"/>
        <v>-1</v>
      </c>
      <c r="AR62" s="84">
        <f>AR61/$K$63</f>
        <v>68388.0875</v>
      </c>
      <c r="AS62" s="81">
        <v>0.0</v>
      </c>
      <c r="AT62" s="82">
        <f t="shared" si="363"/>
        <v>-68388.0875</v>
      </c>
      <c r="AU62" s="68">
        <f t="shared" si="364"/>
        <v>-1</v>
      </c>
      <c r="AV62" s="84">
        <f>AV61/$K$63</f>
        <v>82065.705</v>
      </c>
      <c r="AW62" s="81">
        <v>0.0</v>
      </c>
      <c r="AX62" s="82">
        <f t="shared" si="365"/>
        <v>-82065.705</v>
      </c>
      <c r="AY62" s="68">
        <f t="shared" si="366"/>
        <v>-1</v>
      </c>
      <c r="AZ62" s="84">
        <f>AZ61/$K$63</f>
        <v>100302.5283</v>
      </c>
      <c r="BA62" s="81">
        <v>0.0</v>
      </c>
      <c r="BB62" s="82">
        <f t="shared" si="367"/>
        <v>-100302.5283</v>
      </c>
      <c r="BC62" s="68">
        <f t="shared" si="368"/>
        <v>-1</v>
      </c>
      <c r="BD62" s="84">
        <f>BD61/$K$63</f>
        <v>82065.705</v>
      </c>
      <c r="BE62" s="81">
        <v>0.0</v>
      </c>
      <c r="BF62" s="82">
        <f t="shared" si="369"/>
        <v>-82065.705</v>
      </c>
      <c r="BG62" s="68">
        <f t="shared" si="370"/>
        <v>-1</v>
      </c>
      <c r="BH62" s="167">
        <f t="shared" ref="BH62:BI62" si="371">SUM(L62,P62,T62,X62,AB62,AF62,AJ62,AN62,AR62,AV62,AZ62,BD62)</f>
        <v>466666.6667</v>
      </c>
      <c r="BI62" s="87">
        <f t="shared" si="371"/>
        <v>41309</v>
      </c>
      <c r="BJ62" s="76">
        <f t="shared" si="372"/>
        <v>-0.9114807143</v>
      </c>
      <c r="BK62" s="88">
        <v>66013.0</v>
      </c>
      <c r="BL62" s="78">
        <f t="shared" si="373"/>
        <v>7.06931463</v>
      </c>
      <c r="BM62" s="3"/>
      <c r="BN62" s="3"/>
      <c r="BO62" s="3"/>
      <c r="BP62" s="3"/>
      <c r="BQ62" s="3"/>
      <c r="BR62" s="3"/>
    </row>
    <row r="63" ht="15.75" customHeight="1">
      <c r="A63" s="1"/>
      <c r="B63" s="105"/>
      <c r="C63" s="106"/>
      <c r="D63" s="107"/>
      <c r="E63" s="144"/>
      <c r="F63" s="109"/>
      <c r="G63" s="110"/>
      <c r="H63" s="111"/>
      <c r="I63" s="112"/>
      <c r="J63" s="50" t="s">
        <v>65</v>
      </c>
      <c r="K63" s="79">
        <v>30.0</v>
      </c>
      <c r="L63" s="129">
        <f>L61/L62</f>
        <v>30</v>
      </c>
      <c r="M63" s="66">
        <f>IFERROR(M61/M62,"-")</f>
        <v>31.85752011</v>
      </c>
      <c r="N63" s="67">
        <f t="shared" si="347"/>
        <v>1.857520107</v>
      </c>
      <c r="O63" s="68">
        <f t="shared" si="348"/>
        <v>0.06191733691</v>
      </c>
      <c r="P63" s="65">
        <f t="shared" ref="P63:Q63" si="374">IFERROR(P61/P62,"-")</f>
        <v>30</v>
      </c>
      <c r="Q63" s="66">
        <f t="shared" si="374"/>
        <v>32.18363983</v>
      </c>
      <c r="R63" s="67">
        <f t="shared" si="349"/>
        <v>2.183639832</v>
      </c>
      <c r="S63" s="70">
        <f t="shared" si="350"/>
        <v>0.0727879944</v>
      </c>
      <c r="T63" s="84">
        <f>T61/T62</f>
        <v>30</v>
      </c>
      <c r="U63" s="66">
        <f>IFERROR(U61/U62,"-")</f>
        <v>27.31791235</v>
      </c>
      <c r="V63" s="67">
        <f t="shared" si="351"/>
        <v>-2.682087653</v>
      </c>
      <c r="W63" s="68">
        <f t="shared" si="352"/>
        <v>-0.08940292176</v>
      </c>
      <c r="X63" s="71">
        <f t="shared" ref="X63:Y63" si="375">IFERROR(X61/X62,"-")</f>
        <v>30</v>
      </c>
      <c r="Y63" s="66">
        <f t="shared" si="375"/>
        <v>24.41137657</v>
      </c>
      <c r="Z63" s="67">
        <f t="shared" si="353"/>
        <v>-5.588623432</v>
      </c>
      <c r="AA63" s="68">
        <f t="shared" si="354"/>
        <v>-0.1862874477</v>
      </c>
      <c r="AB63" s="84">
        <f>AB61/AB62</f>
        <v>30</v>
      </c>
      <c r="AC63" s="66">
        <f>IFERROR(AC61/AC62,"-")</f>
        <v>26.28887847</v>
      </c>
      <c r="AD63" s="67">
        <f t="shared" si="355"/>
        <v>-3.711121531</v>
      </c>
      <c r="AE63" s="68">
        <f t="shared" si="356"/>
        <v>-0.123704051</v>
      </c>
      <c r="AF63" s="84">
        <f>AF61/AF62</f>
        <v>30</v>
      </c>
      <c r="AG63" s="66">
        <f>IFERROR(AG61/AG62,"-")</f>
        <v>32.44139277</v>
      </c>
      <c r="AH63" s="67">
        <f t="shared" si="357"/>
        <v>2.441392766</v>
      </c>
      <c r="AI63" s="68">
        <f t="shared" si="358"/>
        <v>0.08137975885</v>
      </c>
      <c r="AJ63" s="84">
        <f>AJ61/AJ62</f>
        <v>30</v>
      </c>
      <c r="AK63" s="66" t="str">
        <f>IFERROR(AK61/AK62,"-")</f>
        <v>-</v>
      </c>
      <c r="AL63" s="67" t="str">
        <f t="shared" si="359"/>
        <v>-</v>
      </c>
      <c r="AM63" s="68" t="str">
        <f t="shared" si="360"/>
        <v>-</v>
      </c>
      <c r="AN63" s="84">
        <f>AN61/AN62</f>
        <v>30</v>
      </c>
      <c r="AO63" s="66" t="str">
        <f>IFERROR(AO61/AO62,"-")</f>
        <v>-</v>
      </c>
      <c r="AP63" s="67" t="str">
        <f t="shared" si="361"/>
        <v>-</v>
      </c>
      <c r="AQ63" s="68" t="str">
        <f t="shared" si="362"/>
        <v>-</v>
      </c>
      <c r="AR63" s="84">
        <f>AR61/AR62</f>
        <v>30</v>
      </c>
      <c r="AS63" s="66" t="str">
        <f>IFERROR(AS61/AS62,"-")</f>
        <v>-</v>
      </c>
      <c r="AT63" s="67" t="str">
        <f t="shared" si="363"/>
        <v>-</v>
      </c>
      <c r="AU63" s="68" t="str">
        <f t="shared" si="364"/>
        <v>-</v>
      </c>
      <c r="AV63" s="84">
        <f>AV61/AV62</f>
        <v>30</v>
      </c>
      <c r="AW63" s="66" t="str">
        <f>IFERROR(AW61/AW62,"-")</f>
        <v>-</v>
      </c>
      <c r="AX63" s="67" t="str">
        <f t="shared" si="365"/>
        <v>-</v>
      </c>
      <c r="AY63" s="68" t="str">
        <f t="shared" si="366"/>
        <v>-</v>
      </c>
      <c r="AZ63" s="84">
        <f>AZ61/AZ62</f>
        <v>30</v>
      </c>
      <c r="BA63" s="66" t="str">
        <f>IFERROR(BA61/BA62,"-")</f>
        <v>-</v>
      </c>
      <c r="BB63" s="67" t="str">
        <f t="shared" si="367"/>
        <v>-</v>
      </c>
      <c r="BC63" s="68" t="str">
        <f t="shared" si="368"/>
        <v>-</v>
      </c>
      <c r="BD63" s="84">
        <f>BD61/BD62</f>
        <v>30</v>
      </c>
      <c r="BE63" s="66" t="str">
        <f>IFERROR(BE61/BE62,"-")</f>
        <v>-</v>
      </c>
      <c r="BF63" s="67" t="str">
        <f t="shared" si="369"/>
        <v>-</v>
      </c>
      <c r="BG63" s="68" t="str">
        <f t="shared" si="370"/>
        <v>-</v>
      </c>
      <c r="BH63" s="168">
        <f t="shared" ref="BH63:BI63" si="376">BH61/BH62</f>
        <v>30</v>
      </c>
      <c r="BI63" s="90">
        <f t="shared" si="376"/>
        <v>28.06075577</v>
      </c>
      <c r="BJ63" s="76">
        <f t="shared" si="372"/>
        <v>-0.06464147442</v>
      </c>
      <c r="BK63" s="88">
        <f>BK61/BK62</f>
        <v>23.94491994</v>
      </c>
      <c r="BL63" s="78">
        <f>BH63/BK63-1</f>
        <v>0.2528753521</v>
      </c>
      <c r="BM63" s="3"/>
      <c r="BN63" s="3"/>
      <c r="BO63" s="3"/>
      <c r="BP63" s="3"/>
      <c r="BQ63" s="3"/>
      <c r="BR63" s="3"/>
    </row>
    <row r="64" ht="15.75" customHeight="1">
      <c r="A64" s="1"/>
      <c r="B64" s="105"/>
      <c r="C64" s="106"/>
      <c r="D64" s="107"/>
      <c r="E64" s="144"/>
      <c r="F64" s="109"/>
      <c r="G64" s="110"/>
      <c r="H64" s="111"/>
      <c r="I64" s="112"/>
      <c r="J64" s="91" t="s">
        <v>66</v>
      </c>
      <c r="K64" s="92">
        <v>0.04</v>
      </c>
      <c r="L64" s="99">
        <f t="shared" ref="L64:M64" si="377">IF(L61&gt;=1000000,$K$64*L61,0)</f>
        <v>0</v>
      </c>
      <c r="M64" s="94">
        <f t="shared" si="377"/>
        <v>0</v>
      </c>
      <c r="N64" s="95">
        <f t="shared" si="347"/>
        <v>0</v>
      </c>
      <c r="O64" s="96" t="str">
        <f t="shared" si="348"/>
        <v>-</v>
      </c>
      <c r="P64" s="99">
        <f t="shared" ref="P64:Q64" si="378">IF(P61&gt;=1000000,$K$64*P61,0)</f>
        <v>0</v>
      </c>
      <c r="Q64" s="94">
        <f t="shared" si="378"/>
        <v>0</v>
      </c>
      <c r="R64" s="95">
        <f t="shared" si="349"/>
        <v>0</v>
      </c>
      <c r="S64" s="98" t="str">
        <f t="shared" si="350"/>
        <v>-</v>
      </c>
      <c r="T64" s="99">
        <f t="shared" ref="T64:U64" si="379">IF(T61&gt;=1000000,$K$64*T61,0)</f>
        <v>0</v>
      </c>
      <c r="U64" s="94">
        <f t="shared" si="379"/>
        <v>0</v>
      </c>
      <c r="V64" s="95">
        <f t="shared" si="351"/>
        <v>0</v>
      </c>
      <c r="W64" s="96" t="str">
        <f t="shared" si="352"/>
        <v>-</v>
      </c>
      <c r="X64" s="99">
        <f t="shared" ref="X64:Y64" si="380">IF(X61&gt;=1000000,$K$64*X61,0)</f>
        <v>0</v>
      </c>
      <c r="Y64" s="94">
        <f t="shared" si="380"/>
        <v>0</v>
      </c>
      <c r="Z64" s="95">
        <f t="shared" si="353"/>
        <v>0</v>
      </c>
      <c r="AA64" s="96" t="str">
        <f t="shared" si="354"/>
        <v>-</v>
      </c>
      <c r="AB64" s="99">
        <f t="shared" ref="AB64:AC64" si="381">IF(AB61&gt;=1000000,$K$64*AB61,0)</f>
        <v>0</v>
      </c>
      <c r="AC64" s="94">
        <f t="shared" si="381"/>
        <v>0</v>
      </c>
      <c r="AD64" s="95">
        <f t="shared" si="355"/>
        <v>0</v>
      </c>
      <c r="AE64" s="96" t="str">
        <f t="shared" si="356"/>
        <v>-</v>
      </c>
      <c r="AF64" s="99">
        <f t="shared" ref="AF64:AG64" si="382">IF(AF61&gt;=1000000,$K$64*AF61,0)</f>
        <v>0</v>
      </c>
      <c r="AG64" s="94">
        <f t="shared" si="382"/>
        <v>0</v>
      </c>
      <c r="AH64" s="95">
        <f t="shared" si="357"/>
        <v>0</v>
      </c>
      <c r="AI64" s="96" t="str">
        <f t="shared" si="358"/>
        <v>-</v>
      </c>
      <c r="AJ64" s="99">
        <f t="shared" ref="AJ64:AK64" si="383">IF(AJ61&gt;=1000000,$K$64*AJ61,0)</f>
        <v>0</v>
      </c>
      <c r="AK64" s="94">
        <f t="shared" si="383"/>
        <v>0</v>
      </c>
      <c r="AL64" s="95">
        <f t="shared" si="359"/>
        <v>0</v>
      </c>
      <c r="AM64" s="96" t="str">
        <f t="shared" si="360"/>
        <v>-</v>
      </c>
      <c r="AN64" s="99">
        <f t="shared" ref="AN64:AO64" si="384">IF(AN61&gt;=1000000,$K$64*AN61,0)</f>
        <v>65652.564</v>
      </c>
      <c r="AO64" s="94">
        <f t="shared" si="384"/>
        <v>0</v>
      </c>
      <c r="AP64" s="95">
        <f t="shared" si="361"/>
        <v>-65652.564</v>
      </c>
      <c r="AQ64" s="96">
        <f t="shared" si="362"/>
        <v>-1</v>
      </c>
      <c r="AR64" s="99">
        <f t="shared" ref="AR64:AS64" si="385">IF(AR61&gt;=1000000,$K$64*AR61,0)</f>
        <v>82065.705</v>
      </c>
      <c r="AS64" s="94">
        <f t="shared" si="385"/>
        <v>0</v>
      </c>
      <c r="AT64" s="95">
        <f t="shared" si="363"/>
        <v>-82065.705</v>
      </c>
      <c r="AU64" s="96">
        <f t="shared" si="364"/>
        <v>-1</v>
      </c>
      <c r="AV64" s="99">
        <f t="shared" ref="AV64:AW64" si="386">IF(AV61&gt;=1000000,$K$64*AV61,0)</f>
        <v>98478.846</v>
      </c>
      <c r="AW64" s="94">
        <f t="shared" si="386"/>
        <v>0</v>
      </c>
      <c r="AX64" s="95">
        <f t="shared" si="365"/>
        <v>-98478.846</v>
      </c>
      <c r="AY64" s="96">
        <f t="shared" si="366"/>
        <v>-1</v>
      </c>
      <c r="AZ64" s="99">
        <f t="shared" ref="AZ64:BA64" si="387">IF(AZ61&gt;=1000000,$K$64*AZ61,0)</f>
        <v>120363.034</v>
      </c>
      <c r="BA64" s="94">
        <f t="shared" si="387"/>
        <v>0</v>
      </c>
      <c r="BB64" s="95">
        <f t="shared" si="367"/>
        <v>-120363.034</v>
      </c>
      <c r="BC64" s="96">
        <f t="shared" si="368"/>
        <v>-1</v>
      </c>
      <c r="BD64" s="99">
        <f t="shared" ref="BD64:BE64" si="388">IF(BD61&gt;=1000000,$K$64*BD61,0)</f>
        <v>98478.846</v>
      </c>
      <c r="BE64" s="94">
        <f t="shared" si="388"/>
        <v>0</v>
      </c>
      <c r="BF64" s="95">
        <f t="shared" si="369"/>
        <v>-98478.846</v>
      </c>
      <c r="BG64" s="96">
        <f t="shared" si="370"/>
        <v>-1</v>
      </c>
      <c r="BH64" s="169">
        <f t="shared" ref="BH64:BI64" si="389">SUM(L64,P64,T64,X64,AB64,AF64,AJ64,AN64,AR64,AV64,AZ64,BD64)</f>
        <v>465038.995</v>
      </c>
      <c r="BI64" s="101">
        <f t="shared" si="389"/>
        <v>0</v>
      </c>
      <c r="BJ64" s="102">
        <f t="shared" si="372"/>
        <v>-1</v>
      </c>
      <c r="BK64" s="103">
        <f>BK61*0.04</f>
        <v>63227.04</v>
      </c>
      <c r="BL64" s="104">
        <f>BH64/BK64</f>
        <v>7.355065096</v>
      </c>
      <c r="BM64" s="3"/>
      <c r="BN64" s="3"/>
      <c r="BO64" s="3"/>
      <c r="BP64" s="3"/>
      <c r="BQ64" s="3"/>
      <c r="BR64" s="3"/>
    </row>
    <row r="65" ht="15.75" customHeight="1">
      <c r="A65" s="1"/>
      <c r="B65" s="105"/>
      <c r="C65" s="106"/>
      <c r="D65" s="107"/>
      <c r="E65" s="144"/>
      <c r="F65" s="109"/>
      <c r="G65" s="110"/>
      <c r="H65" s="111"/>
      <c r="I65" s="112"/>
      <c r="J65" s="13"/>
      <c r="K65" s="113"/>
      <c r="L65" s="149"/>
      <c r="M65" s="149"/>
      <c r="N65" s="149"/>
      <c r="O65" s="149"/>
      <c r="P65" s="149"/>
      <c r="Q65" s="160"/>
      <c r="R65" s="149"/>
      <c r="S65" s="149"/>
      <c r="T65" s="149"/>
      <c r="U65" s="149"/>
      <c r="V65" s="149"/>
      <c r="W65" s="149"/>
      <c r="X65" s="176"/>
      <c r="Y65" s="14"/>
      <c r="Z65" s="15"/>
      <c r="AA65" s="3"/>
      <c r="AB65" s="3"/>
      <c r="AC65" s="3"/>
      <c r="AD65" s="3"/>
      <c r="AE65" s="3"/>
      <c r="AF65" s="3"/>
      <c r="AV65" s="138"/>
      <c r="AW65" s="25"/>
      <c r="AX65" s="139"/>
      <c r="AY65" s="25"/>
    </row>
    <row r="66" ht="15.75" customHeight="1">
      <c r="A66" s="1"/>
      <c r="B66" s="105"/>
      <c r="C66" s="106"/>
      <c r="D66" s="107"/>
      <c r="E66" s="144"/>
      <c r="F66" s="109"/>
      <c r="G66" s="110"/>
      <c r="H66" s="111"/>
      <c r="I66" s="112"/>
      <c r="J66" s="34" t="s">
        <v>85</v>
      </c>
      <c r="K66" s="35"/>
      <c r="L66" s="36" t="s">
        <v>10</v>
      </c>
      <c r="M66" s="37" t="s">
        <v>11</v>
      </c>
      <c r="N66" s="38" t="s">
        <v>12</v>
      </c>
      <c r="O66" s="39" t="s">
        <v>13</v>
      </c>
      <c r="P66" s="119" t="s">
        <v>14</v>
      </c>
      <c r="Q66" s="152" t="s">
        <v>15</v>
      </c>
      <c r="R66" s="38" t="s">
        <v>16</v>
      </c>
      <c r="S66" s="42" t="s">
        <v>17</v>
      </c>
      <c r="T66" s="43" t="s">
        <v>18</v>
      </c>
      <c r="U66" s="152" t="s">
        <v>19</v>
      </c>
      <c r="V66" s="38" t="s">
        <v>20</v>
      </c>
      <c r="W66" s="45" t="s">
        <v>21</v>
      </c>
      <c r="X66" s="44" t="s">
        <v>22</v>
      </c>
      <c r="Y66" s="152" t="s">
        <v>23</v>
      </c>
      <c r="Z66" s="38" t="s">
        <v>24</v>
      </c>
      <c r="AA66" s="45" t="s">
        <v>25</v>
      </c>
      <c r="AB66" s="43" t="s">
        <v>26</v>
      </c>
      <c r="AC66" s="152" t="s">
        <v>27</v>
      </c>
      <c r="AD66" s="38" t="s">
        <v>28</v>
      </c>
      <c r="AE66" s="45" t="s">
        <v>29</v>
      </c>
      <c r="AF66" s="44" t="s">
        <v>30</v>
      </c>
      <c r="AG66" s="152" t="s">
        <v>31</v>
      </c>
      <c r="AH66" s="38" t="s">
        <v>32</v>
      </c>
      <c r="AI66" s="45" t="s">
        <v>33</v>
      </c>
      <c r="AJ66" s="43" t="s">
        <v>34</v>
      </c>
      <c r="AK66" s="152" t="s">
        <v>35</v>
      </c>
      <c r="AL66" s="38" t="s">
        <v>36</v>
      </c>
      <c r="AM66" s="45" t="s">
        <v>37</v>
      </c>
      <c r="AN66" s="44" t="s">
        <v>38</v>
      </c>
      <c r="AO66" s="152" t="s">
        <v>39</v>
      </c>
      <c r="AP66" s="38" t="s">
        <v>40</v>
      </c>
      <c r="AQ66" s="45" t="s">
        <v>41</v>
      </c>
      <c r="AR66" s="43" t="s">
        <v>42</v>
      </c>
      <c r="AS66" s="152" t="s">
        <v>43</v>
      </c>
      <c r="AT66" s="38" t="s">
        <v>44</v>
      </c>
      <c r="AU66" s="45" t="s">
        <v>45</v>
      </c>
      <c r="AV66" s="44" t="s">
        <v>46</v>
      </c>
      <c r="AW66" s="152" t="s">
        <v>47</v>
      </c>
      <c r="AX66" s="38" t="s">
        <v>48</v>
      </c>
      <c r="AY66" s="45" t="s">
        <v>49</v>
      </c>
      <c r="AZ66" s="43" t="s">
        <v>50</v>
      </c>
      <c r="BA66" s="152" t="s">
        <v>51</v>
      </c>
      <c r="BB66" s="38" t="s">
        <v>52</v>
      </c>
      <c r="BC66" s="45" t="s">
        <v>53</v>
      </c>
      <c r="BD66" s="153" t="s">
        <v>54</v>
      </c>
      <c r="BE66" s="152" t="s">
        <v>55</v>
      </c>
      <c r="BF66" s="38" t="s">
        <v>56</v>
      </c>
      <c r="BG66" s="42" t="s">
        <v>57</v>
      </c>
      <c r="BH66" s="46">
        <v>2026.0</v>
      </c>
      <c r="BI66" s="37" t="s">
        <v>58</v>
      </c>
      <c r="BJ66" s="47" t="s">
        <v>59</v>
      </c>
      <c r="BK66" s="48">
        <v>2025.0</v>
      </c>
      <c r="BL66" s="49"/>
      <c r="BM66" s="3"/>
      <c r="BN66" s="3"/>
      <c r="BO66" s="3"/>
      <c r="BP66" s="3"/>
      <c r="BQ66" s="3"/>
      <c r="BR66" s="3"/>
    </row>
    <row r="67" ht="15.75" customHeight="1">
      <c r="A67" s="1"/>
      <c r="B67" s="105">
        <v>11.0</v>
      </c>
      <c r="C67" s="106" t="s">
        <v>86</v>
      </c>
      <c r="D67" s="107">
        <f>80000*12</f>
        <v>960000</v>
      </c>
      <c r="E67" s="144">
        <v>60.0</v>
      </c>
      <c r="F67" s="109">
        <f>E67*D67</f>
        <v>57600000</v>
      </c>
      <c r="G67" s="110">
        <v>409141.4900000167</v>
      </c>
      <c r="H67" s="111">
        <v>13480.0</v>
      </c>
      <c r="I67" s="112">
        <v>30.351742581603613</v>
      </c>
      <c r="J67" s="50" t="s">
        <v>61</v>
      </c>
      <c r="K67" s="51"/>
      <c r="L67" s="52" t="s">
        <v>60</v>
      </c>
      <c r="M67" s="53" t="s">
        <v>60</v>
      </c>
      <c r="N67" s="54" t="s">
        <v>60</v>
      </c>
      <c r="O67" s="55" t="s">
        <v>62</v>
      </c>
      <c r="P67" s="52" t="s">
        <v>60</v>
      </c>
      <c r="Q67" s="154" t="s">
        <v>60</v>
      </c>
      <c r="R67" s="54" t="s">
        <v>60</v>
      </c>
      <c r="S67" s="57" t="s">
        <v>62</v>
      </c>
      <c r="T67" s="58">
        <v>0.03</v>
      </c>
      <c r="U67" s="59">
        <f>U68/(BH68-(L68 + P68))</f>
        <v>0.0133757937</v>
      </c>
      <c r="V67" s="54" t="s">
        <v>60</v>
      </c>
      <c r="W67" s="55" t="s">
        <v>62</v>
      </c>
      <c r="X67" s="58">
        <v>0.03</v>
      </c>
      <c r="Y67" s="59">
        <f>Y68/(BH68-(L68+P68))</f>
        <v>0.01387795601</v>
      </c>
      <c r="Z67" s="54" t="s">
        <v>60</v>
      </c>
      <c r="AA67" s="55" t="s">
        <v>62</v>
      </c>
      <c r="AB67" s="58">
        <v>0.05</v>
      </c>
      <c r="AC67" s="59">
        <f>AC68/(BH68-(L68+P68))</f>
        <v>0.01283346893</v>
      </c>
      <c r="AD67" s="54" t="s">
        <v>60</v>
      </c>
      <c r="AE67" s="55" t="s">
        <v>62</v>
      </c>
      <c r="AF67" s="58">
        <v>0.08</v>
      </c>
      <c r="AG67" s="59">
        <f>AG68/(BH68-(L68+P68))</f>
        <v>0.00466123449</v>
      </c>
      <c r="AH67" s="54" t="s">
        <v>60</v>
      </c>
      <c r="AI67" s="55" t="s">
        <v>62</v>
      </c>
      <c r="AJ67" s="58">
        <v>0.1</v>
      </c>
      <c r="AK67" s="59">
        <f>AK68/(BH68-(L68+P68))</f>
        <v>0</v>
      </c>
      <c r="AL67" s="54" t="s">
        <v>60</v>
      </c>
      <c r="AM67" s="55" t="s">
        <v>62</v>
      </c>
      <c r="AN67" s="58">
        <v>0.15</v>
      </c>
      <c r="AO67" s="59">
        <f>AO68/(BH68-(L68+P68))</f>
        <v>0</v>
      </c>
      <c r="AP67" s="54" t="s">
        <v>60</v>
      </c>
      <c r="AQ67" s="55" t="s">
        <v>62</v>
      </c>
      <c r="AR67" s="58">
        <v>0.15</v>
      </c>
      <c r="AS67" s="59">
        <f>AS68/(BH68-(L68+P68))</f>
        <v>0</v>
      </c>
      <c r="AT67" s="54" t="s">
        <v>60</v>
      </c>
      <c r="AU67" s="55" t="s">
        <v>62</v>
      </c>
      <c r="AV67" s="58">
        <v>0.12</v>
      </c>
      <c r="AW67" s="59">
        <f>AW68/(BH68-(L68+P68))</f>
        <v>0</v>
      </c>
      <c r="AX67" s="54" t="s">
        <v>60</v>
      </c>
      <c r="AY67" s="55" t="s">
        <v>62</v>
      </c>
      <c r="AZ67" s="58">
        <v>0.16</v>
      </c>
      <c r="BA67" s="59">
        <f>BA68/(BH68-(L68+P68))</f>
        <v>0</v>
      </c>
      <c r="BB67" s="54" t="s">
        <v>60</v>
      </c>
      <c r="BC67" s="55" t="s">
        <v>62</v>
      </c>
      <c r="BD67" s="155">
        <v>0.13</v>
      </c>
      <c r="BE67" s="59">
        <f>BE68/(BH68-(L68+P68))</f>
        <v>0</v>
      </c>
      <c r="BF67" s="54" t="s">
        <v>60</v>
      </c>
      <c r="BG67" s="57" t="s">
        <v>62</v>
      </c>
      <c r="BH67" s="60">
        <f t="shared" ref="BH67:BI67" si="390">SUM(T67,X67,AB67,AF67,AJ67,AN67,AR67,AV67,AZ67,BD67)</f>
        <v>1</v>
      </c>
      <c r="BI67" s="61">
        <f t="shared" si="390"/>
        <v>0.04474845312</v>
      </c>
      <c r="BJ67" s="62"/>
      <c r="BK67" s="63" t="s">
        <v>60</v>
      </c>
      <c r="BL67" s="64"/>
      <c r="BM67" s="3"/>
      <c r="BN67" s="3"/>
      <c r="BO67" s="3"/>
      <c r="BP67" s="3"/>
      <c r="BQ67" s="3"/>
      <c r="BR67" s="3"/>
    </row>
    <row r="68" ht="15.75" customHeight="1">
      <c r="A68" s="1"/>
      <c r="B68" s="105"/>
      <c r="C68" s="106"/>
      <c r="D68" s="107"/>
      <c r="E68" s="144"/>
      <c r="F68" s="109"/>
      <c r="G68" s="110"/>
      <c r="H68" s="111"/>
      <c r="I68" s="112"/>
      <c r="J68" s="50" t="s">
        <v>63</v>
      </c>
      <c r="K68" s="51"/>
      <c r="L68" s="127">
        <v>50234.0</v>
      </c>
      <c r="M68" s="66">
        <v>50234.24</v>
      </c>
      <c r="N68" s="67">
        <f t="shared" ref="N68:N71" si="391">IFERROR(M68-L68,"-")</f>
        <v>0.24</v>
      </c>
      <c r="O68" s="68">
        <f t="shared" ref="O68:O71" si="392">IFERROR(M68/L68-1,"-")</f>
        <v>0.000004777640642</v>
      </c>
      <c r="P68" s="127">
        <v>49484.0</v>
      </c>
      <c r="Q68" s="66">
        <v>48919.78</v>
      </c>
      <c r="R68" s="67">
        <f t="shared" ref="R68:R71" si="393">IFERROR(Q68-P68,"-")</f>
        <v>-564.22</v>
      </c>
      <c r="S68" s="70">
        <f t="shared" ref="S68:S71" si="394">IFERROR(Q68/P68-1,"-")</f>
        <v>-0.01140206936</v>
      </c>
      <c r="T68" s="71">
        <f>($BH$68-($L$68+$P$68))*T67</f>
        <v>57008.46</v>
      </c>
      <c r="U68" s="66">
        <v>25417.78</v>
      </c>
      <c r="V68" s="67">
        <f t="shared" ref="V68:V71" si="395">IFERROR(U68-T68,"-")</f>
        <v>-31590.68</v>
      </c>
      <c r="W68" s="68">
        <f t="shared" ref="W68:W71" si="396">IFERROR(U68/T68-1,"-")</f>
        <v>-0.5541402101</v>
      </c>
      <c r="X68" s="71">
        <f>($BH$68-($L$68+$P$68))*X67</f>
        <v>57008.46</v>
      </c>
      <c r="Y68" s="66">
        <v>26372.03</v>
      </c>
      <c r="Z68" s="67">
        <f t="shared" ref="Z68:Z71" si="397">IFERROR(Y68-X68,"-")</f>
        <v>-30636.43</v>
      </c>
      <c r="AA68" s="68">
        <f t="shared" ref="AA68:AA71" si="398">IFERROR(Y68/X68-1,"-")</f>
        <v>-0.5374014664</v>
      </c>
      <c r="AB68" s="71">
        <f>($BH$68-($L$68+$P$68))*AB67</f>
        <v>95014.1</v>
      </c>
      <c r="AC68" s="66">
        <v>24387.21</v>
      </c>
      <c r="AD68" s="67">
        <f t="shared" ref="AD68:AD71" si="399">IFERROR(AC68-AB68,"-")</f>
        <v>-70626.89</v>
      </c>
      <c r="AE68" s="68">
        <f t="shared" ref="AE68:AE71" si="400">IFERROR(AC68/AB68-1,"-")</f>
        <v>-0.7433306215</v>
      </c>
      <c r="AF68" s="71">
        <f>($BH$68-($L$68+$P$68))*AF67</f>
        <v>152022.56</v>
      </c>
      <c r="AG68" s="73">
        <v>8857.66</v>
      </c>
      <c r="AH68" s="67">
        <f t="shared" ref="AH68:AH71" si="401">IFERROR(AG68-AF68,"-")</f>
        <v>-143164.9</v>
      </c>
      <c r="AI68" s="68">
        <f t="shared" ref="AI68:AI71" si="402">IFERROR(AG68/AF68-1,"-")</f>
        <v>-0.9417345689</v>
      </c>
      <c r="AJ68" s="71">
        <f>($BH$68-($L$68+$P$68))*AJ67</f>
        <v>190028.2</v>
      </c>
      <c r="AK68" s="66">
        <v>0.0</v>
      </c>
      <c r="AL68" s="67">
        <f t="shared" ref="AL68:AL71" si="403">IFERROR(AK68-AJ68,"-")</f>
        <v>-190028.2</v>
      </c>
      <c r="AM68" s="68">
        <f t="shared" ref="AM68:AM71" si="404">IFERROR(AK68/AJ68-1,"-")</f>
        <v>-1</v>
      </c>
      <c r="AN68" s="71">
        <f>($BH$68-($L$68+$P$68))*AN67</f>
        <v>285042.3</v>
      </c>
      <c r="AO68" s="66">
        <v>0.0</v>
      </c>
      <c r="AP68" s="67">
        <f t="shared" ref="AP68:AP71" si="405">IFERROR(AO68-AN68,"-")</f>
        <v>-285042.3</v>
      </c>
      <c r="AQ68" s="68">
        <f t="shared" ref="AQ68:AQ71" si="406">IFERROR(AO68/AN68-1,"-")</f>
        <v>-1</v>
      </c>
      <c r="AR68" s="71">
        <f>($BH$68-($L$68+$P$68))*AR67</f>
        <v>285042.3</v>
      </c>
      <c r="AS68" s="177">
        <v>0.0</v>
      </c>
      <c r="AT68" s="67">
        <f t="shared" ref="AT68:AT71" si="407">IFERROR(AS68-AR68,"-")</f>
        <v>-285042.3</v>
      </c>
      <c r="AU68" s="68">
        <f t="shared" ref="AU68:AU71" si="408">IFERROR(AS68/AR68-1,"-")</f>
        <v>-1</v>
      </c>
      <c r="AV68" s="71">
        <f>($BH$68-($L$68+$P$68))*AV67</f>
        <v>228033.84</v>
      </c>
      <c r="AW68" s="66">
        <v>0.0</v>
      </c>
      <c r="AX68" s="67">
        <f t="shared" ref="AX68:AX71" si="409">IFERROR(AW68-AV68,"-")</f>
        <v>-228033.84</v>
      </c>
      <c r="AY68" s="68">
        <f t="shared" ref="AY68:AY71" si="410">IFERROR(AW68/AV68-1,"-")</f>
        <v>-1</v>
      </c>
      <c r="AZ68" s="71">
        <f>($BH$68-($L$68+$P$68))*AZ67</f>
        <v>304045.12</v>
      </c>
      <c r="BA68" s="66">
        <v>0.0</v>
      </c>
      <c r="BB68" s="67">
        <f t="shared" ref="BB68:BB71" si="411">IFERROR(BA68-AZ68,"-")</f>
        <v>-304045.12</v>
      </c>
      <c r="BC68" s="68">
        <f t="shared" ref="BC68:BC71" si="412">IFERROR(BA68/AZ68-1,"-")</f>
        <v>-1</v>
      </c>
      <c r="BD68" s="66">
        <f>($BH$68-($L$68+$P$68))*BD67</f>
        <v>247036.66</v>
      </c>
      <c r="BE68" s="66">
        <v>0.0</v>
      </c>
      <c r="BF68" s="67">
        <f t="shared" ref="BF68:BF71" si="413">IFERROR(BE68-BD68,"-")</f>
        <v>-247036.66</v>
      </c>
      <c r="BG68" s="70">
        <f t="shared" ref="BG68:BG71" si="414">IFERROR(BE68/BD68-1,"-")</f>
        <v>-1</v>
      </c>
      <c r="BH68" s="74">
        <v>2000000.0</v>
      </c>
      <c r="BI68" s="75">
        <f>SUM(M68,Q68,U68,Y68,AC68,AG68,AK68,AO68,AS68,AW68,BA68,BE68)</f>
        <v>184188.7</v>
      </c>
      <c r="BJ68" s="76">
        <f t="shared" ref="BJ68:BJ71" si="416">IFERROR(BI68/BH68-1,"-")</f>
        <v>-0.90790565</v>
      </c>
      <c r="BK68" s="77">
        <v>195455.9</v>
      </c>
      <c r="BL68" s="78">
        <f t="shared" ref="BL68:BL69" si="417">BH68/BK68</f>
        <v>10.23248723</v>
      </c>
      <c r="BM68" s="3"/>
      <c r="BN68" s="3"/>
      <c r="BO68" s="3"/>
      <c r="BP68" s="3"/>
      <c r="BQ68" s="3"/>
      <c r="BR68" s="3"/>
    </row>
    <row r="69" ht="15.75" customHeight="1">
      <c r="A69" s="1"/>
      <c r="B69" s="105"/>
      <c r="C69" s="106"/>
      <c r="D69" s="107"/>
      <c r="E69" s="144"/>
      <c r="F69" s="109"/>
      <c r="G69" s="110"/>
      <c r="H69" s="111"/>
      <c r="I69" s="112"/>
      <c r="J69" s="50" t="s">
        <v>64</v>
      </c>
      <c r="K69" s="79"/>
      <c r="L69" s="80">
        <f>L68/$K$70</f>
        <v>440.6491228</v>
      </c>
      <c r="M69" s="81">
        <v>430.0</v>
      </c>
      <c r="N69" s="82">
        <f t="shared" si="391"/>
        <v>-10.64912281</v>
      </c>
      <c r="O69" s="68">
        <f t="shared" si="392"/>
        <v>-0.02416689891</v>
      </c>
      <c r="P69" s="80">
        <f>P68/$K$70</f>
        <v>434.0701754</v>
      </c>
      <c r="Q69" s="81">
        <v>424.0</v>
      </c>
      <c r="R69" s="82">
        <f t="shared" si="393"/>
        <v>-10.07017544</v>
      </c>
      <c r="S69" s="70">
        <f t="shared" si="394"/>
        <v>-0.02319941799</v>
      </c>
      <c r="T69" s="84">
        <f>T68/$K$70</f>
        <v>500.0742105</v>
      </c>
      <c r="U69" s="81">
        <v>217.0</v>
      </c>
      <c r="V69" s="82">
        <f t="shared" si="395"/>
        <v>-283.0742105</v>
      </c>
      <c r="W69" s="68">
        <f t="shared" si="396"/>
        <v>-0.5660644052</v>
      </c>
      <c r="X69" s="84">
        <f>X68/$K$70</f>
        <v>500.0742105</v>
      </c>
      <c r="Y69" s="81">
        <v>249.0</v>
      </c>
      <c r="Z69" s="82">
        <f t="shared" si="397"/>
        <v>-251.0742105</v>
      </c>
      <c r="AA69" s="68">
        <f t="shared" si="398"/>
        <v>-0.5020739027</v>
      </c>
      <c r="AB69" s="84">
        <f>AB68/$K$70</f>
        <v>833.4570175</v>
      </c>
      <c r="AC69" s="81">
        <v>222.0</v>
      </c>
      <c r="AD69" s="82">
        <f t="shared" si="399"/>
        <v>-611.4570175</v>
      </c>
      <c r="AE69" s="68">
        <f t="shared" si="400"/>
        <v>-0.7336395335</v>
      </c>
      <c r="AF69" s="84">
        <f>AF68/$K$70</f>
        <v>1333.531228</v>
      </c>
      <c r="AG69" s="85">
        <v>86.0</v>
      </c>
      <c r="AH69" s="82">
        <f t="shared" si="401"/>
        <v>-1247.531228</v>
      </c>
      <c r="AI69" s="68">
        <f t="shared" si="402"/>
        <v>-0.9355095717</v>
      </c>
      <c r="AJ69" s="84">
        <f>AJ68/$K$70</f>
        <v>1666.914035</v>
      </c>
      <c r="AK69" s="81">
        <v>0.0</v>
      </c>
      <c r="AL69" s="82">
        <f t="shared" si="403"/>
        <v>-1666.914035</v>
      </c>
      <c r="AM69" s="68">
        <f t="shared" si="404"/>
        <v>-1</v>
      </c>
      <c r="AN69" s="84">
        <f>AN68/$K$70</f>
        <v>2500.371053</v>
      </c>
      <c r="AO69" s="81">
        <v>0.0</v>
      </c>
      <c r="AP69" s="82">
        <f t="shared" si="405"/>
        <v>-2500.371053</v>
      </c>
      <c r="AQ69" s="68">
        <f t="shared" si="406"/>
        <v>-1</v>
      </c>
      <c r="AR69" s="84">
        <f>AR68/$K$70</f>
        <v>2500.371053</v>
      </c>
      <c r="AS69" s="81">
        <v>0.0</v>
      </c>
      <c r="AT69" s="82">
        <f t="shared" si="407"/>
        <v>-2500.371053</v>
      </c>
      <c r="AU69" s="68">
        <f t="shared" si="408"/>
        <v>-1</v>
      </c>
      <c r="AV69" s="84">
        <f>AV68/$K$70</f>
        <v>2000.296842</v>
      </c>
      <c r="AW69" s="81">
        <v>0.0</v>
      </c>
      <c r="AX69" s="82">
        <f t="shared" si="409"/>
        <v>-2000.296842</v>
      </c>
      <c r="AY69" s="68">
        <f t="shared" si="410"/>
        <v>-1</v>
      </c>
      <c r="AZ69" s="84">
        <f>AZ68/$K$70</f>
        <v>2667.062456</v>
      </c>
      <c r="BA69" s="81">
        <v>0.0</v>
      </c>
      <c r="BB69" s="82">
        <f t="shared" si="411"/>
        <v>-2667.062456</v>
      </c>
      <c r="BC69" s="68">
        <f t="shared" si="412"/>
        <v>-1</v>
      </c>
      <c r="BD69" s="81">
        <f>BD68/$K$70</f>
        <v>2166.988246</v>
      </c>
      <c r="BE69" s="81">
        <v>0.0</v>
      </c>
      <c r="BF69" s="82">
        <f t="shared" si="413"/>
        <v>-2166.988246</v>
      </c>
      <c r="BG69" s="70">
        <f t="shared" si="414"/>
        <v>-1</v>
      </c>
      <c r="BH69" s="156">
        <f t="shared" ref="BH69:BI69" si="415">SUM(L69,P69,T69,X69,AB69,AF69,AJ69,AN69,AR69,AV69,AZ69,BD69)</f>
        <v>17543.85965</v>
      </c>
      <c r="BI69" s="87">
        <f t="shared" si="415"/>
        <v>1628</v>
      </c>
      <c r="BJ69" s="76">
        <f t="shared" si="416"/>
        <v>-0.907204</v>
      </c>
      <c r="BK69" s="88">
        <v>1727.0</v>
      </c>
      <c r="BL69" s="78">
        <f t="shared" si="417"/>
        <v>10.15857536</v>
      </c>
      <c r="BM69" s="3"/>
      <c r="BN69" s="3"/>
      <c r="BO69" s="3"/>
      <c r="BP69" s="3"/>
      <c r="BQ69" s="3"/>
      <c r="BR69" s="3"/>
    </row>
    <row r="70" ht="15.75" customHeight="1">
      <c r="A70" s="1"/>
      <c r="B70" s="105"/>
      <c r="C70" s="106"/>
      <c r="D70" s="107"/>
      <c r="E70" s="144"/>
      <c r="F70" s="109"/>
      <c r="G70" s="110"/>
      <c r="H70" s="111"/>
      <c r="I70" s="112"/>
      <c r="J70" s="50" t="s">
        <v>65</v>
      </c>
      <c r="K70" s="79">
        <v>114.0</v>
      </c>
      <c r="L70" s="129">
        <f>L68/L69</f>
        <v>114</v>
      </c>
      <c r="M70" s="66">
        <f>IFERROR(M68/M69,"-")</f>
        <v>116.823814</v>
      </c>
      <c r="N70" s="67">
        <f t="shared" si="391"/>
        <v>2.823813953</v>
      </c>
      <c r="O70" s="68">
        <f t="shared" si="392"/>
        <v>0.02477029784</v>
      </c>
      <c r="P70" s="65">
        <f t="shared" ref="P70:Q70" si="418">IFERROR(P68/P69,"-")</f>
        <v>114</v>
      </c>
      <c r="Q70" s="66">
        <f t="shared" si="418"/>
        <v>115.3768396</v>
      </c>
      <c r="R70" s="67">
        <f t="shared" si="393"/>
        <v>1.376839623</v>
      </c>
      <c r="S70" s="70">
        <f t="shared" si="394"/>
        <v>0.01207754055</v>
      </c>
      <c r="T70" s="84">
        <f>T68/T69</f>
        <v>114</v>
      </c>
      <c r="U70" s="66">
        <f>IFERROR(U68/U69,"-")</f>
        <v>117.1326267</v>
      </c>
      <c r="V70" s="67">
        <f t="shared" si="395"/>
        <v>3.132626728</v>
      </c>
      <c r="W70" s="68">
        <f t="shared" si="396"/>
        <v>0.02747918183</v>
      </c>
      <c r="X70" s="71">
        <f t="shared" ref="X70:Y70" si="419">IFERROR(X68/X69,"-")</f>
        <v>114</v>
      </c>
      <c r="Y70" s="66">
        <f t="shared" si="419"/>
        <v>105.9117671</v>
      </c>
      <c r="Z70" s="67">
        <f t="shared" si="397"/>
        <v>-8.088232932</v>
      </c>
      <c r="AA70" s="68">
        <f t="shared" si="398"/>
        <v>-0.07094941168</v>
      </c>
      <c r="AB70" s="84">
        <f>AB68/AB69</f>
        <v>114</v>
      </c>
      <c r="AC70" s="66">
        <f>IFERROR(AC68/AC69,"-")</f>
        <v>109.8522973</v>
      </c>
      <c r="AD70" s="67">
        <f t="shared" si="399"/>
        <v>-4.147702703</v>
      </c>
      <c r="AE70" s="68">
        <f t="shared" si="400"/>
        <v>-0.03638335704</v>
      </c>
      <c r="AF70" s="84">
        <f>AF68/AF69</f>
        <v>114</v>
      </c>
      <c r="AG70" s="66">
        <f>IFERROR(AG68/AG69,"-")</f>
        <v>102.9960465</v>
      </c>
      <c r="AH70" s="67">
        <f t="shared" si="401"/>
        <v>-11.00395349</v>
      </c>
      <c r="AI70" s="68">
        <f t="shared" si="402"/>
        <v>-0.09652590779</v>
      </c>
      <c r="AJ70" s="84">
        <f>AJ68/AJ69</f>
        <v>114</v>
      </c>
      <c r="AK70" s="66" t="str">
        <f>IFERROR(AK68/AK69,"-")</f>
        <v>-</v>
      </c>
      <c r="AL70" s="67" t="str">
        <f t="shared" si="403"/>
        <v>-</v>
      </c>
      <c r="AM70" s="68" t="str">
        <f t="shared" si="404"/>
        <v>-</v>
      </c>
      <c r="AN70" s="84">
        <f>AN68/AN69</f>
        <v>114</v>
      </c>
      <c r="AO70" s="66" t="str">
        <f>IFERROR(AO68/AO69,"-")</f>
        <v>-</v>
      </c>
      <c r="AP70" s="67" t="str">
        <f t="shared" si="405"/>
        <v>-</v>
      </c>
      <c r="AQ70" s="68" t="str">
        <f t="shared" si="406"/>
        <v>-</v>
      </c>
      <c r="AR70" s="84">
        <f>AR68/AR69</f>
        <v>114</v>
      </c>
      <c r="AS70" s="66" t="str">
        <f>IFERROR(AS68/AS69,"-")</f>
        <v>-</v>
      </c>
      <c r="AT70" s="67" t="str">
        <f t="shared" si="407"/>
        <v>-</v>
      </c>
      <c r="AU70" s="68" t="str">
        <f t="shared" si="408"/>
        <v>-</v>
      </c>
      <c r="AV70" s="84">
        <f>AV68/AV69</f>
        <v>114</v>
      </c>
      <c r="AW70" s="66" t="str">
        <f>IFERROR(AW68/AW69,"-")</f>
        <v>-</v>
      </c>
      <c r="AX70" s="67" t="str">
        <f t="shared" si="409"/>
        <v>-</v>
      </c>
      <c r="AY70" s="68" t="str">
        <f t="shared" si="410"/>
        <v>-</v>
      </c>
      <c r="AZ70" s="84">
        <f>AZ68/AZ69</f>
        <v>114</v>
      </c>
      <c r="BA70" s="66" t="str">
        <f>IFERROR(BA68/BA69,"-")</f>
        <v>-</v>
      </c>
      <c r="BB70" s="67" t="str">
        <f t="shared" si="411"/>
        <v>-</v>
      </c>
      <c r="BC70" s="68" t="str">
        <f t="shared" si="412"/>
        <v>-</v>
      </c>
      <c r="BD70" s="81">
        <f>BD68/BD69</f>
        <v>114</v>
      </c>
      <c r="BE70" s="66" t="str">
        <f>IFERROR(BE68/BE69,"-")</f>
        <v>-</v>
      </c>
      <c r="BF70" s="67" t="str">
        <f t="shared" si="413"/>
        <v>-</v>
      </c>
      <c r="BG70" s="70" t="str">
        <f t="shared" si="414"/>
        <v>-</v>
      </c>
      <c r="BH70" s="89">
        <f t="shared" ref="BH70:BI70" si="420">BH68/BH69</f>
        <v>114</v>
      </c>
      <c r="BI70" s="90">
        <f t="shared" si="420"/>
        <v>113.1380221</v>
      </c>
      <c r="BJ70" s="76">
        <f t="shared" si="416"/>
        <v>-0.007561209535</v>
      </c>
      <c r="BK70" s="88">
        <f>BK68/BK69</f>
        <v>113.1765489</v>
      </c>
      <c r="BL70" s="78">
        <f>BH70/BK70-1</f>
        <v>0.007275810042</v>
      </c>
      <c r="BM70" s="3"/>
      <c r="BN70" s="3"/>
      <c r="BO70" s="3"/>
      <c r="BP70" s="3"/>
      <c r="BQ70" s="3"/>
      <c r="BR70" s="3"/>
    </row>
    <row r="71" ht="15.75" customHeight="1">
      <c r="A71" s="1"/>
      <c r="B71" s="105"/>
      <c r="C71" s="106"/>
      <c r="D71" s="107"/>
      <c r="E71" s="144"/>
      <c r="F71" s="109"/>
      <c r="G71" s="110"/>
      <c r="H71" s="111"/>
      <c r="I71" s="112"/>
      <c r="J71" s="91" t="s">
        <v>66</v>
      </c>
      <c r="K71" s="92">
        <v>0.039</v>
      </c>
      <c r="L71" s="99">
        <f t="shared" ref="L71:M71" si="421">L68*$K$71</f>
        <v>1959.126</v>
      </c>
      <c r="M71" s="94">
        <f t="shared" si="421"/>
        <v>1959.13536</v>
      </c>
      <c r="N71" s="95">
        <f t="shared" si="391"/>
        <v>0.00936</v>
      </c>
      <c r="O71" s="96">
        <f t="shared" si="392"/>
        <v>0.000004777640642</v>
      </c>
      <c r="P71" s="99">
        <f t="shared" ref="P71:Q71" si="422">P68*$K$71</f>
        <v>1929.876</v>
      </c>
      <c r="Q71" s="94">
        <f t="shared" si="422"/>
        <v>1907.87142</v>
      </c>
      <c r="R71" s="95">
        <f t="shared" si="393"/>
        <v>-22.00458</v>
      </c>
      <c r="S71" s="98">
        <f t="shared" si="394"/>
        <v>-0.01140206936</v>
      </c>
      <c r="T71" s="99">
        <f t="shared" ref="T71:U71" si="423">T68*$K$71</f>
        <v>2223.32994</v>
      </c>
      <c r="U71" s="94">
        <f t="shared" si="423"/>
        <v>991.29342</v>
      </c>
      <c r="V71" s="95">
        <f t="shared" si="395"/>
        <v>-1232.03652</v>
      </c>
      <c r="W71" s="96">
        <f t="shared" si="396"/>
        <v>-0.5541402101</v>
      </c>
      <c r="X71" s="99">
        <f t="shared" ref="X71:Y71" si="424">X68*$K$71</f>
        <v>2223.32994</v>
      </c>
      <c r="Y71" s="94">
        <f t="shared" si="424"/>
        <v>1028.50917</v>
      </c>
      <c r="Z71" s="95">
        <f t="shared" si="397"/>
        <v>-1194.82077</v>
      </c>
      <c r="AA71" s="96">
        <f t="shared" si="398"/>
        <v>-0.5374014664</v>
      </c>
      <c r="AB71" s="99">
        <f t="shared" ref="AB71:AC71" si="425">AB68*$K$71</f>
        <v>3705.5499</v>
      </c>
      <c r="AC71" s="94">
        <f t="shared" si="425"/>
        <v>951.10119</v>
      </c>
      <c r="AD71" s="95">
        <f t="shared" si="399"/>
        <v>-2754.44871</v>
      </c>
      <c r="AE71" s="96">
        <f t="shared" si="400"/>
        <v>-0.7433306215</v>
      </c>
      <c r="AF71" s="99">
        <f t="shared" ref="AF71:AG71" si="426">AF68*$K$71</f>
        <v>5928.87984</v>
      </c>
      <c r="AG71" s="94">
        <f t="shared" si="426"/>
        <v>345.44874</v>
      </c>
      <c r="AH71" s="95">
        <f t="shared" si="401"/>
        <v>-5583.4311</v>
      </c>
      <c r="AI71" s="96">
        <f t="shared" si="402"/>
        <v>-0.9417345689</v>
      </c>
      <c r="AJ71" s="99">
        <f t="shared" ref="AJ71:AK71" si="427">AJ68*$K$71</f>
        <v>7411.0998</v>
      </c>
      <c r="AK71" s="94">
        <f t="shared" si="427"/>
        <v>0</v>
      </c>
      <c r="AL71" s="95">
        <f t="shared" si="403"/>
        <v>-7411.0998</v>
      </c>
      <c r="AM71" s="96">
        <f t="shared" si="404"/>
        <v>-1</v>
      </c>
      <c r="AN71" s="99">
        <f t="shared" ref="AN71:AO71" si="428">AN68*$K$71</f>
        <v>11116.6497</v>
      </c>
      <c r="AO71" s="94">
        <f t="shared" si="428"/>
        <v>0</v>
      </c>
      <c r="AP71" s="95">
        <f t="shared" si="405"/>
        <v>-11116.6497</v>
      </c>
      <c r="AQ71" s="96">
        <f t="shared" si="406"/>
        <v>-1</v>
      </c>
      <c r="AR71" s="99">
        <f t="shared" ref="AR71:AS71" si="429">AR68*$K$71</f>
        <v>11116.6497</v>
      </c>
      <c r="AS71" s="94">
        <f t="shared" si="429"/>
        <v>0</v>
      </c>
      <c r="AT71" s="95">
        <f t="shared" si="407"/>
        <v>-11116.6497</v>
      </c>
      <c r="AU71" s="96">
        <f t="shared" si="408"/>
        <v>-1</v>
      </c>
      <c r="AV71" s="99">
        <f t="shared" ref="AV71:AW71" si="430">AV68*$K$71</f>
        <v>8893.31976</v>
      </c>
      <c r="AW71" s="94">
        <f t="shared" si="430"/>
        <v>0</v>
      </c>
      <c r="AX71" s="95">
        <f t="shared" si="409"/>
        <v>-8893.31976</v>
      </c>
      <c r="AY71" s="96">
        <f t="shared" si="410"/>
        <v>-1</v>
      </c>
      <c r="AZ71" s="99">
        <f t="shared" ref="AZ71:BA71" si="431">AZ68*$K$71</f>
        <v>11857.75968</v>
      </c>
      <c r="BA71" s="94">
        <f t="shared" si="431"/>
        <v>0</v>
      </c>
      <c r="BB71" s="95">
        <f t="shared" si="411"/>
        <v>-11857.75968</v>
      </c>
      <c r="BC71" s="96">
        <f t="shared" si="412"/>
        <v>-1</v>
      </c>
      <c r="BD71" s="94">
        <f t="shared" ref="BD71:BE71" si="432">BD68*$K$71</f>
        <v>9634.42974</v>
      </c>
      <c r="BE71" s="94">
        <f t="shared" si="432"/>
        <v>0</v>
      </c>
      <c r="BF71" s="95">
        <f t="shared" si="413"/>
        <v>-9634.42974</v>
      </c>
      <c r="BG71" s="98">
        <f t="shared" si="414"/>
        <v>-1</v>
      </c>
      <c r="BH71" s="100">
        <f t="shared" ref="BH71:BI71" si="433">SUM(L71,P71,T71,X71,AB71,AF71,AJ71,AN71,AR71,AV71,AZ71,BD71)</f>
        <v>78000</v>
      </c>
      <c r="BI71" s="101">
        <f t="shared" si="433"/>
        <v>7183.3593</v>
      </c>
      <c r="BJ71" s="102">
        <f t="shared" si="416"/>
        <v>-0.90790565</v>
      </c>
      <c r="BK71" s="103">
        <f>BK68*$K$71+8*199</f>
        <v>9214.7801</v>
      </c>
      <c r="BL71" s="104">
        <f>BH71/BK71</f>
        <v>8.464662114</v>
      </c>
      <c r="BM71" s="3"/>
      <c r="BN71" s="3"/>
      <c r="BO71" s="3"/>
      <c r="BP71" s="3"/>
      <c r="BQ71" s="3"/>
      <c r="BR71" s="3"/>
    </row>
    <row r="72" ht="15.75" customHeight="1">
      <c r="A72" s="1"/>
      <c r="B72" s="105"/>
      <c r="C72" s="106"/>
      <c r="D72" s="107"/>
      <c r="E72" s="144"/>
      <c r="F72" s="109"/>
      <c r="G72" s="110"/>
      <c r="H72" s="111"/>
      <c r="I72" s="112"/>
      <c r="J72" s="12"/>
      <c r="K72" s="148"/>
      <c r="L72" s="136"/>
      <c r="M72" s="136"/>
      <c r="N72" s="136"/>
      <c r="O72" s="136"/>
      <c r="P72" s="136"/>
      <c r="Q72" s="160"/>
      <c r="R72" s="136"/>
      <c r="S72" s="136"/>
      <c r="T72" s="136"/>
      <c r="U72" s="136"/>
      <c r="V72" s="136"/>
      <c r="W72" s="136"/>
      <c r="X72" s="137"/>
      <c r="Y72" s="14"/>
      <c r="Z72" s="15"/>
      <c r="AA72" s="3"/>
      <c r="AB72" s="3"/>
      <c r="AC72" s="3"/>
      <c r="AD72" s="3"/>
      <c r="AE72" s="3"/>
      <c r="AF72" s="3"/>
      <c r="AV72" s="138"/>
      <c r="AW72" s="25"/>
      <c r="AX72" s="139"/>
      <c r="AY72" s="25"/>
    </row>
    <row r="73" ht="15.75" customHeight="1">
      <c r="A73" s="1"/>
      <c r="B73" s="105"/>
      <c r="C73" s="106"/>
      <c r="D73" s="107"/>
      <c r="E73" s="144"/>
      <c r="F73" s="109"/>
      <c r="G73" s="110"/>
      <c r="H73" s="111"/>
      <c r="I73" s="112"/>
      <c r="J73" s="34" t="s">
        <v>87</v>
      </c>
      <c r="K73" s="35"/>
      <c r="L73" s="36" t="s">
        <v>10</v>
      </c>
      <c r="M73" s="37" t="s">
        <v>11</v>
      </c>
      <c r="N73" s="38" t="s">
        <v>12</v>
      </c>
      <c r="O73" s="39" t="s">
        <v>13</v>
      </c>
      <c r="P73" s="119" t="s">
        <v>14</v>
      </c>
      <c r="Q73" s="152" t="s">
        <v>15</v>
      </c>
      <c r="R73" s="38" t="s">
        <v>16</v>
      </c>
      <c r="S73" s="42" t="s">
        <v>17</v>
      </c>
      <c r="T73" s="43" t="s">
        <v>18</v>
      </c>
      <c r="U73" s="152" t="s">
        <v>19</v>
      </c>
      <c r="V73" s="38" t="s">
        <v>20</v>
      </c>
      <c r="W73" s="45" t="s">
        <v>21</v>
      </c>
      <c r="X73" s="44" t="s">
        <v>22</v>
      </c>
      <c r="Y73" s="152" t="s">
        <v>23</v>
      </c>
      <c r="Z73" s="38" t="s">
        <v>24</v>
      </c>
      <c r="AA73" s="45" t="s">
        <v>25</v>
      </c>
      <c r="AB73" s="43" t="s">
        <v>26</v>
      </c>
      <c r="AC73" s="152" t="s">
        <v>27</v>
      </c>
      <c r="AD73" s="38" t="s">
        <v>28</v>
      </c>
      <c r="AE73" s="45" t="s">
        <v>29</v>
      </c>
      <c r="AF73" s="44" t="s">
        <v>30</v>
      </c>
      <c r="AG73" s="152" t="s">
        <v>31</v>
      </c>
      <c r="AH73" s="38" t="s">
        <v>32</v>
      </c>
      <c r="AI73" s="45" t="s">
        <v>33</v>
      </c>
      <c r="AJ73" s="43" t="s">
        <v>34</v>
      </c>
      <c r="AK73" s="152" t="s">
        <v>35</v>
      </c>
      <c r="AL73" s="38" t="s">
        <v>36</v>
      </c>
      <c r="AM73" s="45" t="s">
        <v>37</v>
      </c>
      <c r="AN73" s="44" t="s">
        <v>38</v>
      </c>
      <c r="AO73" s="152" t="s">
        <v>39</v>
      </c>
      <c r="AP73" s="38" t="s">
        <v>40</v>
      </c>
      <c r="AQ73" s="45" t="s">
        <v>41</v>
      </c>
      <c r="AR73" s="43" t="s">
        <v>42</v>
      </c>
      <c r="AS73" s="152" t="s">
        <v>43</v>
      </c>
      <c r="AT73" s="38" t="s">
        <v>44</v>
      </c>
      <c r="AU73" s="45" t="s">
        <v>45</v>
      </c>
      <c r="AV73" s="44" t="s">
        <v>46</v>
      </c>
      <c r="AW73" s="152" t="s">
        <v>47</v>
      </c>
      <c r="AX73" s="38" t="s">
        <v>48</v>
      </c>
      <c r="AY73" s="45" t="s">
        <v>49</v>
      </c>
      <c r="AZ73" s="43" t="s">
        <v>50</v>
      </c>
      <c r="BA73" s="152" t="s">
        <v>51</v>
      </c>
      <c r="BB73" s="38" t="s">
        <v>52</v>
      </c>
      <c r="BC73" s="45" t="s">
        <v>53</v>
      </c>
      <c r="BD73" s="153" t="s">
        <v>54</v>
      </c>
      <c r="BE73" s="152" t="s">
        <v>55</v>
      </c>
      <c r="BF73" s="38" t="s">
        <v>56</v>
      </c>
      <c r="BG73" s="42" t="s">
        <v>57</v>
      </c>
      <c r="BH73" s="46">
        <v>2026.0</v>
      </c>
      <c r="BI73" s="37" t="s">
        <v>58</v>
      </c>
      <c r="BJ73" s="47" t="s">
        <v>59</v>
      </c>
      <c r="BK73" s="48">
        <v>2025.0</v>
      </c>
      <c r="BL73" s="49"/>
      <c r="BM73" s="3"/>
      <c r="BN73" s="3"/>
      <c r="BO73" s="3"/>
      <c r="BP73" s="3"/>
      <c r="BQ73" s="3"/>
      <c r="BR73" s="3"/>
    </row>
    <row r="74" ht="15.75" customHeight="1">
      <c r="A74" s="1"/>
      <c r="B74" s="105">
        <v>12.0</v>
      </c>
      <c r="C74" s="106" t="s">
        <v>88</v>
      </c>
      <c r="D74" s="107"/>
      <c r="E74" s="144"/>
      <c r="F74" s="109"/>
      <c r="G74" s="178">
        <v>1.776575282001109E7</v>
      </c>
      <c r="H74" s="179">
        <v>181714.0</v>
      </c>
      <c r="I74" s="180">
        <v>97.76766138003175</v>
      </c>
      <c r="J74" s="50" t="s">
        <v>61</v>
      </c>
      <c r="K74" s="51"/>
      <c r="L74" s="52" t="s">
        <v>60</v>
      </c>
      <c r="M74" s="53" t="s">
        <v>60</v>
      </c>
      <c r="N74" s="54" t="s">
        <v>60</v>
      </c>
      <c r="O74" s="55" t="s">
        <v>62</v>
      </c>
      <c r="P74" s="52" t="s">
        <v>60</v>
      </c>
      <c r="Q74" s="154" t="s">
        <v>60</v>
      </c>
      <c r="R74" s="54" t="s">
        <v>60</v>
      </c>
      <c r="S74" s="57" t="s">
        <v>62</v>
      </c>
      <c r="T74" s="58">
        <v>0.025</v>
      </c>
      <c r="U74" s="59">
        <f>U75/(BH75-(L75 + P75))</f>
        <v>0.03731173259</v>
      </c>
      <c r="V74" s="54" t="s">
        <v>60</v>
      </c>
      <c r="W74" s="55" t="s">
        <v>62</v>
      </c>
      <c r="X74" s="58">
        <v>0.025</v>
      </c>
      <c r="Y74" s="59">
        <f>Y75/(BH75-(L75+P75))</f>
        <v>0.02815956264</v>
      </c>
      <c r="Z74" s="54" t="s">
        <v>60</v>
      </c>
      <c r="AA74" s="55" t="s">
        <v>62</v>
      </c>
      <c r="AB74" s="58">
        <v>0.04</v>
      </c>
      <c r="AC74" s="59">
        <f>AC75/(BH75-(L75+P75))</f>
        <v>0.01618314963</v>
      </c>
      <c r="AD74" s="54" t="s">
        <v>60</v>
      </c>
      <c r="AE74" s="55" t="s">
        <v>62</v>
      </c>
      <c r="AF74" s="58">
        <v>0.06</v>
      </c>
      <c r="AG74" s="59">
        <f>AG75/(BH75-(L75+P75))</f>
        <v>0.01652646567</v>
      </c>
      <c r="AH74" s="54" t="s">
        <v>60</v>
      </c>
      <c r="AI74" s="55" t="s">
        <v>62</v>
      </c>
      <c r="AJ74" s="58">
        <v>0.08</v>
      </c>
      <c r="AK74" s="59">
        <f>AK75/(BH75-(L75+P75))</f>
        <v>0</v>
      </c>
      <c r="AL74" s="54" t="s">
        <v>60</v>
      </c>
      <c r="AM74" s="55" t="s">
        <v>62</v>
      </c>
      <c r="AN74" s="58">
        <v>0.13</v>
      </c>
      <c r="AO74" s="59">
        <f>AO75/(BH75-(L75+P75))</f>
        <v>0</v>
      </c>
      <c r="AP74" s="54" t="s">
        <v>60</v>
      </c>
      <c r="AQ74" s="55" t="s">
        <v>62</v>
      </c>
      <c r="AR74" s="58">
        <v>0.13</v>
      </c>
      <c r="AS74" s="59">
        <f>AS75/(BH75-(L75+P75))</f>
        <v>0</v>
      </c>
      <c r="AT74" s="54" t="s">
        <v>60</v>
      </c>
      <c r="AU74" s="55" t="s">
        <v>62</v>
      </c>
      <c r="AV74" s="58">
        <v>0.15</v>
      </c>
      <c r="AW74" s="59">
        <f>AW75/(BH75-(L75+P75))</f>
        <v>0</v>
      </c>
      <c r="AX74" s="54" t="s">
        <v>60</v>
      </c>
      <c r="AY74" s="55" t="s">
        <v>62</v>
      </c>
      <c r="AZ74" s="58">
        <v>0.19</v>
      </c>
      <c r="BA74" s="59">
        <f>BA75/(BH75-(L75+P75))</f>
        <v>0</v>
      </c>
      <c r="BB74" s="54" t="s">
        <v>60</v>
      </c>
      <c r="BC74" s="55" t="s">
        <v>62</v>
      </c>
      <c r="BD74" s="155">
        <v>0.17</v>
      </c>
      <c r="BE74" s="59">
        <f>BE75/(BH75-(L75+P75))</f>
        <v>0</v>
      </c>
      <c r="BF74" s="54" t="s">
        <v>60</v>
      </c>
      <c r="BG74" s="57" t="s">
        <v>62</v>
      </c>
      <c r="BH74" s="60">
        <f t="shared" ref="BH74:BI74" si="434">SUM(T74,X74,AB74,AF74,AJ74,AN74,AR74,AV74,AZ74,BD74)</f>
        <v>1</v>
      </c>
      <c r="BI74" s="61">
        <f t="shared" si="434"/>
        <v>0.09818091053</v>
      </c>
      <c r="BJ74" s="62"/>
      <c r="BK74" s="63" t="s">
        <v>60</v>
      </c>
      <c r="BL74" s="64"/>
      <c r="BM74" s="3"/>
      <c r="BN74" s="3"/>
      <c r="BO74" s="3"/>
      <c r="BP74" s="3"/>
      <c r="BQ74" s="3"/>
      <c r="BR74" s="3"/>
    </row>
    <row r="75" ht="15.75" customHeight="1">
      <c r="A75" s="1"/>
      <c r="B75" s="105"/>
      <c r="C75" s="106"/>
      <c r="D75" s="107"/>
      <c r="E75" s="144"/>
      <c r="F75" s="109"/>
      <c r="G75" s="110"/>
      <c r="H75" s="111"/>
      <c r="I75" s="112"/>
      <c r="J75" s="50" t="s">
        <v>63</v>
      </c>
      <c r="K75" s="51"/>
      <c r="L75" s="127">
        <v>59138.0</v>
      </c>
      <c r="M75" s="66">
        <v>59722.48</v>
      </c>
      <c r="N75" s="67">
        <f t="shared" ref="N75:N78" si="435">IFERROR(M75-L75,"-")</f>
        <v>584.48</v>
      </c>
      <c r="O75" s="68">
        <f t="shared" ref="O75:O78" si="436">IFERROR(M75/L75-1,"-")</f>
        <v>0.009883323751</v>
      </c>
      <c r="P75" s="127">
        <v>60563.0</v>
      </c>
      <c r="Q75" s="66">
        <v>58634.48</v>
      </c>
      <c r="R75" s="67">
        <f t="shared" ref="R75:R78" si="437">IFERROR(Q75-P75,"-")</f>
        <v>-1928.52</v>
      </c>
      <c r="S75" s="70">
        <f t="shared" ref="S75:S78" si="438">IFERROR(Q75/P75-1,"-")</f>
        <v>-0.0318432046</v>
      </c>
      <c r="T75" s="71">
        <f>($BH$75-($L$75+$P$75))*T74</f>
        <v>52007.475</v>
      </c>
      <c r="U75" s="66">
        <v>77619.56</v>
      </c>
      <c r="V75" s="67">
        <f t="shared" ref="V75:V78" si="439">IFERROR(U75-T75,"-")</f>
        <v>25612.085</v>
      </c>
      <c r="W75" s="68">
        <f t="shared" ref="W75:W78" si="440">IFERROR(U75/T75-1,"-")</f>
        <v>0.4924693037</v>
      </c>
      <c r="X75" s="71">
        <f>($BH$75-($L$75+$P$75))*X74</f>
        <v>52007.475</v>
      </c>
      <c r="Y75" s="66">
        <v>58580.31</v>
      </c>
      <c r="Z75" s="67">
        <f t="shared" ref="Z75:Z78" si="442">IFERROR(Y75-X75,"-")</f>
        <v>6572.835</v>
      </c>
      <c r="AA75" s="68">
        <f t="shared" ref="AA75:AA78" si="443">IFERROR(Y75/X75-1,"-")</f>
        <v>0.1263825056</v>
      </c>
      <c r="AB75" s="71">
        <f>($BH$75-($L$75+$P$75))*AB74</f>
        <v>83211.96</v>
      </c>
      <c r="AC75" s="66">
        <v>33665.79</v>
      </c>
      <c r="AD75" s="67">
        <f t="shared" ref="AD75:AD78" si="444">IFERROR(AC75-AB75,"-")</f>
        <v>-49546.17</v>
      </c>
      <c r="AE75" s="68">
        <f t="shared" ref="AE75:AE78" si="445">IFERROR(AC75/AB75-1,"-")</f>
        <v>-0.5954212592</v>
      </c>
      <c r="AF75" s="71">
        <f>($BH$75-($L$75+$P$75))*AF74</f>
        <v>124817.94</v>
      </c>
      <c r="AG75" s="73">
        <v>34379.99</v>
      </c>
      <c r="AH75" s="67">
        <f t="shared" ref="AH75:AH78" si="446">IFERROR(AG75-AF75,"-")</f>
        <v>-90437.95</v>
      </c>
      <c r="AI75" s="68">
        <f t="shared" ref="AI75:AI78" si="447">IFERROR(AG75/AF75-1,"-")</f>
        <v>-0.7245589056</v>
      </c>
      <c r="AJ75" s="71">
        <f>($BH$75-($L$75+$P$75))*AJ74</f>
        <v>166423.92</v>
      </c>
      <c r="AK75" s="66">
        <v>0.0</v>
      </c>
      <c r="AL75" s="67">
        <f t="shared" ref="AL75:AL78" si="448">IFERROR(AK75-AJ75,"-")</f>
        <v>-166423.92</v>
      </c>
      <c r="AM75" s="68">
        <f t="shared" ref="AM75:AM78" si="449">IFERROR(AK75/AJ75-1,"-")</f>
        <v>-1</v>
      </c>
      <c r="AN75" s="71">
        <f>($BH$75-($L$75+$P$75))*AN74</f>
        <v>270438.87</v>
      </c>
      <c r="AO75" s="66">
        <v>0.0</v>
      </c>
      <c r="AP75" s="67">
        <f t="shared" ref="AP75:AP78" si="450">IFERROR(AO75-AN75,"-")</f>
        <v>-270438.87</v>
      </c>
      <c r="AQ75" s="68">
        <f t="shared" ref="AQ75:AQ78" si="451">IFERROR(AO75/AN75-1,"-")</f>
        <v>-1</v>
      </c>
      <c r="AR75" s="71">
        <f>($BH$75-($L$75+$P$75))*AR74</f>
        <v>270438.87</v>
      </c>
      <c r="AS75" s="66">
        <v>0.0</v>
      </c>
      <c r="AT75" s="67">
        <f t="shared" ref="AT75:AT78" si="452">IFERROR(AS75-AR75,"-")</f>
        <v>-270438.87</v>
      </c>
      <c r="AU75" s="68">
        <f t="shared" ref="AU75:AU78" si="453">IFERROR(AS75/AR75-1,"-")</f>
        <v>-1</v>
      </c>
      <c r="AV75" s="71">
        <f>($BH$75-($L$75+$P$75))*AV74</f>
        <v>312044.85</v>
      </c>
      <c r="AW75" s="66">
        <v>0.0</v>
      </c>
      <c r="AX75" s="67">
        <f t="shared" ref="AX75:AX78" si="454">IFERROR(AW75-AV75,"-")</f>
        <v>-312044.85</v>
      </c>
      <c r="AY75" s="68">
        <f t="shared" ref="AY75:AY78" si="455">IFERROR(AW75/AV75-1,"-")</f>
        <v>-1</v>
      </c>
      <c r="AZ75" s="71">
        <f>($BH$75-($L$75+$P$75))*AZ74</f>
        <v>395256.81</v>
      </c>
      <c r="BA75" s="66">
        <v>0.0</v>
      </c>
      <c r="BB75" s="67">
        <f t="shared" ref="BB75:BB78" si="456">IFERROR(BA75-AZ75,"-")</f>
        <v>-395256.81</v>
      </c>
      <c r="BC75" s="68">
        <f t="shared" ref="BC75:BC78" si="457">IFERROR(BA75/AZ75-1,"-")</f>
        <v>-1</v>
      </c>
      <c r="BD75" s="66">
        <f>($BH$75-($L$75+$P$75))*BD74</f>
        <v>353650.83</v>
      </c>
      <c r="BE75" s="66">
        <v>0.0</v>
      </c>
      <c r="BF75" s="67">
        <f t="shared" ref="BF75:BF78" si="458">IFERROR(BE75-BD75,"-")</f>
        <v>-353650.83</v>
      </c>
      <c r="BG75" s="70">
        <f t="shared" ref="BG75:BG78" si="459">IFERROR(BE75/BD75-1,"-")</f>
        <v>-1</v>
      </c>
      <c r="BH75" s="74">
        <v>2200000.0</v>
      </c>
      <c r="BI75" s="75">
        <f>SUM(M75,Q75,U75,Y75,AC75,AG75,AK75,AO75,AS75,AW75,BA75,BE75)</f>
        <v>322602.61</v>
      </c>
      <c r="BJ75" s="76">
        <f t="shared" ref="BJ75:BJ78" si="461">IFERROR(BI75/BH75-1,"-")</f>
        <v>-0.85336245</v>
      </c>
      <c r="BK75" s="77">
        <v>294165.0</v>
      </c>
      <c r="BL75" s="78">
        <f t="shared" ref="BL75:BL76" si="462">BH75/BK75</f>
        <v>7.478795914</v>
      </c>
      <c r="BM75" s="3"/>
      <c r="BN75" s="3"/>
      <c r="BO75" s="3"/>
      <c r="BP75" s="3"/>
      <c r="BQ75" s="3"/>
      <c r="BR75" s="3"/>
    </row>
    <row r="76" ht="15.75" customHeight="1">
      <c r="A76" s="1"/>
      <c r="B76" s="105"/>
      <c r="C76" s="106"/>
      <c r="D76" s="107"/>
      <c r="E76" s="144"/>
      <c r="F76" s="109"/>
      <c r="G76" s="110"/>
      <c r="H76" s="111"/>
      <c r="I76" s="112"/>
      <c r="J76" s="50" t="s">
        <v>64</v>
      </c>
      <c r="K76" s="79"/>
      <c r="L76" s="129">
        <f>L75/$K$77</f>
        <v>2112.071429</v>
      </c>
      <c r="M76" s="81">
        <v>2023.0</v>
      </c>
      <c r="N76" s="82">
        <f t="shared" si="435"/>
        <v>-89.07142857</v>
      </c>
      <c r="O76" s="68">
        <f t="shared" si="436"/>
        <v>-0.04217254557</v>
      </c>
      <c r="P76" s="129">
        <f>P75/$K$77</f>
        <v>2162.964286</v>
      </c>
      <c r="Q76" s="81">
        <v>2126.0</v>
      </c>
      <c r="R76" s="82">
        <f t="shared" si="437"/>
        <v>-36.96428571</v>
      </c>
      <c r="S76" s="70">
        <f t="shared" si="438"/>
        <v>-0.01708964219</v>
      </c>
      <c r="T76" s="84">
        <f>T75/$K$77</f>
        <v>1857.409821</v>
      </c>
      <c r="U76" s="81">
        <v>2656.0</v>
      </c>
      <c r="V76" s="82">
        <f t="shared" si="439"/>
        <v>798.5901786</v>
      </c>
      <c r="W76" s="68">
        <f t="shared" si="440"/>
        <v>0.4299482911</v>
      </c>
      <c r="X76" s="84">
        <f t="shared" ref="X76:Y76" si="441">X75/$K$77</f>
        <v>1857.409821</v>
      </c>
      <c r="Y76" s="81">
        <f t="shared" si="441"/>
        <v>2092.153929</v>
      </c>
      <c r="Z76" s="82">
        <f t="shared" si="442"/>
        <v>234.7441071</v>
      </c>
      <c r="AA76" s="68">
        <f t="shared" si="443"/>
        <v>0.1263825056</v>
      </c>
      <c r="AB76" s="84">
        <f>AB75/$K$77</f>
        <v>2971.855714</v>
      </c>
      <c r="AC76" s="81">
        <v>2253.0</v>
      </c>
      <c r="AD76" s="82">
        <f t="shared" si="444"/>
        <v>-718.8557143</v>
      </c>
      <c r="AE76" s="68">
        <f t="shared" si="445"/>
        <v>-0.2418878248</v>
      </c>
      <c r="AF76" s="84">
        <f>AF75/$K$77</f>
        <v>4457.783571</v>
      </c>
      <c r="AG76" s="85">
        <v>1720.0</v>
      </c>
      <c r="AH76" s="82">
        <f t="shared" si="446"/>
        <v>-2737.783571</v>
      </c>
      <c r="AI76" s="68">
        <f t="shared" si="447"/>
        <v>-0.6141580289</v>
      </c>
      <c r="AJ76" s="84">
        <f>AJ75/$K$77</f>
        <v>5943.711429</v>
      </c>
      <c r="AK76" s="81">
        <v>0.0</v>
      </c>
      <c r="AL76" s="82">
        <f t="shared" si="448"/>
        <v>-5943.711429</v>
      </c>
      <c r="AM76" s="68">
        <f t="shared" si="449"/>
        <v>-1</v>
      </c>
      <c r="AN76" s="84">
        <f>AN75/$K$77</f>
        <v>9658.531071</v>
      </c>
      <c r="AO76" s="81">
        <v>0.0</v>
      </c>
      <c r="AP76" s="82">
        <f t="shared" si="450"/>
        <v>-9658.531071</v>
      </c>
      <c r="AQ76" s="68">
        <f t="shared" si="451"/>
        <v>-1</v>
      </c>
      <c r="AR76" s="84">
        <f>AR75/$K$77</f>
        <v>9658.531071</v>
      </c>
      <c r="AS76" s="81">
        <v>0.0</v>
      </c>
      <c r="AT76" s="82">
        <f t="shared" si="452"/>
        <v>-9658.531071</v>
      </c>
      <c r="AU76" s="68">
        <f t="shared" si="453"/>
        <v>-1</v>
      </c>
      <c r="AV76" s="84">
        <f>AV75/$K$77</f>
        <v>11144.45893</v>
      </c>
      <c r="AW76" s="81">
        <v>0.0</v>
      </c>
      <c r="AX76" s="82">
        <f t="shared" si="454"/>
        <v>-11144.45893</v>
      </c>
      <c r="AY76" s="68">
        <f t="shared" si="455"/>
        <v>-1</v>
      </c>
      <c r="AZ76" s="84">
        <f>AZ75/$K$77</f>
        <v>14116.31464</v>
      </c>
      <c r="BA76" s="81">
        <v>0.0</v>
      </c>
      <c r="BB76" s="82">
        <f t="shared" si="456"/>
        <v>-14116.31464</v>
      </c>
      <c r="BC76" s="68">
        <f t="shared" si="457"/>
        <v>-1</v>
      </c>
      <c r="BD76" s="81">
        <f>BD75/$K$77</f>
        <v>12630.38679</v>
      </c>
      <c r="BE76" s="81">
        <v>0.0</v>
      </c>
      <c r="BF76" s="82">
        <f t="shared" si="458"/>
        <v>-12630.38679</v>
      </c>
      <c r="BG76" s="70">
        <f t="shared" si="459"/>
        <v>-1</v>
      </c>
      <c r="BH76" s="156">
        <f t="shared" ref="BH76:BI76" si="460">SUM(L76,P76,T76,X76,AB76,AF76,AJ76,AN76,AR76,AV76,AZ76,BD76)</f>
        <v>78571.42857</v>
      </c>
      <c r="BI76" s="87">
        <f t="shared" si="460"/>
        <v>12870.15393</v>
      </c>
      <c r="BJ76" s="76">
        <f t="shared" si="461"/>
        <v>-0.8361980409</v>
      </c>
      <c r="BK76" s="88">
        <v>3683.0</v>
      </c>
      <c r="BL76" s="78">
        <f t="shared" si="462"/>
        <v>21.3335402</v>
      </c>
      <c r="BM76" s="3"/>
      <c r="BN76" s="3"/>
      <c r="BO76" s="3"/>
      <c r="BP76" s="3"/>
      <c r="BQ76" s="3"/>
      <c r="BR76" s="3"/>
    </row>
    <row r="77" ht="15.75" customHeight="1">
      <c r="A77" s="1"/>
      <c r="B77" s="105"/>
      <c r="C77" s="106"/>
      <c r="D77" s="107"/>
      <c r="E77" s="144"/>
      <c r="F77" s="109"/>
      <c r="G77" s="110"/>
      <c r="H77" s="111"/>
      <c r="I77" s="112"/>
      <c r="J77" s="50" t="s">
        <v>65</v>
      </c>
      <c r="K77" s="79">
        <v>28.0</v>
      </c>
      <c r="L77" s="129">
        <f>L75/L76</f>
        <v>28</v>
      </c>
      <c r="M77" s="66">
        <f>IFERROR(M75/M76,"-")</f>
        <v>29.52173999</v>
      </c>
      <c r="N77" s="67">
        <f t="shared" si="435"/>
        <v>1.52173999</v>
      </c>
      <c r="O77" s="68">
        <f t="shared" si="436"/>
        <v>0.05434785679</v>
      </c>
      <c r="P77" s="65">
        <f t="shared" ref="P77:Q77" si="463">IFERROR(P75/P76,"-")</f>
        <v>28</v>
      </c>
      <c r="Q77" s="66">
        <f t="shared" si="463"/>
        <v>27.57971778</v>
      </c>
      <c r="R77" s="67">
        <f t="shared" si="437"/>
        <v>-0.4202822201</v>
      </c>
      <c r="S77" s="70">
        <f t="shared" si="438"/>
        <v>-0.01501007929</v>
      </c>
      <c r="T77" s="84">
        <f>T75/T76</f>
        <v>28</v>
      </c>
      <c r="U77" s="66">
        <f>IFERROR(U75/U76,"-")</f>
        <v>29.22423193</v>
      </c>
      <c r="V77" s="67">
        <f t="shared" si="439"/>
        <v>1.224231928</v>
      </c>
      <c r="W77" s="68">
        <f t="shared" si="440"/>
        <v>0.04372256885</v>
      </c>
      <c r="X77" s="71">
        <f t="shared" ref="X77:Y77" si="464">IFERROR(X75/X76,"-")</f>
        <v>28</v>
      </c>
      <c r="Y77" s="66">
        <f t="shared" si="464"/>
        <v>28</v>
      </c>
      <c r="Z77" s="67">
        <f t="shared" si="442"/>
        <v>0</v>
      </c>
      <c r="AA77" s="68">
        <f t="shared" si="443"/>
        <v>0</v>
      </c>
      <c r="AB77" s="84">
        <f>AB75/AB76</f>
        <v>28</v>
      </c>
      <c r="AC77" s="66">
        <f>IFERROR(AC75/AC76,"-")</f>
        <v>14.9426498</v>
      </c>
      <c r="AD77" s="67">
        <f t="shared" si="444"/>
        <v>-13.0573502</v>
      </c>
      <c r="AE77" s="68">
        <f t="shared" si="445"/>
        <v>-0.4663339357</v>
      </c>
      <c r="AF77" s="84">
        <f>AF75/AF76</f>
        <v>28</v>
      </c>
      <c r="AG77" s="66">
        <f>IFERROR(AG75/AG76,"-")</f>
        <v>19.98836628</v>
      </c>
      <c r="AH77" s="67">
        <f t="shared" si="446"/>
        <v>-8.011633721</v>
      </c>
      <c r="AI77" s="68">
        <f t="shared" si="447"/>
        <v>-0.2861297757</v>
      </c>
      <c r="AJ77" s="84">
        <f>AJ75/AJ76</f>
        <v>28</v>
      </c>
      <c r="AK77" s="66" t="str">
        <f>IFERROR(AK75/AK76,"-")</f>
        <v>-</v>
      </c>
      <c r="AL77" s="67" t="str">
        <f t="shared" si="448"/>
        <v>-</v>
      </c>
      <c r="AM77" s="68" t="str">
        <f t="shared" si="449"/>
        <v>-</v>
      </c>
      <c r="AN77" s="84">
        <f>AN75/AN76</f>
        <v>28</v>
      </c>
      <c r="AO77" s="66" t="str">
        <f>IFERROR(AO75/AO76,"-")</f>
        <v>-</v>
      </c>
      <c r="AP77" s="67" t="str">
        <f t="shared" si="450"/>
        <v>-</v>
      </c>
      <c r="AQ77" s="68" t="str">
        <f t="shared" si="451"/>
        <v>-</v>
      </c>
      <c r="AR77" s="84">
        <f>AR75/AR76</f>
        <v>28</v>
      </c>
      <c r="AS77" s="66" t="str">
        <f>IFERROR(AS75/AS76,"-")</f>
        <v>-</v>
      </c>
      <c r="AT77" s="67" t="str">
        <f t="shared" si="452"/>
        <v>-</v>
      </c>
      <c r="AU77" s="68" t="str">
        <f t="shared" si="453"/>
        <v>-</v>
      </c>
      <c r="AV77" s="84">
        <f>AV75/AV76</f>
        <v>28</v>
      </c>
      <c r="AW77" s="66" t="str">
        <f>IFERROR(AW75/AW76,"-")</f>
        <v>-</v>
      </c>
      <c r="AX77" s="67" t="str">
        <f t="shared" si="454"/>
        <v>-</v>
      </c>
      <c r="AY77" s="68" t="str">
        <f t="shared" si="455"/>
        <v>-</v>
      </c>
      <c r="AZ77" s="84">
        <f>AZ75/AZ76</f>
        <v>28</v>
      </c>
      <c r="BA77" s="66" t="str">
        <f>IFERROR(BA75/BA76,"-")</f>
        <v>-</v>
      </c>
      <c r="BB77" s="67" t="str">
        <f t="shared" si="456"/>
        <v>-</v>
      </c>
      <c r="BC77" s="68" t="str">
        <f t="shared" si="457"/>
        <v>-</v>
      </c>
      <c r="BD77" s="81">
        <f>BD75/BD76</f>
        <v>28</v>
      </c>
      <c r="BE77" s="66" t="str">
        <f>IFERROR(BE75/BE76,"-")</f>
        <v>-</v>
      </c>
      <c r="BF77" s="67" t="str">
        <f t="shared" si="458"/>
        <v>-</v>
      </c>
      <c r="BG77" s="70" t="str">
        <f t="shared" si="459"/>
        <v>-</v>
      </c>
      <c r="BH77" s="89">
        <f t="shared" ref="BH77:BI77" si="465">BH75/BH76</f>
        <v>28</v>
      </c>
      <c r="BI77" s="90">
        <f t="shared" si="465"/>
        <v>25.06594807</v>
      </c>
      <c r="BJ77" s="76">
        <f t="shared" si="461"/>
        <v>-0.104787569</v>
      </c>
      <c r="BK77" s="88">
        <f>BK75/BK76</f>
        <v>79.87102905</v>
      </c>
      <c r="BL77" s="78">
        <f>BH77/BK77-1</f>
        <v>-0.649434841</v>
      </c>
      <c r="BM77" s="3"/>
      <c r="BN77" s="3"/>
      <c r="BO77" s="3"/>
      <c r="BP77" s="3"/>
      <c r="BQ77" s="3"/>
      <c r="BR77" s="3"/>
    </row>
    <row r="78" ht="15.75" customHeight="1">
      <c r="A78" s="1"/>
      <c r="B78" s="105"/>
      <c r="C78" s="106"/>
      <c r="D78" s="107"/>
      <c r="E78" s="144"/>
      <c r="F78" s="109"/>
      <c r="G78" s="110"/>
      <c r="H78" s="111"/>
      <c r="I78" s="112"/>
      <c r="J78" s="91" t="s">
        <v>66</v>
      </c>
      <c r="K78" s="92">
        <v>0.03</v>
      </c>
      <c r="L78" s="99">
        <f t="shared" ref="L78:M78" si="466">MIN(L75, 650000) * 0.03 +
 MAX(0, MIN(L75, 2500000) - 650000) * 0.025 +
 MAX(0, MIN(L75, 4500000) - 2500000) * 0.0225 +
 MAX(0, MIN(L75, 7500000) - 4500000) * 0.02 +
 MAX(0, MIN(L75, 11500000) - 7500000) * 0.015 +
 MAX(0, L75 - 11500000) * 0.01</f>
        <v>1774.14</v>
      </c>
      <c r="M78" s="94">
        <f t="shared" si="466"/>
        <v>1791.6744</v>
      </c>
      <c r="N78" s="95">
        <f t="shared" si="435"/>
        <v>17.5344</v>
      </c>
      <c r="O78" s="96">
        <f t="shared" si="436"/>
        <v>0.009883323751</v>
      </c>
      <c r="P78" s="99">
        <f t="shared" ref="P78:Q78" si="467">MIN(P75, 650000) * 0.03 +
 MAX(0, MIN(P75, 2500000) - 650000) * 0.025 +
 MAX(0, MIN(P75, 4500000) - 2500000) * 0.0225 +
 MAX(0, MIN(P75, 7500000) - 4500000) * 0.02 +
 MAX(0, MIN(P75, 11500000) - 7500000) * 0.015 +
 MAX(0, P75 - 11500000) * 0.01</f>
        <v>1816.89</v>
      </c>
      <c r="Q78" s="94">
        <f t="shared" si="467"/>
        <v>1759.0344</v>
      </c>
      <c r="R78" s="95">
        <f t="shared" si="437"/>
        <v>-57.8556</v>
      </c>
      <c r="S78" s="98">
        <f t="shared" si="438"/>
        <v>-0.0318432046</v>
      </c>
      <c r="T78" s="99">
        <f t="shared" ref="T78:U78" si="468">MIN(T75, 650000) * 0.03 +
 MAX(0, MIN(T75, 2500000) - 650000) * 0.025 +
 MAX(0, MIN(T75, 4500000) - 2500000) * 0.0225 +
 MAX(0, MIN(T75, 7500000) - 4500000) * 0.02 +
 MAX(0, MIN(T75, 11500000) - 7500000) * 0.015 +
 MAX(0, T75 - 11500000) * 0.01</f>
        <v>1560.22425</v>
      </c>
      <c r="U78" s="94">
        <f t="shared" si="468"/>
        <v>2328.5868</v>
      </c>
      <c r="V78" s="95">
        <f t="shared" si="439"/>
        <v>768.36255</v>
      </c>
      <c r="W78" s="96">
        <f t="shared" si="440"/>
        <v>0.4924693037</v>
      </c>
      <c r="X78" s="99">
        <f t="shared" ref="X78:Y78" si="469">MIN(X75, 650000) * 0.03 +
 MAX(0, MIN(X75, 2500000) - 650000) * 0.025 +
 MAX(0, MIN(X75, 4500000) - 2500000) * 0.0225 +
 MAX(0, MIN(X75, 7500000) - 4500000) * 0.02 +
 MAX(0, MIN(X75, 11500000) - 7500000) * 0.015 +
 MAX(0, X75 - 11500000) * 0.01</f>
        <v>1560.22425</v>
      </c>
      <c r="Y78" s="94">
        <f t="shared" si="469"/>
        <v>1757.4093</v>
      </c>
      <c r="Z78" s="95">
        <f t="shared" si="442"/>
        <v>197.18505</v>
      </c>
      <c r="AA78" s="96">
        <f t="shared" si="443"/>
        <v>0.1263825056</v>
      </c>
      <c r="AB78" s="99">
        <f t="shared" ref="AB78:AC78" si="470">MIN(AB75, 650000) * 0.03 +
 MAX(0, MIN(AB75, 2500000) - 650000) * 0.025 +
 MAX(0, MIN(AB75, 4500000) - 2500000) * 0.0225 +
 MAX(0, MIN(AB75, 7500000) - 4500000) * 0.02 +
 MAX(0, MIN(AB75, 11500000) - 7500000) * 0.015 +
 MAX(0, AB75 - 11500000) * 0.01</f>
        <v>2496.3588</v>
      </c>
      <c r="AC78" s="94">
        <f t="shared" si="470"/>
        <v>1009.9737</v>
      </c>
      <c r="AD78" s="95">
        <f t="shared" si="444"/>
        <v>-1486.3851</v>
      </c>
      <c r="AE78" s="96">
        <f t="shared" si="445"/>
        <v>-0.5954212592</v>
      </c>
      <c r="AF78" s="99">
        <f t="shared" ref="AF78:AG78" si="471">MIN(AF75, 650000) * 0.03 +
 MAX(0, MIN(AF75, 2500000) - 650000) * 0.025 +
 MAX(0, MIN(AF75, 4500000) - 2500000) * 0.0225 +
 MAX(0, MIN(AF75, 7500000) - 4500000) * 0.02 +
 MAX(0, MIN(AF75, 11500000) - 7500000) * 0.015 +
 MAX(0, AF75 - 11500000) * 0.01</f>
        <v>3744.5382</v>
      </c>
      <c r="AG78" s="94">
        <f t="shared" si="471"/>
        <v>1031.3997</v>
      </c>
      <c r="AH78" s="95">
        <f t="shared" si="446"/>
        <v>-2713.1385</v>
      </c>
      <c r="AI78" s="96">
        <f t="shared" si="447"/>
        <v>-0.7245589056</v>
      </c>
      <c r="AJ78" s="99">
        <f t="shared" ref="AJ78:AK78" si="472">MIN(AJ75, 650000) * 0.03 +
 MAX(0, MIN(AJ75, 2500000) - 650000) * 0.025 +
 MAX(0, MIN(AJ75, 4500000) - 2500000) * 0.0225 +
 MAX(0, MIN(AJ75, 7500000) - 4500000) * 0.02 +
 MAX(0, MIN(AJ75, 11500000) - 7500000) * 0.015 +
 MAX(0, AJ75 - 11500000) * 0.01</f>
        <v>4992.7176</v>
      </c>
      <c r="AK78" s="94">
        <f t="shared" si="472"/>
        <v>0</v>
      </c>
      <c r="AL78" s="95">
        <f t="shared" si="448"/>
        <v>-4992.7176</v>
      </c>
      <c r="AM78" s="96">
        <f t="shared" si="449"/>
        <v>-1</v>
      </c>
      <c r="AN78" s="99">
        <f t="shared" ref="AN78:AO78" si="473">MIN(AN75, 650000) * 0.03 +
 MAX(0, MIN(AN75, 2500000) - 650000) * 0.025 +
 MAX(0, MIN(AN75, 4500000) - 2500000) * 0.0225 +
 MAX(0, MIN(AN75, 7500000) - 4500000) * 0.02 +
 MAX(0, MIN(AN75, 11500000) - 7500000) * 0.015 +
 MAX(0, AN75 - 11500000) * 0.01</f>
        <v>8113.1661</v>
      </c>
      <c r="AO78" s="94">
        <f t="shared" si="473"/>
        <v>0</v>
      </c>
      <c r="AP78" s="95">
        <f t="shared" si="450"/>
        <v>-8113.1661</v>
      </c>
      <c r="AQ78" s="96">
        <f t="shared" si="451"/>
        <v>-1</v>
      </c>
      <c r="AR78" s="99">
        <f t="shared" ref="AR78:AS78" si="474">MIN(AR75, 650000) * 0.03 +
 MAX(0, MIN(AR75, 2500000) - 650000) * 0.025 +
 MAX(0, MIN(AR75, 4500000) - 2500000) * 0.0225 +
 MAX(0, MIN(AR75, 7500000) - 4500000) * 0.02 +
 MAX(0, MIN(AR75, 11500000) - 7500000) * 0.015 +
 MAX(0, AR75 - 11500000) * 0.01</f>
        <v>8113.1661</v>
      </c>
      <c r="AS78" s="94">
        <f t="shared" si="474"/>
        <v>0</v>
      </c>
      <c r="AT78" s="95">
        <f t="shared" si="452"/>
        <v>-8113.1661</v>
      </c>
      <c r="AU78" s="96">
        <f t="shared" si="453"/>
        <v>-1</v>
      </c>
      <c r="AV78" s="99">
        <f t="shared" ref="AV78:AW78" si="475">MIN(AV75, 650000) * 0.03 +
 MAX(0, MIN(AV75, 2500000) - 650000) * 0.025 +
 MAX(0, MIN(AV75, 4500000) - 2500000) * 0.0225 +
 MAX(0, MIN(AV75, 7500000) - 4500000) * 0.02 +
 MAX(0, MIN(AV75, 11500000) - 7500000) * 0.015 +
 MAX(0, AV75 - 11500000) * 0.01</f>
        <v>9361.3455</v>
      </c>
      <c r="AW78" s="94">
        <f t="shared" si="475"/>
        <v>0</v>
      </c>
      <c r="AX78" s="95">
        <f t="shared" si="454"/>
        <v>-9361.3455</v>
      </c>
      <c r="AY78" s="96">
        <f t="shared" si="455"/>
        <v>-1</v>
      </c>
      <c r="AZ78" s="99">
        <f t="shared" ref="AZ78:BA78" si="476">MIN(AZ75, 650000) * 0.03 +
 MAX(0, MIN(AZ75, 2500000) - 650000) * 0.025 +
 MAX(0, MIN(AZ75, 4500000) - 2500000) * 0.0225 +
 MAX(0, MIN(AZ75, 7500000) - 4500000) * 0.02 +
 MAX(0, MIN(AZ75, 11500000) - 7500000) * 0.015 +
 MAX(0, AZ75 - 11500000) * 0.01</f>
        <v>11857.7043</v>
      </c>
      <c r="BA78" s="94">
        <f t="shared" si="476"/>
        <v>0</v>
      </c>
      <c r="BB78" s="95">
        <f t="shared" si="456"/>
        <v>-11857.7043</v>
      </c>
      <c r="BC78" s="96">
        <f t="shared" si="457"/>
        <v>-1</v>
      </c>
      <c r="BD78" s="94">
        <f t="shared" ref="BD78:BE78" si="477">MIN(BD75, 650000) * 0.03 +
 MAX(0, MIN(BD75, 2500000) - 650000) * 0.025 +
 MAX(0, MIN(BD75, 4500000) - 2500000) * 0.0225 +
 MAX(0, MIN(BD75, 7500000) - 4500000) * 0.02 +
 MAX(0, MIN(BD75, 11500000) - 7500000) * 0.015 +
 MAX(0, BD75 - 11500000) * 0.01</f>
        <v>10609.5249</v>
      </c>
      <c r="BE78" s="94">
        <f t="shared" si="477"/>
        <v>0</v>
      </c>
      <c r="BF78" s="95">
        <f t="shared" si="458"/>
        <v>-10609.5249</v>
      </c>
      <c r="BG78" s="98">
        <f t="shared" si="459"/>
        <v>-1</v>
      </c>
      <c r="BH78" s="100">
        <f t="shared" ref="BH78:BI78" si="478">SUM(L78,P78,T78,X78,AB78,AF78,AJ78,AN78,AR78,AV78,AZ78,BD78)</f>
        <v>66000</v>
      </c>
      <c r="BI78" s="101">
        <f t="shared" si="478"/>
        <v>9678.0783</v>
      </c>
      <c r="BJ78" s="102">
        <f t="shared" si="461"/>
        <v>-0.85336245</v>
      </c>
      <c r="BK78" s="103">
        <f>BK75*0.03+10*299</f>
        <v>11814.95</v>
      </c>
      <c r="BL78" s="104">
        <f>BH78/BK78</f>
        <v>5.58614298</v>
      </c>
      <c r="BM78" s="3"/>
      <c r="BN78" s="3"/>
      <c r="BO78" s="3"/>
      <c r="BP78" s="3"/>
      <c r="BQ78" s="3"/>
      <c r="BR78" s="3"/>
    </row>
    <row r="79" ht="15.75" customHeight="1">
      <c r="A79" s="1"/>
      <c r="B79" s="105"/>
      <c r="C79" s="106"/>
      <c r="D79" s="107"/>
      <c r="E79" s="144"/>
      <c r="F79" s="109"/>
      <c r="G79" s="110"/>
      <c r="H79" s="111"/>
      <c r="I79" s="112"/>
      <c r="J79" s="148"/>
      <c r="K79" s="148"/>
      <c r="L79" s="136"/>
      <c r="M79" s="136"/>
      <c r="N79" s="136"/>
      <c r="P79" s="136"/>
      <c r="Q79" s="160"/>
      <c r="R79" s="136"/>
      <c r="S79" s="136"/>
      <c r="T79" s="136"/>
      <c r="U79" s="136"/>
      <c r="V79" s="136"/>
      <c r="W79" s="136"/>
      <c r="X79" s="137"/>
      <c r="Y79" s="14"/>
      <c r="Z79" s="15"/>
      <c r="AA79" s="3"/>
      <c r="AB79" s="3"/>
      <c r="AC79" s="3"/>
      <c r="AD79" s="3"/>
      <c r="AE79" s="3"/>
      <c r="AF79" s="3"/>
      <c r="AV79" s="138"/>
      <c r="AW79" s="25"/>
      <c r="AX79" s="139"/>
      <c r="AY79" s="25"/>
    </row>
    <row r="80" ht="15.75" customHeight="1">
      <c r="A80" s="1"/>
      <c r="B80" s="105"/>
      <c r="C80" s="106"/>
      <c r="D80" s="107"/>
      <c r="E80" s="144"/>
      <c r="F80" s="109"/>
      <c r="G80" s="110"/>
      <c r="H80" s="111"/>
      <c r="I80" s="112"/>
      <c r="J80" s="34" t="s">
        <v>89</v>
      </c>
      <c r="K80" s="35"/>
      <c r="L80" s="36" t="s">
        <v>10</v>
      </c>
      <c r="M80" s="37" t="s">
        <v>11</v>
      </c>
      <c r="N80" s="38" t="s">
        <v>12</v>
      </c>
      <c r="O80" s="39" t="s">
        <v>13</v>
      </c>
      <c r="P80" s="119" t="s">
        <v>14</v>
      </c>
      <c r="Q80" s="152" t="s">
        <v>15</v>
      </c>
      <c r="R80" s="38" t="s">
        <v>16</v>
      </c>
      <c r="S80" s="42" t="s">
        <v>17</v>
      </c>
      <c r="T80" s="43" t="s">
        <v>18</v>
      </c>
      <c r="U80" s="152" t="s">
        <v>90</v>
      </c>
      <c r="V80" s="38" t="s">
        <v>20</v>
      </c>
      <c r="W80" s="45" t="s">
        <v>91</v>
      </c>
      <c r="X80" s="44" t="s">
        <v>22</v>
      </c>
      <c r="Y80" s="152" t="s">
        <v>92</v>
      </c>
      <c r="Z80" s="38" t="s">
        <v>24</v>
      </c>
      <c r="AA80" s="45" t="s">
        <v>91</v>
      </c>
      <c r="AB80" s="43" t="s">
        <v>26</v>
      </c>
      <c r="AC80" s="152" t="s">
        <v>27</v>
      </c>
      <c r="AD80" s="38" t="s">
        <v>28</v>
      </c>
      <c r="AE80" s="45" t="s">
        <v>29</v>
      </c>
      <c r="AF80" s="44" t="s">
        <v>30</v>
      </c>
      <c r="AG80" s="152" t="s">
        <v>31</v>
      </c>
      <c r="AH80" s="38" t="s">
        <v>32</v>
      </c>
      <c r="AI80" s="45" t="s">
        <v>33</v>
      </c>
      <c r="AJ80" s="43" t="s">
        <v>34</v>
      </c>
      <c r="AK80" s="152" t="s">
        <v>35</v>
      </c>
      <c r="AL80" s="38" t="s">
        <v>36</v>
      </c>
      <c r="AM80" s="45" t="s">
        <v>37</v>
      </c>
      <c r="AN80" s="44" t="s">
        <v>38</v>
      </c>
      <c r="AO80" s="152" t="s">
        <v>39</v>
      </c>
      <c r="AP80" s="38" t="s">
        <v>40</v>
      </c>
      <c r="AQ80" s="45" t="s">
        <v>41</v>
      </c>
      <c r="AR80" s="43" t="s">
        <v>42</v>
      </c>
      <c r="AS80" s="152" t="s">
        <v>43</v>
      </c>
      <c r="AT80" s="38" t="s">
        <v>44</v>
      </c>
      <c r="AU80" s="45" t="s">
        <v>45</v>
      </c>
      <c r="AV80" s="44" t="s">
        <v>46</v>
      </c>
      <c r="AW80" s="152" t="s">
        <v>47</v>
      </c>
      <c r="AX80" s="38" t="s">
        <v>48</v>
      </c>
      <c r="AY80" s="45" t="s">
        <v>49</v>
      </c>
      <c r="AZ80" s="43" t="s">
        <v>50</v>
      </c>
      <c r="BA80" s="152" t="s">
        <v>51</v>
      </c>
      <c r="BB80" s="38" t="s">
        <v>52</v>
      </c>
      <c r="BC80" s="45" t="s">
        <v>53</v>
      </c>
      <c r="BD80" s="153" t="s">
        <v>54</v>
      </c>
      <c r="BE80" s="152" t="s">
        <v>55</v>
      </c>
      <c r="BF80" s="38" t="s">
        <v>56</v>
      </c>
      <c r="BG80" s="42" t="s">
        <v>57</v>
      </c>
      <c r="BH80" s="46">
        <v>2026.0</v>
      </c>
      <c r="BI80" s="37" t="s">
        <v>58</v>
      </c>
      <c r="BJ80" s="47" t="s">
        <v>59</v>
      </c>
      <c r="BK80" s="48">
        <v>2025.0</v>
      </c>
      <c r="BL80" s="49"/>
      <c r="BM80" s="3"/>
      <c r="BN80" s="3"/>
      <c r="BO80" s="3"/>
      <c r="BP80" s="3"/>
      <c r="BQ80" s="3"/>
      <c r="BR80" s="3"/>
    </row>
    <row r="81" ht="15.75" customHeight="1">
      <c r="A81" s="1"/>
      <c r="B81" s="105">
        <v>13.0</v>
      </c>
      <c r="C81" s="181" t="s">
        <v>93</v>
      </c>
      <c r="D81" s="182"/>
      <c r="E81" s="183"/>
      <c r="F81" s="184"/>
      <c r="G81" s="185">
        <v>12323.000000000002</v>
      </c>
      <c r="H81" s="185">
        <v>52.0</v>
      </c>
      <c r="I81" s="186">
        <v>236.98076923076925</v>
      </c>
      <c r="J81" s="50" t="s">
        <v>61</v>
      </c>
      <c r="K81" s="51"/>
      <c r="L81" s="52" t="s">
        <v>60</v>
      </c>
      <c r="M81" s="53" t="s">
        <v>60</v>
      </c>
      <c r="N81" s="54" t="s">
        <v>60</v>
      </c>
      <c r="O81" s="55" t="s">
        <v>62</v>
      </c>
      <c r="P81" s="52" t="s">
        <v>60</v>
      </c>
      <c r="Q81" s="154" t="s">
        <v>60</v>
      </c>
      <c r="R81" s="54" t="s">
        <v>60</v>
      </c>
      <c r="S81" s="57" t="s">
        <v>62</v>
      </c>
      <c r="T81" s="58">
        <v>0.05</v>
      </c>
      <c r="U81" s="59">
        <f>U82/(BH82-(L82 + P82))</f>
        <v>0.08126317218</v>
      </c>
      <c r="V81" s="54" t="s">
        <v>60</v>
      </c>
      <c r="W81" s="55" t="s">
        <v>62</v>
      </c>
      <c r="X81" s="58">
        <v>0.06</v>
      </c>
      <c r="Y81" s="59">
        <f>Y82/(BH82-(L82+P82))</f>
        <v>0.08205400726</v>
      </c>
      <c r="Z81" s="54" t="s">
        <v>60</v>
      </c>
      <c r="AA81" s="55" t="s">
        <v>62</v>
      </c>
      <c r="AB81" s="58">
        <v>0.08</v>
      </c>
      <c r="AC81" s="59">
        <f>AC82/(BH82-(L82+P82))</f>
        <v>0.07602764852</v>
      </c>
      <c r="AD81" s="54" t="s">
        <v>60</v>
      </c>
      <c r="AE81" s="55" t="s">
        <v>62</v>
      </c>
      <c r="AF81" s="58">
        <v>0.08</v>
      </c>
      <c r="AG81" s="59">
        <f>AG82/(BH82-(L82+P82))</f>
        <v>0.04777008619</v>
      </c>
      <c r="AH81" s="54" t="s">
        <v>60</v>
      </c>
      <c r="AI81" s="55" t="s">
        <v>62</v>
      </c>
      <c r="AJ81" s="58">
        <v>0.08</v>
      </c>
      <c r="AK81" s="59">
        <f>AK82/(BH82-(L82+P82))</f>
        <v>0</v>
      </c>
      <c r="AL81" s="54" t="s">
        <v>60</v>
      </c>
      <c r="AM81" s="55" t="s">
        <v>62</v>
      </c>
      <c r="AN81" s="58">
        <v>0.11</v>
      </c>
      <c r="AO81" s="59">
        <f>AO82/(BH82-(L82+P82))</f>
        <v>0</v>
      </c>
      <c r="AP81" s="54" t="s">
        <v>60</v>
      </c>
      <c r="AQ81" s="55" t="s">
        <v>62</v>
      </c>
      <c r="AR81" s="58">
        <v>0.14</v>
      </c>
      <c r="AS81" s="59">
        <f>AS82/(BH82-(L82+P82))</f>
        <v>0</v>
      </c>
      <c r="AT81" s="54" t="s">
        <v>60</v>
      </c>
      <c r="AU81" s="55" t="s">
        <v>62</v>
      </c>
      <c r="AV81" s="58">
        <v>0.14</v>
      </c>
      <c r="AW81" s="59">
        <f>AW82/(BH82-(L82+P82))</f>
        <v>0</v>
      </c>
      <c r="AX81" s="54" t="s">
        <v>60</v>
      </c>
      <c r="AY81" s="55" t="s">
        <v>62</v>
      </c>
      <c r="AZ81" s="58">
        <v>0.14</v>
      </c>
      <c r="BA81" s="59">
        <f>BA82/(BH82-(L82+P82))</f>
        <v>0</v>
      </c>
      <c r="BB81" s="54" t="s">
        <v>60</v>
      </c>
      <c r="BC81" s="55" t="s">
        <v>62</v>
      </c>
      <c r="BD81" s="155">
        <v>0.12</v>
      </c>
      <c r="BE81" s="59">
        <f>BE82/(BH82-(L82+P82))</f>
        <v>0</v>
      </c>
      <c r="BF81" s="54" t="s">
        <v>60</v>
      </c>
      <c r="BG81" s="57" t="s">
        <v>62</v>
      </c>
      <c r="BH81" s="60">
        <f t="shared" ref="BH81:BI81" si="479">SUM(T81,X81,AB81,AF81,AJ81,AN81,AR81,AV81,AZ81,BD81)</f>
        <v>1</v>
      </c>
      <c r="BI81" s="61">
        <f t="shared" si="479"/>
        <v>0.2871149142</v>
      </c>
      <c r="BJ81" s="62"/>
      <c r="BK81" s="63" t="s">
        <v>60</v>
      </c>
      <c r="BL81" s="64"/>
      <c r="BM81" s="3"/>
      <c r="BN81" s="3"/>
      <c r="BO81" s="3"/>
      <c r="BP81" s="3"/>
      <c r="BQ81" s="3"/>
      <c r="BR81" s="3"/>
    </row>
    <row r="82" ht="15.75" customHeight="1">
      <c r="A82" s="1"/>
      <c r="B82" s="105"/>
      <c r="C82" s="106"/>
      <c r="D82" s="107"/>
      <c r="E82" s="144"/>
      <c r="F82" s="109"/>
      <c r="G82" s="110"/>
      <c r="H82" s="111"/>
      <c r="I82" s="112"/>
      <c r="J82" s="50" t="s">
        <v>63</v>
      </c>
      <c r="K82" s="51"/>
      <c r="L82" s="127">
        <v>1433664.0</v>
      </c>
      <c r="M82" s="66">
        <v>1461184.12</v>
      </c>
      <c r="N82" s="67">
        <f t="shared" ref="N82:N85" si="480">IFERROR(M82-L82,"-")</f>
        <v>27520.12</v>
      </c>
      <c r="O82" s="68">
        <f t="shared" ref="O82:O85" si="481">IFERROR(M82/L82-1,"-")</f>
        <v>0.01919565533</v>
      </c>
      <c r="P82" s="127">
        <v>1276587.0</v>
      </c>
      <c r="Q82" s="66">
        <v>1334379.05</v>
      </c>
      <c r="R82" s="67">
        <f t="shared" ref="R82:R85" si="482">IFERROR(Q82-P82,"-")</f>
        <v>57792.05</v>
      </c>
      <c r="S82" s="70">
        <f t="shared" ref="S82:S85" si="483">IFERROR(Q82/P82-1,"-")</f>
        <v>0.04527074927</v>
      </c>
      <c r="T82" s="71">
        <f>($BH$82-($L$82+$P$82))*T81</f>
        <v>864487.45</v>
      </c>
      <c r="U82" s="66">
        <v>1405019.85</v>
      </c>
      <c r="V82" s="67">
        <f t="shared" ref="V82:V85" si="484">IFERROR(U82-T82,"-")</f>
        <v>540532.4</v>
      </c>
      <c r="W82" s="68">
        <f t="shared" ref="W82:W85" si="485">IFERROR(U82/T82-1,"-")</f>
        <v>0.6252634437</v>
      </c>
      <c r="X82" s="71">
        <f>($BH$82-($L$82+$P$82))*X81</f>
        <v>1037384.94</v>
      </c>
      <c r="Y82" s="66">
        <v>1418693.19</v>
      </c>
      <c r="Z82" s="67">
        <f t="shared" ref="Z82:Z85" si="486">IFERROR(Y82-X82,"-")</f>
        <v>381308.25</v>
      </c>
      <c r="AA82" s="68">
        <f t="shared" ref="AA82:AA85" si="487">IFERROR(Y82/X82-1,"-")</f>
        <v>0.3675667877</v>
      </c>
      <c r="AB82" s="71">
        <f>($BH$82-($L$82+$P$82))*AB81</f>
        <v>1383179.92</v>
      </c>
      <c r="AC82" s="66">
        <v>1314498.96</v>
      </c>
      <c r="AD82" s="67">
        <f t="shared" ref="AD82:AD85" si="488">IFERROR(AC82-AB82,"-")</f>
        <v>-68680.96</v>
      </c>
      <c r="AE82" s="68">
        <f t="shared" ref="AE82:AE85" si="489">IFERROR(AC82/AB82-1,"-")</f>
        <v>-0.04965439348</v>
      </c>
      <c r="AF82" s="71">
        <f>($BH$82-($L$82+$P$82))*AF81</f>
        <v>1383179.92</v>
      </c>
      <c r="AG82" s="73">
        <v>825932.8</v>
      </c>
      <c r="AH82" s="67">
        <f t="shared" ref="AH82:AH85" si="490">IFERROR(AG82-AF82,"-")</f>
        <v>-557247.12</v>
      </c>
      <c r="AI82" s="68">
        <f t="shared" ref="AI82:AI85" si="491">IFERROR(AG82/AF82-1,"-")</f>
        <v>-0.4028739226</v>
      </c>
      <c r="AJ82" s="71">
        <f>($BH$82-($L$82+$P$82))*AJ81</f>
        <v>1383179.92</v>
      </c>
      <c r="AK82" s="66">
        <v>0.0</v>
      </c>
      <c r="AL82" s="67">
        <f t="shared" ref="AL82:AL85" si="492">IFERROR(AK82-AJ82,"-")</f>
        <v>-1383179.92</v>
      </c>
      <c r="AM82" s="68">
        <f t="shared" ref="AM82:AM85" si="493">IFERROR(AK82/AJ82-1,"-")</f>
        <v>-1</v>
      </c>
      <c r="AN82" s="71">
        <f>($BH$82-($L$82+$P$82))*AN81</f>
        <v>1901872.39</v>
      </c>
      <c r="AO82" s="66">
        <v>0.0</v>
      </c>
      <c r="AP82" s="67">
        <f t="shared" ref="AP82:AP85" si="494">IFERROR(AO82-AN82,"-")</f>
        <v>-1901872.39</v>
      </c>
      <c r="AQ82" s="68">
        <f t="shared" ref="AQ82:AQ85" si="495">IFERROR(AO82/AN82-1,"-")</f>
        <v>-1</v>
      </c>
      <c r="AR82" s="71">
        <f>($BH$82-($L$82+$P$82))*AR81</f>
        <v>2420564.86</v>
      </c>
      <c r="AS82" s="66">
        <v>0.0</v>
      </c>
      <c r="AT82" s="67">
        <f t="shared" ref="AT82:AT85" si="496">IFERROR(AS82-AR82,"-")</f>
        <v>-2420564.86</v>
      </c>
      <c r="AU82" s="68">
        <f t="shared" ref="AU82:AU85" si="497">IFERROR(AS82/AR82-1,"-")</f>
        <v>-1</v>
      </c>
      <c r="AV82" s="71">
        <f>($BH$82-($L$82+$P$82))*AV81</f>
        <v>2420564.86</v>
      </c>
      <c r="AW82" s="66">
        <v>0.0</v>
      </c>
      <c r="AX82" s="67">
        <f t="shared" ref="AX82:AX85" si="498">IFERROR(AW82-AV82,"-")</f>
        <v>-2420564.86</v>
      </c>
      <c r="AY82" s="68">
        <f t="shared" ref="AY82:AY85" si="499">IFERROR(AW82/AV82-1,"-")</f>
        <v>-1</v>
      </c>
      <c r="AZ82" s="71">
        <f>($BH$82-($L$82+$P$82))*AZ81</f>
        <v>2420564.86</v>
      </c>
      <c r="BA82" s="66">
        <v>0.0</v>
      </c>
      <c r="BB82" s="67">
        <f t="shared" ref="BB82:BB85" si="500">IFERROR(BA82-AZ82,"-")</f>
        <v>-2420564.86</v>
      </c>
      <c r="BC82" s="68">
        <f t="shared" ref="BC82:BC85" si="501">IFERROR(BA82/AZ82-1,"-")</f>
        <v>-1</v>
      </c>
      <c r="BD82" s="66">
        <f>($BH$82-($L$82+$P$82))*BD81</f>
        <v>2074769.88</v>
      </c>
      <c r="BE82" s="66">
        <v>0.0</v>
      </c>
      <c r="BF82" s="67">
        <f t="shared" ref="BF82:BF85" si="502">IFERROR(BE82-BD82,"-")</f>
        <v>-2074769.88</v>
      </c>
      <c r="BG82" s="70">
        <f t="shared" ref="BG82:BG85" si="503">IFERROR(BE82/BD82-1,"-")</f>
        <v>-1</v>
      </c>
      <c r="BH82" s="74">
        <v>2.0E7</v>
      </c>
      <c r="BI82" s="75">
        <f>SUM(M82,Q82,U82,Y82,AC82,AG82,AK82,AO82,AS82,AW82,BA82,BE82)</f>
        <v>7759707.97</v>
      </c>
      <c r="BJ82" s="76">
        <f t="shared" ref="BJ82:BJ85" si="505">IFERROR(BI82/BH82-1,"-")</f>
        <v>-0.6120146015</v>
      </c>
      <c r="BK82" s="187">
        <v>1.7765623E7</v>
      </c>
      <c r="BL82" s="78">
        <f t="shared" ref="BL82:BL83" si="506">BH82/BK82</f>
        <v>1.125769696</v>
      </c>
      <c r="BM82" s="3"/>
      <c r="BN82" s="3"/>
      <c r="BO82" s="3"/>
      <c r="BP82" s="3"/>
      <c r="BQ82" s="3"/>
      <c r="BR82" s="3"/>
    </row>
    <row r="83" ht="15.75" customHeight="1">
      <c r="A83" s="1"/>
      <c r="B83" s="105"/>
      <c r="C83" s="106"/>
      <c r="D83" s="107"/>
      <c r="E83" s="144"/>
      <c r="F83" s="109"/>
      <c r="G83" s="110"/>
      <c r="H83" s="111"/>
      <c r="I83" s="112"/>
      <c r="J83" s="50" t="s">
        <v>64</v>
      </c>
      <c r="K83" s="79"/>
      <c r="L83" s="129">
        <f>L82/$K$84</f>
        <v>14336.64</v>
      </c>
      <c r="M83" s="81">
        <v>13489.0</v>
      </c>
      <c r="N83" s="82">
        <f t="shared" si="480"/>
        <v>-847.64</v>
      </c>
      <c r="O83" s="68">
        <f t="shared" si="481"/>
        <v>-0.05912403464</v>
      </c>
      <c r="P83" s="129">
        <f>P82/$K$84</f>
        <v>12765.87</v>
      </c>
      <c r="Q83" s="81">
        <v>12517.0</v>
      </c>
      <c r="R83" s="82">
        <f t="shared" si="482"/>
        <v>-248.87</v>
      </c>
      <c r="S83" s="70">
        <f t="shared" si="483"/>
        <v>-0.01949495021</v>
      </c>
      <c r="T83" s="84">
        <f>T82/$K$84</f>
        <v>8644.8745</v>
      </c>
      <c r="U83" s="81">
        <v>13451.0</v>
      </c>
      <c r="V83" s="82">
        <f t="shared" si="484"/>
        <v>4806.1255</v>
      </c>
      <c r="W83" s="68">
        <f t="shared" si="485"/>
        <v>0.5559508701</v>
      </c>
      <c r="X83" s="84">
        <f>X82/$K$84</f>
        <v>10373.8494</v>
      </c>
      <c r="Y83" s="81">
        <v>13118.0</v>
      </c>
      <c r="Z83" s="82">
        <f t="shared" si="486"/>
        <v>2744.1506</v>
      </c>
      <c r="AA83" s="68">
        <f t="shared" si="487"/>
        <v>0.2645257796</v>
      </c>
      <c r="AB83" s="84">
        <f>AB82/$K$84</f>
        <v>13831.7992</v>
      </c>
      <c r="AC83" s="81">
        <v>11622.0</v>
      </c>
      <c r="AD83" s="82">
        <f t="shared" si="488"/>
        <v>-2209.7992</v>
      </c>
      <c r="AE83" s="68">
        <f t="shared" si="489"/>
        <v>-0.1597622383</v>
      </c>
      <c r="AF83" s="84">
        <f>AF82/$K$84</f>
        <v>13831.7992</v>
      </c>
      <c r="AG83" s="85">
        <v>7088.0</v>
      </c>
      <c r="AH83" s="82">
        <f t="shared" si="490"/>
        <v>-6743.7992</v>
      </c>
      <c r="AI83" s="68">
        <f t="shared" si="491"/>
        <v>-0.4875576274</v>
      </c>
      <c r="AJ83" s="84">
        <f>AJ82/$K$84</f>
        <v>13831.7992</v>
      </c>
      <c r="AK83" s="81">
        <v>0.0</v>
      </c>
      <c r="AL83" s="82">
        <f t="shared" si="492"/>
        <v>-13831.7992</v>
      </c>
      <c r="AM83" s="68">
        <f t="shared" si="493"/>
        <v>-1</v>
      </c>
      <c r="AN83" s="84">
        <f>AN82/$K$84</f>
        <v>19018.7239</v>
      </c>
      <c r="AO83" s="81">
        <v>0.0</v>
      </c>
      <c r="AP83" s="82">
        <f t="shared" si="494"/>
        <v>-19018.7239</v>
      </c>
      <c r="AQ83" s="68">
        <f t="shared" si="495"/>
        <v>-1</v>
      </c>
      <c r="AR83" s="84">
        <f>AR82/$K$84</f>
        <v>24205.6486</v>
      </c>
      <c r="AS83" s="81">
        <v>0.0</v>
      </c>
      <c r="AT83" s="82">
        <f t="shared" si="496"/>
        <v>-24205.6486</v>
      </c>
      <c r="AU83" s="68">
        <f t="shared" si="497"/>
        <v>-1</v>
      </c>
      <c r="AV83" s="84">
        <f>AV82/$K$84</f>
        <v>24205.6486</v>
      </c>
      <c r="AW83" s="81">
        <v>0.0</v>
      </c>
      <c r="AX83" s="82">
        <f t="shared" si="498"/>
        <v>-24205.6486</v>
      </c>
      <c r="AY83" s="68">
        <f t="shared" si="499"/>
        <v>-1</v>
      </c>
      <c r="AZ83" s="84">
        <f>AZ82/$K$84</f>
        <v>24205.6486</v>
      </c>
      <c r="BA83" s="81">
        <v>0.0</v>
      </c>
      <c r="BB83" s="82">
        <f t="shared" si="500"/>
        <v>-24205.6486</v>
      </c>
      <c r="BC83" s="68">
        <f t="shared" si="501"/>
        <v>-1</v>
      </c>
      <c r="BD83" s="81">
        <f>BD82/$K$84</f>
        <v>20747.6988</v>
      </c>
      <c r="BE83" s="81">
        <v>0.0</v>
      </c>
      <c r="BF83" s="82">
        <f t="shared" si="502"/>
        <v>-20747.6988</v>
      </c>
      <c r="BG83" s="70">
        <f t="shared" si="503"/>
        <v>-1</v>
      </c>
      <c r="BH83" s="156">
        <f t="shared" ref="BH83:BI83" si="504">SUM(L83,P83,T83,X83,AB83,AF83,AJ83,AN83,AR83,AV83,AZ83,BD83)</f>
        <v>200000</v>
      </c>
      <c r="BI83" s="87">
        <f t="shared" si="504"/>
        <v>71285</v>
      </c>
      <c r="BJ83" s="76">
        <f t="shared" si="505"/>
        <v>-0.643575</v>
      </c>
      <c r="BK83" s="88">
        <v>181712.0</v>
      </c>
      <c r="BL83" s="78">
        <f t="shared" si="506"/>
        <v>1.100642775</v>
      </c>
      <c r="BM83" s="3"/>
      <c r="BN83" s="3"/>
      <c r="BO83" s="3"/>
      <c r="BP83" s="3"/>
      <c r="BQ83" s="3"/>
      <c r="BR83" s="3"/>
    </row>
    <row r="84" ht="15.75" customHeight="1">
      <c r="A84" s="1"/>
      <c r="B84" s="105"/>
      <c r="C84" s="106"/>
      <c r="D84" s="107"/>
      <c r="E84" s="144"/>
      <c r="F84" s="109"/>
      <c r="G84" s="110"/>
      <c r="H84" s="111"/>
      <c r="I84" s="112"/>
      <c r="J84" s="50" t="s">
        <v>65</v>
      </c>
      <c r="K84" s="79">
        <v>100.0</v>
      </c>
      <c r="L84" s="129">
        <f>L82/L83</f>
        <v>100</v>
      </c>
      <c r="M84" s="66">
        <f>IFERROR(M82/M83,"-")</f>
        <v>108.3241248</v>
      </c>
      <c r="N84" s="67">
        <f t="shared" si="480"/>
        <v>8.324124842</v>
      </c>
      <c r="O84" s="68">
        <f t="shared" si="481"/>
        <v>0.08324124842</v>
      </c>
      <c r="P84" s="65">
        <f t="shared" ref="P84:Q84" si="507">IFERROR(P82/P83,"-")</f>
        <v>100</v>
      </c>
      <c r="Q84" s="66">
        <f t="shared" si="507"/>
        <v>106.6053407</v>
      </c>
      <c r="R84" s="67">
        <f t="shared" si="482"/>
        <v>6.605340737</v>
      </c>
      <c r="S84" s="70">
        <f t="shared" si="483"/>
        <v>0.06605340737</v>
      </c>
      <c r="T84" s="84">
        <f>T82/T83</f>
        <v>100</v>
      </c>
      <c r="U84" s="66">
        <f>IFERROR(U82/U83,"-")</f>
        <v>104.4546762</v>
      </c>
      <c r="V84" s="67">
        <f t="shared" si="484"/>
        <v>4.454676232</v>
      </c>
      <c r="W84" s="68">
        <f t="shared" si="485"/>
        <v>0.04454676232</v>
      </c>
      <c r="X84" s="71">
        <f t="shared" ref="X84:Y84" si="508">IFERROR(X82/X83,"-")</f>
        <v>100</v>
      </c>
      <c r="Y84" s="66">
        <f t="shared" si="508"/>
        <v>108.148589</v>
      </c>
      <c r="Z84" s="67">
        <f t="shared" si="486"/>
        <v>8.148588962</v>
      </c>
      <c r="AA84" s="68">
        <f t="shared" si="487"/>
        <v>0.08148588962</v>
      </c>
      <c r="AB84" s="84">
        <f>AB82/AB83</f>
        <v>100</v>
      </c>
      <c r="AC84" s="66">
        <f>IFERROR(AC82/AC83,"-")</f>
        <v>113.1043676</v>
      </c>
      <c r="AD84" s="67">
        <f t="shared" si="488"/>
        <v>13.10436758</v>
      </c>
      <c r="AE84" s="68">
        <f t="shared" si="489"/>
        <v>0.1310436758</v>
      </c>
      <c r="AF84" s="84">
        <f>AF82/AF83</f>
        <v>100</v>
      </c>
      <c r="AG84" s="66">
        <f>IFERROR(AG82/AG83,"-")</f>
        <v>116.5255079</v>
      </c>
      <c r="AH84" s="67">
        <f t="shared" si="490"/>
        <v>16.5255079</v>
      </c>
      <c r="AI84" s="68">
        <f t="shared" si="491"/>
        <v>0.165255079</v>
      </c>
      <c r="AJ84" s="84">
        <f>AJ82/AJ83</f>
        <v>100</v>
      </c>
      <c r="AK84" s="66" t="str">
        <f>IFERROR(AK82/AK83,"-")</f>
        <v>-</v>
      </c>
      <c r="AL84" s="67" t="str">
        <f t="shared" si="492"/>
        <v>-</v>
      </c>
      <c r="AM84" s="68" t="str">
        <f t="shared" si="493"/>
        <v>-</v>
      </c>
      <c r="AN84" s="84">
        <f>AN82/AN83</f>
        <v>100</v>
      </c>
      <c r="AO84" s="66" t="str">
        <f>IFERROR(AO82/AO83,"-")</f>
        <v>-</v>
      </c>
      <c r="AP84" s="67" t="str">
        <f t="shared" si="494"/>
        <v>-</v>
      </c>
      <c r="AQ84" s="68" t="str">
        <f t="shared" si="495"/>
        <v>-</v>
      </c>
      <c r="AR84" s="84">
        <f>AR82/AR83</f>
        <v>100</v>
      </c>
      <c r="AS84" s="66" t="str">
        <f>IFERROR(AS82/AS83,"-")</f>
        <v>-</v>
      </c>
      <c r="AT84" s="67" t="str">
        <f t="shared" si="496"/>
        <v>-</v>
      </c>
      <c r="AU84" s="68" t="str">
        <f t="shared" si="497"/>
        <v>-</v>
      </c>
      <c r="AV84" s="84">
        <f>AV82/AV83</f>
        <v>100</v>
      </c>
      <c r="AW84" s="66" t="str">
        <f>IFERROR(AW82/AW83,"-")</f>
        <v>-</v>
      </c>
      <c r="AX84" s="67" t="str">
        <f t="shared" si="498"/>
        <v>-</v>
      </c>
      <c r="AY84" s="68" t="str">
        <f t="shared" si="499"/>
        <v>-</v>
      </c>
      <c r="AZ84" s="84">
        <f>AZ82/AZ83</f>
        <v>100</v>
      </c>
      <c r="BA84" s="66" t="str">
        <f>IFERROR(BA82/BA83,"-")</f>
        <v>-</v>
      </c>
      <c r="BB84" s="67" t="str">
        <f t="shared" si="500"/>
        <v>-</v>
      </c>
      <c r="BC84" s="68" t="str">
        <f t="shared" si="501"/>
        <v>-</v>
      </c>
      <c r="BD84" s="81">
        <f>BD82/BD83</f>
        <v>100</v>
      </c>
      <c r="BE84" s="66" t="str">
        <f>IFERROR(BE82/BE83,"-")</f>
        <v>-</v>
      </c>
      <c r="BF84" s="67" t="str">
        <f t="shared" si="502"/>
        <v>-</v>
      </c>
      <c r="BG84" s="70" t="str">
        <f t="shared" si="503"/>
        <v>-</v>
      </c>
      <c r="BH84" s="89">
        <f t="shared" ref="BH84:BI84" si="509">BH82/BH83</f>
        <v>100</v>
      </c>
      <c r="BI84" s="90">
        <f t="shared" si="509"/>
        <v>108.8547095</v>
      </c>
      <c r="BJ84" s="76">
        <f t="shared" si="505"/>
        <v>0.08854709546</v>
      </c>
      <c r="BK84" s="88">
        <f>BK82/BK83</f>
        <v>97.76802303</v>
      </c>
      <c r="BL84" s="78">
        <f>BH84/BK84-1</f>
        <v>0.0228293148</v>
      </c>
      <c r="BM84" s="3"/>
      <c r="BN84" s="3"/>
      <c r="BO84" s="3"/>
      <c r="BP84" s="3"/>
      <c r="BQ84" s="3"/>
      <c r="BR84" s="3"/>
    </row>
    <row r="85" ht="15.75" customHeight="1">
      <c r="A85" s="1"/>
      <c r="B85" s="105"/>
      <c r="C85" s="106"/>
      <c r="D85" s="107"/>
      <c r="E85" s="144"/>
      <c r="F85" s="109"/>
      <c r="G85" s="110"/>
      <c r="H85" s="111"/>
      <c r="I85" s="112"/>
      <c r="J85" s="91" t="s">
        <v>66</v>
      </c>
      <c r="K85" s="92">
        <v>0.06</v>
      </c>
      <c r="L85" s="99">
        <v>150000.0</v>
      </c>
      <c r="M85" s="94">
        <v>150000.0</v>
      </c>
      <c r="N85" s="95">
        <f t="shared" si="480"/>
        <v>0</v>
      </c>
      <c r="O85" s="96">
        <f t="shared" si="481"/>
        <v>0</v>
      </c>
      <c r="P85" s="99">
        <v>150000.0</v>
      </c>
      <c r="Q85" s="94">
        <v>150000.0</v>
      </c>
      <c r="R85" s="95">
        <f t="shared" si="482"/>
        <v>0</v>
      </c>
      <c r="S85" s="98">
        <f t="shared" si="483"/>
        <v>0</v>
      </c>
      <c r="T85" s="99">
        <v>150000.0</v>
      </c>
      <c r="U85" s="94">
        <v>150000.0</v>
      </c>
      <c r="V85" s="95">
        <f t="shared" si="484"/>
        <v>0</v>
      </c>
      <c r="W85" s="96">
        <f t="shared" si="485"/>
        <v>0</v>
      </c>
      <c r="X85" s="99">
        <v>91000.0</v>
      </c>
      <c r="Y85" s="94">
        <v>91000.0</v>
      </c>
      <c r="Z85" s="95">
        <f t="shared" si="486"/>
        <v>0</v>
      </c>
      <c r="AA85" s="96">
        <f t="shared" si="487"/>
        <v>0</v>
      </c>
      <c r="AB85" s="99">
        <v>91000.0</v>
      </c>
      <c r="AC85" s="94">
        <v>91000.0</v>
      </c>
      <c r="AD85" s="95">
        <f t="shared" si="488"/>
        <v>0</v>
      </c>
      <c r="AE85" s="96">
        <f t="shared" si="489"/>
        <v>0</v>
      </c>
      <c r="AF85" s="99">
        <v>91000.0</v>
      </c>
      <c r="AG85" s="94">
        <v>91000.0</v>
      </c>
      <c r="AH85" s="95">
        <f t="shared" si="490"/>
        <v>0</v>
      </c>
      <c r="AI85" s="96">
        <f t="shared" si="491"/>
        <v>0</v>
      </c>
      <c r="AJ85" s="99">
        <v>91000.0</v>
      </c>
      <c r="AK85" s="94">
        <v>91000.0</v>
      </c>
      <c r="AL85" s="95">
        <f t="shared" si="492"/>
        <v>0</v>
      </c>
      <c r="AM85" s="96">
        <f t="shared" si="493"/>
        <v>0</v>
      </c>
      <c r="AN85" s="99">
        <v>91000.0</v>
      </c>
      <c r="AO85" s="94">
        <v>91000.0</v>
      </c>
      <c r="AP85" s="95">
        <f t="shared" si="494"/>
        <v>0</v>
      </c>
      <c r="AQ85" s="96">
        <f t="shared" si="495"/>
        <v>0</v>
      </c>
      <c r="AR85" s="99">
        <v>91000.0</v>
      </c>
      <c r="AS85" s="94">
        <v>91000.0</v>
      </c>
      <c r="AT85" s="95">
        <f t="shared" si="496"/>
        <v>0</v>
      </c>
      <c r="AU85" s="96">
        <f t="shared" si="497"/>
        <v>0</v>
      </c>
      <c r="AV85" s="99">
        <v>91000.0</v>
      </c>
      <c r="AW85" s="94">
        <v>91000.0</v>
      </c>
      <c r="AX85" s="95">
        <f t="shared" si="498"/>
        <v>0</v>
      </c>
      <c r="AY85" s="96">
        <f t="shared" si="499"/>
        <v>0</v>
      </c>
      <c r="AZ85" s="99">
        <v>91000.0</v>
      </c>
      <c r="BA85" s="94">
        <v>91000.0</v>
      </c>
      <c r="BB85" s="95">
        <f t="shared" si="500"/>
        <v>0</v>
      </c>
      <c r="BC85" s="96">
        <f t="shared" si="501"/>
        <v>0</v>
      </c>
      <c r="BD85" s="94">
        <v>91000.0</v>
      </c>
      <c r="BE85" s="94">
        <v>91000.0</v>
      </c>
      <c r="BF85" s="95">
        <f t="shared" si="502"/>
        <v>0</v>
      </c>
      <c r="BG85" s="98">
        <f t="shared" si="503"/>
        <v>0</v>
      </c>
      <c r="BH85" s="100">
        <f t="shared" ref="BH85:BI85" si="510">SUM(L85,P85,T85,X85,AB85,AF85,AJ85,AN85,AR85,AV85,AZ85,BD85)</f>
        <v>1269000</v>
      </c>
      <c r="BI85" s="101">
        <f t="shared" si="510"/>
        <v>1269000</v>
      </c>
      <c r="BJ85" s="102">
        <f t="shared" si="505"/>
        <v>0</v>
      </c>
      <c r="BK85" s="103"/>
      <c r="BL85" s="104"/>
      <c r="BM85" s="3"/>
      <c r="BN85" s="3"/>
      <c r="BO85" s="3"/>
      <c r="BP85" s="3"/>
      <c r="BQ85" s="3"/>
      <c r="BR85" s="3"/>
    </row>
    <row r="86" ht="15.75" customHeight="1">
      <c r="A86" s="1"/>
      <c r="B86" s="105"/>
      <c r="C86" s="106"/>
      <c r="D86" s="107"/>
      <c r="E86" s="144"/>
      <c r="F86" s="109"/>
      <c r="G86" s="110"/>
      <c r="H86" s="111"/>
      <c r="I86" s="112"/>
      <c r="J86" s="3"/>
      <c r="K86" s="188"/>
      <c r="L86" s="3"/>
      <c r="M86" s="3"/>
      <c r="N86" s="3"/>
      <c r="P86" s="3"/>
      <c r="Q86" s="160"/>
      <c r="R86" s="3"/>
      <c r="S86" s="3"/>
      <c r="T86" s="3"/>
      <c r="U86" s="3"/>
      <c r="V86" s="3"/>
      <c r="W86" s="3"/>
      <c r="X86" s="3"/>
      <c r="Y86" s="3"/>
      <c r="Z86" s="3"/>
      <c r="AA86" s="3"/>
      <c r="AB86" s="3"/>
      <c r="AC86" s="3"/>
      <c r="AD86" s="3"/>
      <c r="AE86" s="3"/>
      <c r="AF86" s="3"/>
      <c r="AV86" s="138"/>
      <c r="AW86" s="25"/>
      <c r="AX86" s="139"/>
      <c r="AY86" s="25"/>
    </row>
    <row r="87" ht="15.75" customHeight="1">
      <c r="A87" s="1"/>
      <c r="B87" s="105"/>
      <c r="C87" s="106"/>
      <c r="D87" s="107"/>
      <c r="E87" s="144"/>
      <c r="F87" s="109"/>
      <c r="G87" s="110"/>
      <c r="H87" s="111"/>
      <c r="I87" s="112"/>
      <c r="J87" s="34" t="s">
        <v>93</v>
      </c>
      <c r="K87" s="35"/>
      <c r="L87" s="36" t="s">
        <v>10</v>
      </c>
      <c r="M87" s="37" t="s">
        <v>11</v>
      </c>
      <c r="N87" s="38" t="s">
        <v>12</v>
      </c>
      <c r="O87" s="39" t="s">
        <v>13</v>
      </c>
      <c r="P87" s="119" t="s">
        <v>14</v>
      </c>
      <c r="Q87" s="152" t="s">
        <v>15</v>
      </c>
      <c r="R87" s="38" t="s">
        <v>16</v>
      </c>
      <c r="S87" s="42" t="s">
        <v>17</v>
      </c>
      <c r="T87" s="36" t="s">
        <v>18</v>
      </c>
      <c r="U87" s="152" t="s">
        <v>90</v>
      </c>
      <c r="V87" s="38" t="s">
        <v>20</v>
      </c>
      <c r="W87" s="45" t="s">
        <v>91</v>
      </c>
      <c r="X87" s="119" t="s">
        <v>22</v>
      </c>
      <c r="Y87" s="152" t="s">
        <v>92</v>
      </c>
      <c r="Z87" s="38" t="s">
        <v>24</v>
      </c>
      <c r="AA87" s="45" t="s">
        <v>91</v>
      </c>
      <c r="AB87" s="43" t="s">
        <v>26</v>
      </c>
      <c r="AC87" s="152" t="s">
        <v>27</v>
      </c>
      <c r="AD87" s="38" t="s">
        <v>28</v>
      </c>
      <c r="AE87" s="45" t="s">
        <v>29</v>
      </c>
      <c r="AF87" s="44" t="s">
        <v>30</v>
      </c>
      <c r="AG87" s="152" t="s">
        <v>31</v>
      </c>
      <c r="AH87" s="38" t="s">
        <v>32</v>
      </c>
      <c r="AI87" s="45" t="s">
        <v>33</v>
      </c>
      <c r="AJ87" s="43" t="s">
        <v>34</v>
      </c>
      <c r="AK87" s="152" t="s">
        <v>35</v>
      </c>
      <c r="AL87" s="38" t="s">
        <v>36</v>
      </c>
      <c r="AM87" s="45" t="s">
        <v>37</v>
      </c>
      <c r="AN87" s="44" t="s">
        <v>38</v>
      </c>
      <c r="AO87" s="152" t="s">
        <v>39</v>
      </c>
      <c r="AP87" s="38" t="s">
        <v>40</v>
      </c>
      <c r="AQ87" s="45" t="s">
        <v>41</v>
      </c>
      <c r="AR87" s="43" t="s">
        <v>42</v>
      </c>
      <c r="AS87" s="152" t="s">
        <v>43</v>
      </c>
      <c r="AT87" s="38" t="s">
        <v>44</v>
      </c>
      <c r="AU87" s="45" t="s">
        <v>45</v>
      </c>
      <c r="AV87" s="44" t="s">
        <v>46</v>
      </c>
      <c r="AW87" s="152" t="s">
        <v>47</v>
      </c>
      <c r="AX87" s="38" t="s">
        <v>48</v>
      </c>
      <c r="AY87" s="45" t="s">
        <v>49</v>
      </c>
      <c r="AZ87" s="43" t="s">
        <v>50</v>
      </c>
      <c r="BA87" s="152" t="s">
        <v>51</v>
      </c>
      <c r="BB87" s="38" t="s">
        <v>52</v>
      </c>
      <c r="BC87" s="45" t="s">
        <v>53</v>
      </c>
      <c r="BD87" s="153" t="s">
        <v>54</v>
      </c>
      <c r="BE87" s="152" t="s">
        <v>55</v>
      </c>
      <c r="BF87" s="38" t="s">
        <v>56</v>
      </c>
      <c r="BG87" s="42" t="s">
        <v>57</v>
      </c>
      <c r="BH87" s="46">
        <v>2026.0</v>
      </c>
      <c r="BI87" s="37" t="s">
        <v>58</v>
      </c>
      <c r="BJ87" s="47" t="s">
        <v>59</v>
      </c>
      <c r="BK87" s="48">
        <v>2025.0</v>
      </c>
      <c r="BL87" s="49"/>
      <c r="BM87" s="136"/>
      <c r="BN87" s="136"/>
      <c r="BO87" s="136"/>
      <c r="BP87" s="136"/>
      <c r="BQ87" s="3"/>
      <c r="BR87" s="3"/>
    </row>
    <row r="88" ht="15.75" customHeight="1">
      <c r="A88" s="1"/>
      <c r="B88" s="105">
        <v>14.0</v>
      </c>
      <c r="C88" s="181" t="s">
        <v>94</v>
      </c>
      <c r="D88" s="182">
        <f>200000*12</f>
        <v>2400000</v>
      </c>
      <c r="E88" s="183">
        <v>50.0</v>
      </c>
      <c r="F88" s="184">
        <f>E88*D88</f>
        <v>120000000</v>
      </c>
      <c r="G88" s="185" t="s">
        <v>60</v>
      </c>
      <c r="H88" s="185" t="s">
        <v>60</v>
      </c>
      <c r="I88" s="186" t="s">
        <v>60</v>
      </c>
      <c r="J88" s="50" t="s">
        <v>61</v>
      </c>
      <c r="K88" s="51"/>
      <c r="L88" s="52" t="s">
        <v>60</v>
      </c>
      <c r="M88" s="53" t="s">
        <v>60</v>
      </c>
      <c r="N88" s="54" t="s">
        <v>60</v>
      </c>
      <c r="O88" s="55" t="s">
        <v>62</v>
      </c>
      <c r="P88" s="52" t="s">
        <v>60</v>
      </c>
      <c r="Q88" s="154" t="s">
        <v>60</v>
      </c>
      <c r="R88" s="54" t="s">
        <v>60</v>
      </c>
      <c r="S88" s="57" t="s">
        <v>62</v>
      </c>
      <c r="T88" s="52" t="s">
        <v>60</v>
      </c>
      <c r="U88" s="59" t="s">
        <v>60</v>
      </c>
      <c r="V88" s="54" t="s">
        <v>60</v>
      </c>
      <c r="W88" s="55" t="s">
        <v>62</v>
      </c>
      <c r="X88" s="52" t="s">
        <v>60</v>
      </c>
      <c r="Y88" s="59" t="s">
        <v>60</v>
      </c>
      <c r="Z88" s="54" t="s">
        <v>60</v>
      </c>
      <c r="AA88" s="55" t="s">
        <v>62</v>
      </c>
      <c r="AB88" s="58">
        <v>0.07</v>
      </c>
      <c r="AC88" s="59">
        <f>AC89/(BH89-(L89+P89+T89+X89))</f>
        <v>0</v>
      </c>
      <c r="AD88" s="54" t="s">
        <v>60</v>
      </c>
      <c r="AE88" s="55" t="s">
        <v>62</v>
      </c>
      <c r="AF88" s="58">
        <v>0.08</v>
      </c>
      <c r="AG88" s="59">
        <f>AG89/(BH89-(L89+P89+T89+X89))</f>
        <v>0</v>
      </c>
      <c r="AH88" s="54" t="s">
        <v>60</v>
      </c>
      <c r="AI88" s="55" t="s">
        <v>62</v>
      </c>
      <c r="AJ88" s="58">
        <v>0.09</v>
      </c>
      <c r="AK88" s="59">
        <f>AK89/(BH89-(L89+P89+T89+X89))</f>
        <v>0</v>
      </c>
      <c r="AL88" s="54" t="s">
        <v>60</v>
      </c>
      <c r="AM88" s="55" t="s">
        <v>62</v>
      </c>
      <c r="AN88" s="58">
        <v>0.1</v>
      </c>
      <c r="AO88" s="59">
        <f>AO89/(BH89-(L89+P89+T89+X89))</f>
        <v>0</v>
      </c>
      <c r="AP88" s="54" t="s">
        <v>60</v>
      </c>
      <c r="AQ88" s="55" t="s">
        <v>62</v>
      </c>
      <c r="AR88" s="58">
        <v>0.11</v>
      </c>
      <c r="AS88" s="59">
        <f>AS89/(BH89-(L89+P89+T89+X89))</f>
        <v>0</v>
      </c>
      <c r="AT88" s="54" t="s">
        <v>60</v>
      </c>
      <c r="AU88" s="55" t="s">
        <v>62</v>
      </c>
      <c r="AV88" s="58">
        <v>0.13</v>
      </c>
      <c r="AW88" s="59">
        <f>AW89/(BH89-(L89+P89+T89+X89))</f>
        <v>0</v>
      </c>
      <c r="AX88" s="54" t="s">
        <v>60</v>
      </c>
      <c r="AY88" s="55" t="s">
        <v>62</v>
      </c>
      <c r="AZ88" s="58">
        <v>0.15</v>
      </c>
      <c r="BA88" s="59">
        <f>BA89/(BH89-(L89+P89+T89+X89))</f>
        <v>0</v>
      </c>
      <c r="BB88" s="54" t="s">
        <v>60</v>
      </c>
      <c r="BC88" s="55" t="s">
        <v>62</v>
      </c>
      <c r="BD88" s="155">
        <v>0.27</v>
      </c>
      <c r="BE88" s="59">
        <f>BE89/(BH89-(L89+P89+T89+X89))</f>
        <v>0</v>
      </c>
      <c r="BF88" s="54" t="s">
        <v>60</v>
      </c>
      <c r="BG88" s="57" t="s">
        <v>62</v>
      </c>
      <c r="BH88" s="60">
        <f t="shared" ref="BH88:BI88" si="511">SUM(AB88,AF88,AJ88,AN88,AR88,AV88,AZ88,BD88)</f>
        <v>1</v>
      </c>
      <c r="BI88" s="61">
        <f t="shared" si="511"/>
        <v>0</v>
      </c>
      <c r="BJ88" s="62"/>
      <c r="BK88" s="63" t="s">
        <v>60</v>
      </c>
      <c r="BL88" s="64"/>
      <c r="BM88" s="3"/>
      <c r="BN88" s="3"/>
      <c r="BO88" s="3"/>
      <c r="BP88" s="3"/>
      <c r="BQ88" s="3"/>
      <c r="BR88" s="3"/>
    </row>
    <row r="89" ht="15.75" customHeight="1">
      <c r="A89" s="1"/>
      <c r="B89" s="105"/>
      <c r="C89" s="106"/>
      <c r="D89" s="107"/>
      <c r="E89" s="144"/>
      <c r="F89" s="109"/>
      <c r="G89" s="110"/>
      <c r="H89" s="111"/>
      <c r="I89" s="112"/>
      <c r="J89" s="50" t="s">
        <v>63</v>
      </c>
      <c r="K89" s="51"/>
      <c r="L89" s="127">
        <v>0.0</v>
      </c>
      <c r="M89" s="66">
        <v>0.0</v>
      </c>
      <c r="N89" s="67">
        <f t="shared" ref="N89:N92" si="512">IFERROR(M89-L89,"-")</f>
        <v>0</v>
      </c>
      <c r="O89" s="68" t="str">
        <f t="shared" ref="O89:O92" si="513">IFERROR(M89/L89-1,"-")</f>
        <v>-</v>
      </c>
      <c r="P89" s="127">
        <v>0.0</v>
      </c>
      <c r="Q89" s="66">
        <v>0.0</v>
      </c>
      <c r="R89" s="67">
        <f t="shared" ref="R89:R92" si="514">IFERROR(Q89-P89,"-")</f>
        <v>0</v>
      </c>
      <c r="S89" s="70" t="str">
        <f t="shared" ref="S89:S92" si="515">IFERROR(Q89/P89-1,"-")</f>
        <v>-</v>
      </c>
      <c r="T89" s="65">
        <v>0.0</v>
      </c>
      <c r="U89" s="66">
        <v>0.0</v>
      </c>
      <c r="V89" s="67">
        <f t="shared" ref="V89:V92" si="516">IFERROR(U89-T89,"-")</f>
        <v>0</v>
      </c>
      <c r="W89" s="68" t="str">
        <f t="shared" ref="W89:W92" si="517">IFERROR(U89/T89-1,"-")</f>
        <v>-</v>
      </c>
      <c r="X89" s="65">
        <v>0.0</v>
      </c>
      <c r="Y89" s="66">
        <v>0.0</v>
      </c>
      <c r="Z89" s="67">
        <f t="shared" ref="Z89:Z92" si="518">IFERROR(Y89-X89,"-")</f>
        <v>0</v>
      </c>
      <c r="AA89" s="68" t="str">
        <f t="shared" ref="AA89:AA92" si="519">IFERROR(Y89/X89-1,"-")</f>
        <v>-</v>
      </c>
      <c r="AB89" s="71">
        <f>($BH$89-($L$89+$P$89))*AB88</f>
        <v>2450</v>
      </c>
      <c r="AC89" s="66">
        <v>0.0</v>
      </c>
      <c r="AD89" s="67">
        <f t="shared" ref="AD89:AD92" si="520">IFERROR(AC89-AB89,"-")</f>
        <v>-2450</v>
      </c>
      <c r="AE89" s="68">
        <f t="shared" ref="AE89:AE92" si="521">IFERROR(AC89/AB89-1,"-")</f>
        <v>-1</v>
      </c>
      <c r="AF89" s="71">
        <f>($BH$89-($L$89+$P$89))*AF88</f>
        <v>2800</v>
      </c>
      <c r="AG89" s="66">
        <v>0.0</v>
      </c>
      <c r="AH89" s="67">
        <f t="shared" ref="AH89:AH92" si="522">IFERROR(AG89-AF89,"-")</f>
        <v>-2800</v>
      </c>
      <c r="AI89" s="68">
        <f t="shared" ref="AI89:AI92" si="523">IFERROR(AG89/AF89-1,"-")</f>
        <v>-1</v>
      </c>
      <c r="AJ89" s="71">
        <f>($BH$89-($L$89+$P$89))*AJ88</f>
        <v>3150</v>
      </c>
      <c r="AK89" s="66">
        <v>0.0</v>
      </c>
      <c r="AL89" s="67">
        <f t="shared" ref="AL89:AL92" si="524">IFERROR(AK89-AJ89,"-")</f>
        <v>-3150</v>
      </c>
      <c r="AM89" s="68">
        <f t="shared" ref="AM89:AM92" si="525">IFERROR(AK89/AJ89-1,"-")</f>
        <v>-1</v>
      </c>
      <c r="AN89" s="71">
        <f>($BH$89-($L$89+$P$89))*AN88</f>
        <v>3500</v>
      </c>
      <c r="AO89" s="66">
        <v>0.0</v>
      </c>
      <c r="AP89" s="67">
        <f t="shared" ref="AP89:AP92" si="526">IFERROR(AO89-AN89,"-")</f>
        <v>-3500</v>
      </c>
      <c r="AQ89" s="68">
        <f t="shared" ref="AQ89:AQ92" si="527">IFERROR(AO89/AN89-1,"-")</f>
        <v>-1</v>
      </c>
      <c r="AR89" s="71">
        <f>($BH$89-($L$89+$P$89))*AR88</f>
        <v>3850</v>
      </c>
      <c r="AS89" s="66">
        <v>0.0</v>
      </c>
      <c r="AT89" s="67">
        <f t="shared" ref="AT89:AT92" si="528">IFERROR(AS89-AR89,"-")</f>
        <v>-3850</v>
      </c>
      <c r="AU89" s="68">
        <f t="shared" ref="AU89:AU92" si="529">IFERROR(AS89/AR89-1,"-")</f>
        <v>-1</v>
      </c>
      <c r="AV89" s="71">
        <f>($BH$89-($L$89+$P$89))*AV88</f>
        <v>4550</v>
      </c>
      <c r="AW89" s="66">
        <v>0.0</v>
      </c>
      <c r="AX89" s="67">
        <f t="shared" ref="AX89:AX92" si="530">IFERROR(AW89-AV89,"-")</f>
        <v>-4550</v>
      </c>
      <c r="AY89" s="68">
        <f t="shared" ref="AY89:AY92" si="531">IFERROR(AW89/AV89-1,"-")</f>
        <v>-1</v>
      </c>
      <c r="AZ89" s="71">
        <f>($BH$89-($L$89+$P$89))*AZ88</f>
        <v>5250</v>
      </c>
      <c r="BA89" s="66">
        <v>0.0</v>
      </c>
      <c r="BB89" s="67">
        <f t="shared" ref="BB89:BB92" si="532">IFERROR(BA89-AZ89,"-")</f>
        <v>-5250</v>
      </c>
      <c r="BC89" s="68">
        <f t="shared" ref="BC89:BC92" si="533">IFERROR(BA89/AZ89-1,"-")</f>
        <v>-1</v>
      </c>
      <c r="BD89" s="66">
        <f>($BH$89-($L$89+$P$89))*BD88</f>
        <v>9450</v>
      </c>
      <c r="BE89" s="66">
        <v>0.0</v>
      </c>
      <c r="BF89" s="67">
        <f t="shared" ref="BF89:BF92" si="534">IFERROR(BE89-BD89,"-")</f>
        <v>-9450</v>
      </c>
      <c r="BG89" s="70">
        <f t="shared" ref="BG89:BG92" si="535">IFERROR(BE89/BD89-1,"-")</f>
        <v>-1</v>
      </c>
      <c r="BH89" s="74">
        <v>35000.0</v>
      </c>
      <c r="BI89" s="75">
        <f>SUM(M89,Q89,U89,Y89,AC89,AG89,AK89,AO89,AS89,AW89,BA89,BE89)</f>
        <v>0</v>
      </c>
      <c r="BJ89" s="76">
        <f t="shared" ref="BJ89:BJ92" si="537">IFERROR(BI89/BH89-1,"-")</f>
        <v>-1</v>
      </c>
      <c r="BK89" s="77" t="s">
        <v>60</v>
      </c>
      <c r="BL89" s="78" t="str">
        <f t="shared" ref="BL89:BL90" si="538">IFERROR((BH89/BK89),"-")</f>
        <v>-</v>
      </c>
      <c r="BM89" s="3"/>
      <c r="BN89" s="3"/>
      <c r="BO89" s="3"/>
      <c r="BP89" s="3"/>
      <c r="BQ89" s="3"/>
      <c r="BR89" s="3"/>
    </row>
    <row r="90" ht="15.75" customHeight="1">
      <c r="A90" s="1"/>
      <c r="B90" s="105"/>
      <c r="C90" s="106"/>
      <c r="D90" s="107"/>
      <c r="E90" s="144"/>
      <c r="F90" s="109"/>
      <c r="G90" s="110"/>
      <c r="H90" s="111"/>
      <c r="I90" s="112"/>
      <c r="J90" s="50" t="s">
        <v>64</v>
      </c>
      <c r="K90" s="79"/>
      <c r="L90" s="80">
        <f>L89/$K$91</f>
        <v>0</v>
      </c>
      <c r="M90" s="81">
        <v>0.0</v>
      </c>
      <c r="N90" s="82">
        <f t="shared" si="512"/>
        <v>0</v>
      </c>
      <c r="O90" s="68" t="str">
        <f t="shared" si="513"/>
        <v>-</v>
      </c>
      <c r="P90" s="80">
        <v>0.0</v>
      </c>
      <c r="Q90" s="81">
        <v>0.0</v>
      </c>
      <c r="R90" s="82">
        <f t="shared" si="514"/>
        <v>0</v>
      </c>
      <c r="S90" s="70" t="str">
        <f t="shared" si="515"/>
        <v>-</v>
      </c>
      <c r="T90" s="80">
        <f>T89/$K$91</f>
        <v>0</v>
      </c>
      <c r="U90" s="81">
        <v>0.0</v>
      </c>
      <c r="V90" s="82">
        <f t="shared" si="516"/>
        <v>0</v>
      </c>
      <c r="W90" s="68" t="str">
        <f t="shared" si="517"/>
        <v>-</v>
      </c>
      <c r="X90" s="80">
        <f>X89/$K$91</f>
        <v>0</v>
      </c>
      <c r="Y90" s="81">
        <v>0.0</v>
      </c>
      <c r="Z90" s="82">
        <f t="shared" si="518"/>
        <v>0</v>
      </c>
      <c r="AA90" s="68" t="str">
        <f t="shared" si="519"/>
        <v>-</v>
      </c>
      <c r="AB90" s="84">
        <f>AB89/$K$91</f>
        <v>21.30434783</v>
      </c>
      <c r="AC90" s="81">
        <v>0.0</v>
      </c>
      <c r="AD90" s="82">
        <f t="shared" si="520"/>
        <v>-21.30434783</v>
      </c>
      <c r="AE90" s="68">
        <f t="shared" si="521"/>
        <v>-1</v>
      </c>
      <c r="AF90" s="84">
        <f>AF89/$K$91</f>
        <v>24.34782609</v>
      </c>
      <c r="AG90" s="81">
        <v>0.0</v>
      </c>
      <c r="AH90" s="82">
        <f t="shared" si="522"/>
        <v>-24.34782609</v>
      </c>
      <c r="AI90" s="68">
        <f t="shared" si="523"/>
        <v>-1</v>
      </c>
      <c r="AJ90" s="84">
        <f>AJ89/$K$91</f>
        <v>27.39130435</v>
      </c>
      <c r="AK90" s="81">
        <v>0.0</v>
      </c>
      <c r="AL90" s="82">
        <f t="shared" si="524"/>
        <v>-27.39130435</v>
      </c>
      <c r="AM90" s="68">
        <f t="shared" si="525"/>
        <v>-1</v>
      </c>
      <c r="AN90" s="84">
        <f>AN89/$K$91</f>
        <v>30.43478261</v>
      </c>
      <c r="AO90" s="81">
        <v>0.0</v>
      </c>
      <c r="AP90" s="82">
        <f t="shared" si="526"/>
        <v>-30.43478261</v>
      </c>
      <c r="AQ90" s="68">
        <f t="shared" si="527"/>
        <v>-1</v>
      </c>
      <c r="AR90" s="84">
        <f>AR89/$K$91</f>
        <v>33.47826087</v>
      </c>
      <c r="AS90" s="81">
        <v>0.0</v>
      </c>
      <c r="AT90" s="82">
        <f t="shared" si="528"/>
        <v>-33.47826087</v>
      </c>
      <c r="AU90" s="68">
        <f t="shared" si="529"/>
        <v>-1</v>
      </c>
      <c r="AV90" s="84">
        <f>AV89/$K$91</f>
        <v>39.56521739</v>
      </c>
      <c r="AW90" s="81">
        <v>0.0</v>
      </c>
      <c r="AX90" s="82">
        <f t="shared" si="530"/>
        <v>-39.56521739</v>
      </c>
      <c r="AY90" s="68">
        <f t="shared" si="531"/>
        <v>-1</v>
      </c>
      <c r="AZ90" s="84">
        <f>AZ89/$K$91</f>
        <v>45.65217391</v>
      </c>
      <c r="BA90" s="81">
        <v>0.0</v>
      </c>
      <c r="BB90" s="82">
        <f t="shared" si="532"/>
        <v>-45.65217391</v>
      </c>
      <c r="BC90" s="68">
        <f t="shared" si="533"/>
        <v>-1</v>
      </c>
      <c r="BD90" s="81">
        <f>BD89/$K$91</f>
        <v>82.17391304</v>
      </c>
      <c r="BE90" s="81">
        <v>0.0</v>
      </c>
      <c r="BF90" s="82">
        <f t="shared" si="534"/>
        <v>-82.17391304</v>
      </c>
      <c r="BG90" s="70">
        <f t="shared" si="535"/>
        <v>-1</v>
      </c>
      <c r="BH90" s="156">
        <f t="shared" ref="BH90:BI90" si="536">SUM(L90,P90,T90,X90,AB90,AF90,AJ90,AN90,AR90,AV90,AZ90,BD90)</f>
        <v>304.3478261</v>
      </c>
      <c r="BI90" s="87">
        <f t="shared" si="536"/>
        <v>0</v>
      </c>
      <c r="BJ90" s="76">
        <f t="shared" si="537"/>
        <v>-1</v>
      </c>
      <c r="BK90" s="88" t="s">
        <v>60</v>
      </c>
      <c r="BL90" s="78" t="str">
        <f t="shared" si="538"/>
        <v>-</v>
      </c>
      <c r="BM90" s="3"/>
      <c r="BN90" s="3"/>
      <c r="BO90" s="3"/>
      <c r="BP90" s="3"/>
      <c r="BQ90" s="3"/>
      <c r="BR90" s="3"/>
    </row>
    <row r="91" ht="15.75" customHeight="1">
      <c r="A91" s="1"/>
      <c r="B91" s="105"/>
      <c r="C91" s="106"/>
      <c r="D91" s="107"/>
      <c r="E91" s="144"/>
      <c r="F91" s="109"/>
      <c r="G91" s="110"/>
      <c r="H91" s="111"/>
      <c r="I91" s="112"/>
      <c r="J91" s="50" t="s">
        <v>65</v>
      </c>
      <c r="K91" s="79">
        <v>115.0</v>
      </c>
      <c r="L91" s="65" t="str">
        <f t="shared" ref="L91:M91" si="539">IFERROR(L89/L90,"-")</f>
        <v>-</v>
      </c>
      <c r="M91" s="66" t="str">
        <f t="shared" si="539"/>
        <v>-</v>
      </c>
      <c r="N91" s="67" t="str">
        <f t="shared" si="512"/>
        <v>-</v>
      </c>
      <c r="O91" s="68" t="str">
        <f t="shared" si="513"/>
        <v>-</v>
      </c>
      <c r="P91" s="65" t="str">
        <f t="shared" ref="P91:Q91" si="540">IFERROR(P89/P90,"-")</f>
        <v>-</v>
      </c>
      <c r="Q91" s="66" t="str">
        <f t="shared" si="540"/>
        <v>-</v>
      </c>
      <c r="R91" s="67" t="str">
        <f t="shared" si="514"/>
        <v>-</v>
      </c>
      <c r="S91" s="70" t="str">
        <f t="shared" si="515"/>
        <v>-</v>
      </c>
      <c r="T91" s="65" t="str">
        <f t="shared" ref="T91:U91" si="541">IFERROR(T89/T90,"-")</f>
        <v>-</v>
      </c>
      <c r="U91" s="66" t="str">
        <f t="shared" si="541"/>
        <v>-</v>
      </c>
      <c r="V91" s="67" t="str">
        <f t="shared" si="516"/>
        <v>-</v>
      </c>
      <c r="W91" s="68" t="str">
        <f t="shared" si="517"/>
        <v>-</v>
      </c>
      <c r="X91" s="65" t="str">
        <f t="shared" ref="X91:Y91" si="542">IFERROR(X89/X90,"-")</f>
        <v>-</v>
      </c>
      <c r="Y91" s="66" t="str">
        <f t="shared" si="542"/>
        <v>-</v>
      </c>
      <c r="Z91" s="67" t="str">
        <f t="shared" si="518"/>
        <v>-</v>
      </c>
      <c r="AA91" s="68" t="str">
        <f t="shared" si="519"/>
        <v>-</v>
      </c>
      <c r="AB91" s="84">
        <f>AB89/AB90</f>
        <v>115</v>
      </c>
      <c r="AC91" s="66" t="str">
        <f>IFERROR(AC89/AC90,"-")</f>
        <v>-</v>
      </c>
      <c r="AD91" s="67" t="str">
        <f t="shared" si="520"/>
        <v>-</v>
      </c>
      <c r="AE91" s="68" t="str">
        <f t="shared" si="521"/>
        <v>-</v>
      </c>
      <c r="AF91" s="84">
        <f>AF89/AF90</f>
        <v>115</v>
      </c>
      <c r="AG91" s="66" t="str">
        <f>IFERROR(AG89/AG90,"-")</f>
        <v>-</v>
      </c>
      <c r="AH91" s="67" t="str">
        <f t="shared" si="522"/>
        <v>-</v>
      </c>
      <c r="AI91" s="68" t="str">
        <f t="shared" si="523"/>
        <v>-</v>
      </c>
      <c r="AJ91" s="84">
        <f>AJ89/AJ90</f>
        <v>115</v>
      </c>
      <c r="AK91" s="66" t="str">
        <f>IFERROR(AK89/AK90,"-")</f>
        <v>-</v>
      </c>
      <c r="AL91" s="67" t="str">
        <f t="shared" si="524"/>
        <v>-</v>
      </c>
      <c r="AM91" s="68" t="str">
        <f t="shared" si="525"/>
        <v>-</v>
      </c>
      <c r="AN91" s="84">
        <f>AN89/AN90</f>
        <v>115</v>
      </c>
      <c r="AO91" s="66" t="str">
        <f>IFERROR(AO89/AO90,"-")</f>
        <v>-</v>
      </c>
      <c r="AP91" s="67" t="str">
        <f t="shared" si="526"/>
        <v>-</v>
      </c>
      <c r="AQ91" s="68" t="str">
        <f t="shared" si="527"/>
        <v>-</v>
      </c>
      <c r="AR91" s="84">
        <f>AR89/AR90</f>
        <v>115</v>
      </c>
      <c r="AS91" s="66" t="str">
        <f>IFERROR(AS89/AS90,"-")</f>
        <v>-</v>
      </c>
      <c r="AT91" s="67" t="str">
        <f t="shared" si="528"/>
        <v>-</v>
      </c>
      <c r="AU91" s="68" t="str">
        <f t="shared" si="529"/>
        <v>-</v>
      </c>
      <c r="AV91" s="84">
        <f>AV89/AV90</f>
        <v>115</v>
      </c>
      <c r="AW91" s="66" t="str">
        <f>IFERROR(AW89/AW90,"-")</f>
        <v>-</v>
      </c>
      <c r="AX91" s="67" t="str">
        <f t="shared" si="530"/>
        <v>-</v>
      </c>
      <c r="AY91" s="68" t="str">
        <f t="shared" si="531"/>
        <v>-</v>
      </c>
      <c r="AZ91" s="84">
        <f>AZ89/AZ90</f>
        <v>115</v>
      </c>
      <c r="BA91" s="66" t="str">
        <f>IFERROR(BA89/BA90,"-")</f>
        <v>-</v>
      </c>
      <c r="BB91" s="67" t="str">
        <f t="shared" si="532"/>
        <v>-</v>
      </c>
      <c r="BC91" s="68" t="str">
        <f t="shared" si="533"/>
        <v>-</v>
      </c>
      <c r="BD91" s="81">
        <f>BD89/BD90</f>
        <v>115</v>
      </c>
      <c r="BE91" s="66" t="str">
        <f>IFERROR(BE89/BE90,"-")</f>
        <v>-</v>
      </c>
      <c r="BF91" s="67" t="str">
        <f t="shared" si="534"/>
        <v>-</v>
      </c>
      <c r="BG91" s="70" t="str">
        <f t="shared" si="535"/>
        <v>-</v>
      </c>
      <c r="BH91" s="89">
        <f>BH89/BH90</f>
        <v>115</v>
      </c>
      <c r="BI91" s="66" t="str">
        <f>IFERROR(BI89/BI90,"-")</f>
        <v>-</v>
      </c>
      <c r="BJ91" s="76" t="str">
        <f t="shared" si="537"/>
        <v>-</v>
      </c>
      <c r="BK91" s="88"/>
      <c r="BL91" s="78"/>
      <c r="BM91" s="3"/>
      <c r="BN91" s="3"/>
      <c r="BO91" s="3"/>
      <c r="BP91" s="3"/>
      <c r="BQ91" s="3"/>
      <c r="BR91" s="3"/>
    </row>
    <row r="92" ht="15.75" customHeight="1">
      <c r="A92" s="1"/>
      <c r="B92" s="105"/>
      <c r="C92" s="106"/>
      <c r="D92" s="107"/>
      <c r="E92" s="144"/>
      <c r="F92" s="109"/>
      <c r="G92" s="110"/>
      <c r="H92" s="111"/>
      <c r="I92" s="112"/>
      <c r="J92" s="91" t="s">
        <v>66</v>
      </c>
      <c r="K92" s="189">
        <v>199.0</v>
      </c>
      <c r="L92" s="99">
        <f t="shared" ref="L92:M92" si="543">K92*1</f>
        <v>199</v>
      </c>
      <c r="M92" s="94">
        <f t="shared" si="543"/>
        <v>199</v>
      </c>
      <c r="N92" s="95">
        <f t="shared" si="512"/>
        <v>0</v>
      </c>
      <c r="O92" s="96">
        <f t="shared" si="513"/>
        <v>0</v>
      </c>
      <c r="P92" s="99">
        <f t="shared" ref="P92:Q92" si="544">L92*1</f>
        <v>199</v>
      </c>
      <c r="Q92" s="94">
        <f t="shared" si="544"/>
        <v>199</v>
      </c>
      <c r="R92" s="95">
        <f t="shared" si="514"/>
        <v>0</v>
      </c>
      <c r="S92" s="98">
        <f t="shared" si="515"/>
        <v>0</v>
      </c>
      <c r="T92" s="99">
        <f t="shared" ref="T92:U92" si="545">P92*1</f>
        <v>199</v>
      </c>
      <c r="U92" s="94">
        <f t="shared" si="545"/>
        <v>199</v>
      </c>
      <c r="V92" s="95">
        <f t="shared" si="516"/>
        <v>0</v>
      </c>
      <c r="W92" s="96">
        <f t="shared" si="517"/>
        <v>0</v>
      </c>
      <c r="X92" s="99">
        <f t="shared" ref="X92:Y92" si="546">T92*1</f>
        <v>199</v>
      </c>
      <c r="Y92" s="94">
        <f t="shared" si="546"/>
        <v>199</v>
      </c>
      <c r="Z92" s="95">
        <f t="shared" si="518"/>
        <v>0</v>
      </c>
      <c r="AA92" s="96">
        <f t="shared" si="519"/>
        <v>0</v>
      </c>
      <c r="AB92" s="99">
        <f t="shared" ref="AB92:AC92" si="547">X92*1</f>
        <v>199</v>
      </c>
      <c r="AC92" s="94">
        <f t="shared" si="547"/>
        <v>199</v>
      </c>
      <c r="AD92" s="95">
        <f t="shared" si="520"/>
        <v>0</v>
      </c>
      <c r="AE92" s="96">
        <f t="shared" si="521"/>
        <v>0</v>
      </c>
      <c r="AF92" s="99">
        <f t="shared" ref="AF92:AG92" si="548">AB92*1</f>
        <v>199</v>
      </c>
      <c r="AG92" s="94">
        <f t="shared" si="548"/>
        <v>199</v>
      </c>
      <c r="AH92" s="95">
        <f t="shared" si="522"/>
        <v>0</v>
      </c>
      <c r="AI92" s="96">
        <f t="shared" si="523"/>
        <v>0</v>
      </c>
      <c r="AJ92" s="99">
        <f t="shared" ref="AJ92:AK92" si="549">AF92*1</f>
        <v>199</v>
      </c>
      <c r="AK92" s="94">
        <f t="shared" si="549"/>
        <v>199</v>
      </c>
      <c r="AL92" s="95">
        <f t="shared" si="524"/>
        <v>0</v>
      </c>
      <c r="AM92" s="96">
        <f t="shared" si="525"/>
        <v>0</v>
      </c>
      <c r="AN92" s="99">
        <f t="shared" ref="AN92:AO92" si="550">AJ92*1</f>
        <v>199</v>
      </c>
      <c r="AO92" s="94">
        <f t="shared" si="550"/>
        <v>199</v>
      </c>
      <c r="AP92" s="95">
        <f t="shared" si="526"/>
        <v>0</v>
      </c>
      <c r="AQ92" s="96">
        <f t="shared" si="527"/>
        <v>0</v>
      </c>
      <c r="AR92" s="99">
        <f t="shared" ref="AR92:AS92" si="551">AN92*1</f>
        <v>199</v>
      </c>
      <c r="AS92" s="94">
        <f t="shared" si="551"/>
        <v>199</v>
      </c>
      <c r="AT92" s="95">
        <f t="shared" si="528"/>
        <v>0</v>
      </c>
      <c r="AU92" s="96">
        <f t="shared" si="529"/>
        <v>0</v>
      </c>
      <c r="AV92" s="99">
        <f t="shared" ref="AV92:AW92" si="552">AR92*1</f>
        <v>199</v>
      </c>
      <c r="AW92" s="94">
        <f t="shared" si="552"/>
        <v>199</v>
      </c>
      <c r="AX92" s="95">
        <f t="shared" si="530"/>
        <v>0</v>
      </c>
      <c r="AY92" s="96">
        <f t="shared" si="531"/>
        <v>0</v>
      </c>
      <c r="AZ92" s="99">
        <f>AV92*1</f>
        <v>199</v>
      </c>
      <c r="BA92" s="94">
        <f>AV92*1</f>
        <v>199</v>
      </c>
      <c r="BB92" s="95">
        <f t="shared" si="532"/>
        <v>0</v>
      </c>
      <c r="BC92" s="96">
        <f t="shared" si="533"/>
        <v>0</v>
      </c>
      <c r="BD92" s="94">
        <f t="shared" ref="BD92:BE92" si="553">AZ92*1</f>
        <v>199</v>
      </c>
      <c r="BE92" s="94">
        <f t="shared" si="553"/>
        <v>199</v>
      </c>
      <c r="BF92" s="95">
        <f t="shared" si="534"/>
        <v>0</v>
      </c>
      <c r="BG92" s="98">
        <f t="shared" si="535"/>
        <v>0</v>
      </c>
      <c r="BH92" s="100">
        <f t="shared" ref="BH92:BI92" si="554">SUM(L92,P92,T92,X92,AB92,AF92,AJ92,AN92,AR92,AV92,AZ92,BD92)</f>
        <v>2388</v>
      </c>
      <c r="BI92" s="101">
        <f t="shared" si="554"/>
        <v>2388</v>
      </c>
      <c r="BJ92" s="102">
        <f t="shared" si="537"/>
        <v>0</v>
      </c>
      <c r="BK92" s="103" t="s">
        <v>60</v>
      </c>
      <c r="BL92" s="104" t="str">
        <f>IFERROR((BH92/BK92),"-")</f>
        <v>-</v>
      </c>
      <c r="BM92" s="3"/>
      <c r="BN92" s="3"/>
      <c r="BO92" s="3"/>
      <c r="BP92" s="3"/>
      <c r="BQ92" s="3"/>
      <c r="BR92" s="3"/>
    </row>
    <row r="93" ht="15.75" customHeight="1">
      <c r="A93" s="1"/>
      <c r="B93" s="105"/>
      <c r="C93" s="106"/>
      <c r="D93" s="107"/>
      <c r="E93" s="144"/>
      <c r="F93" s="109"/>
      <c r="G93" s="110"/>
      <c r="H93" s="111"/>
      <c r="I93" s="112"/>
      <c r="J93" s="8"/>
      <c r="K93" s="9"/>
      <c r="L93" s="172"/>
      <c r="M93" s="172"/>
      <c r="N93" s="172"/>
      <c r="O93" s="172"/>
      <c r="P93" s="172"/>
      <c r="Q93" s="23"/>
      <c r="R93" s="172">
        <v>15.0</v>
      </c>
      <c r="S93" s="172">
        <v>25.0</v>
      </c>
      <c r="T93" s="172"/>
      <c r="U93" s="172"/>
      <c r="V93" s="172"/>
      <c r="W93" s="172"/>
      <c r="X93" s="172"/>
      <c r="Y93" s="172"/>
      <c r="Z93" s="172"/>
      <c r="AA93" s="3"/>
      <c r="AB93" s="3"/>
      <c r="AC93" s="3"/>
      <c r="AD93" s="3"/>
      <c r="AE93" s="3"/>
      <c r="AF93" s="3"/>
      <c r="AV93" s="138"/>
      <c r="AW93" s="25"/>
      <c r="AX93" s="139"/>
      <c r="AY93" s="25"/>
    </row>
    <row r="94" ht="15.75" customHeight="1">
      <c r="A94" s="1"/>
      <c r="B94" s="105"/>
      <c r="C94" s="106"/>
      <c r="D94" s="107"/>
      <c r="E94" s="144"/>
      <c r="F94" s="109"/>
      <c r="G94" s="110"/>
      <c r="H94" s="111"/>
      <c r="I94" s="112"/>
      <c r="J94" s="34" t="s">
        <v>95</v>
      </c>
      <c r="K94" s="35"/>
      <c r="L94" s="36" t="s">
        <v>10</v>
      </c>
      <c r="M94" s="37" t="s">
        <v>11</v>
      </c>
      <c r="N94" s="38" t="s">
        <v>12</v>
      </c>
      <c r="O94" s="39" t="s">
        <v>13</v>
      </c>
      <c r="P94" s="119" t="s">
        <v>14</v>
      </c>
      <c r="Q94" s="152" t="s">
        <v>15</v>
      </c>
      <c r="R94" s="38" t="s">
        <v>16</v>
      </c>
      <c r="S94" s="42" t="s">
        <v>17</v>
      </c>
      <c r="T94" s="36" t="s">
        <v>18</v>
      </c>
      <c r="U94" s="152" t="s">
        <v>90</v>
      </c>
      <c r="V94" s="38" t="s">
        <v>20</v>
      </c>
      <c r="W94" s="45" t="s">
        <v>91</v>
      </c>
      <c r="X94" s="119" t="s">
        <v>22</v>
      </c>
      <c r="Y94" s="152" t="s">
        <v>92</v>
      </c>
      <c r="Z94" s="38" t="s">
        <v>24</v>
      </c>
      <c r="AA94" s="45" t="s">
        <v>91</v>
      </c>
      <c r="AB94" s="36" t="s">
        <v>26</v>
      </c>
      <c r="AC94" s="152" t="s">
        <v>27</v>
      </c>
      <c r="AD94" s="38" t="s">
        <v>28</v>
      </c>
      <c r="AE94" s="45" t="s">
        <v>29</v>
      </c>
      <c r="AF94" s="44" t="s">
        <v>30</v>
      </c>
      <c r="AG94" s="152" t="s">
        <v>31</v>
      </c>
      <c r="AH94" s="38" t="s">
        <v>32</v>
      </c>
      <c r="AI94" s="45" t="s">
        <v>33</v>
      </c>
      <c r="AJ94" s="43" t="s">
        <v>34</v>
      </c>
      <c r="AK94" s="152" t="s">
        <v>35</v>
      </c>
      <c r="AL94" s="38" t="s">
        <v>36</v>
      </c>
      <c r="AM94" s="45" t="s">
        <v>37</v>
      </c>
      <c r="AN94" s="44" t="s">
        <v>38</v>
      </c>
      <c r="AO94" s="152" t="s">
        <v>39</v>
      </c>
      <c r="AP94" s="38" t="s">
        <v>40</v>
      </c>
      <c r="AQ94" s="45" t="s">
        <v>41</v>
      </c>
      <c r="AR94" s="43" t="s">
        <v>42</v>
      </c>
      <c r="AS94" s="152" t="s">
        <v>43</v>
      </c>
      <c r="AT94" s="38" t="s">
        <v>44</v>
      </c>
      <c r="AU94" s="45" t="s">
        <v>45</v>
      </c>
      <c r="AV94" s="44" t="s">
        <v>46</v>
      </c>
      <c r="AW94" s="152" t="s">
        <v>47</v>
      </c>
      <c r="AX94" s="38" t="s">
        <v>48</v>
      </c>
      <c r="AY94" s="45" t="s">
        <v>49</v>
      </c>
      <c r="AZ94" s="43" t="s">
        <v>50</v>
      </c>
      <c r="BA94" s="152" t="s">
        <v>51</v>
      </c>
      <c r="BB94" s="38" t="s">
        <v>52</v>
      </c>
      <c r="BC94" s="45" t="s">
        <v>53</v>
      </c>
      <c r="BD94" s="153" t="s">
        <v>54</v>
      </c>
      <c r="BE94" s="152" t="s">
        <v>55</v>
      </c>
      <c r="BF94" s="38" t="s">
        <v>56</v>
      </c>
      <c r="BG94" s="42" t="s">
        <v>57</v>
      </c>
      <c r="BH94" s="46">
        <v>2026.0</v>
      </c>
      <c r="BI94" s="37" t="s">
        <v>58</v>
      </c>
      <c r="BJ94" s="47" t="s">
        <v>59</v>
      </c>
      <c r="BK94" s="48">
        <v>2025.0</v>
      </c>
      <c r="BL94" s="49"/>
      <c r="BM94" s="136"/>
      <c r="BN94" s="136"/>
      <c r="BO94" s="136"/>
      <c r="BP94" s="136"/>
      <c r="BQ94" s="136"/>
      <c r="BR94" s="136"/>
    </row>
    <row r="95" ht="15.75" customHeight="1">
      <c r="A95" s="1"/>
      <c r="B95" s="105">
        <v>15.0</v>
      </c>
      <c r="C95" s="106" t="s">
        <v>96</v>
      </c>
      <c r="D95" s="107">
        <f>3500*4*12</f>
        <v>168000</v>
      </c>
      <c r="E95" s="144">
        <v>40.0</v>
      </c>
      <c r="F95" s="109">
        <f>E95*D95</f>
        <v>6720000</v>
      </c>
      <c r="G95" s="110">
        <v>9704.999999999982</v>
      </c>
      <c r="H95" s="111">
        <v>519.0</v>
      </c>
      <c r="I95" s="112">
        <v>18.699421965317885</v>
      </c>
      <c r="J95" s="50" t="s">
        <v>61</v>
      </c>
      <c r="K95" s="51"/>
      <c r="L95" s="52" t="s">
        <v>60</v>
      </c>
      <c r="M95" s="53" t="s">
        <v>60</v>
      </c>
      <c r="N95" s="54" t="s">
        <v>60</v>
      </c>
      <c r="O95" s="55" t="s">
        <v>62</v>
      </c>
      <c r="P95" s="52" t="s">
        <v>60</v>
      </c>
      <c r="Q95" s="154" t="s">
        <v>60</v>
      </c>
      <c r="R95" s="54" t="s">
        <v>60</v>
      </c>
      <c r="S95" s="57" t="s">
        <v>62</v>
      </c>
      <c r="T95" s="52" t="s">
        <v>60</v>
      </c>
      <c r="U95" s="59" t="s">
        <v>60</v>
      </c>
      <c r="V95" s="54" t="s">
        <v>60</v>
      </c>
      <c r="W95" s="55" t="s">
        <v>62</v>
      </c>
      <c r="X95" s="52" t="s">
        <v>60</v>
      </c>
      <c r="Y95" s="59" t="s">
        <v>60</v>
      </c>
      <c r="Z95" s="54" t="s">
        <v>60</v>
      </c>
      <c r="AA95" s="55" t="s">
        <v>62</v>
      </c>
      <c r="AB95" s="52" t="s">
        <v>60</v>
      </c>
      <c r="AC95" s="59" t="s">
        <v>60</v>
      </c>
      <c r="AD95" s="54" t="s">
        <v>60</v>
      </c>
      <c r="AE95" s="55" t="s">
        <v>62</v>
      </c>
      <c r="AF95" s="58">
        <v>0.02</v>
      </c>
      <c r="AG95" s="59">
        <f>AG96/(BH96-(L96+P96+T96+X96+AB96))</f>
        <v>0</v>
      </c>
      <c r="AH95" s="54" t="s">
        <v>60</v>
      </c>
      <c r="AI95" s="55" t="s">
        <v>62</v>
      </c>
      <c r="AJ95" s="58">
        <v>0.03</v>
      </c>
      <c r="AK95" s="59">
        <f>AK96/(BH96-(L96+P96+T96+X96+AB96))</f>
        <v>0</v>
      </c>
      <c r="AL95" s="54" t="s">
        <v>60</v>
      </c>
      <c r="AM95" s="55" t="s">
        <v>62</v>
      </c>
      <c r="AN95" s="58">
        <v>0.05</v>
      </c>
      <c r="AO95" s="59">
        <f>AO96/(BH96-(L96+P96+T96+X96+AB96))</f>
        <v>0</v>
      </c>
      <c r="AP95" s="54" t="s">
        <v>60</v>
      </c>
      <c r="AQ95" s="55" t="s">
        <v>62</v>
      </c>
      <c r="AR95" s="58">
        <v>0.2</v>
      </c>
      <c r="AS95" s="59">
        <f>AS96/(BH96-(L96+P96+T96+X96+AB96))</f>
        <v>0</v>
      </c>
      <c r="AT95" s="54" t="s">
        <v>60</v>
      </c>
      <c r="AU95" s="55" t="s">
        <v>62</v>
      </c>
      <c r="AV95" s="58">
        <v>0.2</v>
      </c>
      <c r="AW95" s="59">
        <f>AW96/(BH96-(L96+P96+T96+X96+AB96))</f>
        <v>0</v>
      </c>
      <c r="AX95" s="54" t="s">
        <v>60</v>
      </c>
      <c r="AY95" s="55" t="s">
        <v>62</v>
      </c>
      <c r="AZ95" s="58">
        <v>0.25</v>
      </c>
      <c r="BA95" s="59">
        <f>BA96/(BH96-(L96+P96+T96+X96+AB96))</f>
        <v>0</v>
      </c>
      <c r="BB95" s="54" t="s">
        <v>60</v>
      </c>
      <c r="BC95" s="55" t="s">
        <v>62</v>
      </c>
      <c r="BD95" s="155">
        <v>0.25</v>
      </c>
      <c r="BE95" s="59">
        <f>BE96/(BH96-(L96+P96+T96+X96++AB96))</f>
        <v>0</v>
      </c>
      <c r="BF95" s="54" t="s">
        <v>60</v>
      </c>
      <c r="BG95" s="57" t="s">
        <v>62</v>
      </c>
      <c r="BH95" s="60">
        <f t="shared" ref="BH95:BI95" si="555">SUM(AF95,AJ95,AN95,AR95,AV95,AZ95,BD95)</f>
        <v>1</v>
      </c>
      <c r="BI95" s="61">
        <f t="shared" si="555"/>
        <v>0</v>
      </c>
      <c r="BJ95" s="62"/>
      <c r="BK95" s="63" t="s">
        <v>60</v>
      </c>
      <c r="BL95" s="64"/>
      <c r="BM95" s="3"/>
      <c r="BN95" s="3"/>
      <c r="BO95" s="3"/>
      <c r="BP95" s="3"/>
      <c r="BQ95" s="3"/>
      <c r="BR95" s="3"/>
    </row>
    <row r="96" ht="15.75" customHeight="1">
      <c r="A96" s="1"/>
      <c r="B96" s="105"/>
      <c r="C96" s="106"/>
      <c r="D96" s="107"/>
      <c r="E96" s="144"/>
      <c r="F96" s="109"/>
      <c r="G96" s="110"/>
      <c r="H96" s="111"/>
      <c r="I96" s="112"/>
      <c r="J96" s="50" t="s">
        <v>63</v>
      </c>
      <c r="K96" s="51"/>
      <c r="L96" s="127">
        <v>0.0</v>
      </c>
      <c r="M96" s="66">
        <v>0.0</v>
      </c>
      <c r="N96" s="67">
        <f t="shared" ref="N96:N99" si="556">IFERROR(M96-L96,"-")</f>
        <v>0</v>
      </c>
      <c r="O96" s="68" t="str">
        <f t="shared" ref="O96:O99" si="557">IFERROR(M96/L96-1,"-")</f>
        <v>-</v>
      </c>
      <c r="P96" s="127">
        <v>0.0</v>
      </c>
      <c r="Q96" s="66">
        <v>0.0</v>
      </c>
      <c r="R96" s="67">
        <f t="shared" ref="R96:R99" si="558">IFERROR(Q96-P96,"-")</f>
        <v>0</v>
      </c>
      <c r="S96" s="70" t="str">
        <f t="shared" ref="S96:S99" si="559">IFERROR(Q96/P96-1,"-")</f>
        <v>-</v>
      </c>
      <c r="T96" s="65">
        <v>0.0</v>
      </c>
      <c r="U96" s="66">
        <v>3.99</v>
      </c>
      <c r="V96" s="67">
        <f t="shared" ref="V96:V99" si="560">IFERROR(U96-T96,"-")</f>
        <v>3.99</v>
      </c>
      <c r="W96" s="68" t="str">
        <f t="shared" ref="W96:W99" si="561">IFERROR(U96/T96-1,"-")</f>
        <v>-</v>
      </c>
      <c r="X96" s="65">
        <v>0.0</v>
      </c>
      <c r="Y96" s="66">
        <v>3332.19</v>
      </c>
      <c r="Z96" s="67">
        <f t="shared" ref="Z96:Z99" si="562">IFERROR(Y96-X96,"-")</f>
        <v>3332.19</v>
      </c>
      <c r="AA96" s="68" t="str">
        <f t="shared" ref="AA96:AA99" si="563">IFERROR(Y96/X96-1,"-")</f>
        <v>-</v>
      </c>
      <c r="AB96" s="65">
        <v>0.0</v>
      </c>
      <c r="AC96" s="66">
        <v>24.95</v>
      </c>
      <c r="AD96" s="67">
        <f t="shared" ref="AD96:AD99" si="564">IFERROR(AC96-AB96,"-")</f>
        <v>24.95</v>
      </c>
      <c r="AE96" s="68" t="str">
        <f t="shared" ref="AE96:AE99" si="565">IFERROR(AC96/AB96-1,"-")</f>
        <v>-</v>
      </c>
      <c r="AF96" s="71">
        <f>($BH$96-($L$96+$P$96))*AF95</f>
        <v>14000</v>
      </c>
      <c r="AG96" s="66">
        <v>0.0</v>
      </c>
      <c r="AH96" s="67">
        <f t="shared" ref="AH96:AH99" si="566">IFERROR(AG96-AF96,"-")</f>
        <v>-14000</v>
      </c>
      <c r="AI96" s="68">
        <f t="shared" ref="AI96:AI99" si="567">IFERROR(AG96/AF96-1,"-")</f>
        <v>-1</v>
      </c>
      <c r="AJ96" s="71">
        <f>($BH$96-($L$96+$P$96))*AJ95</f>
        <v>21000</v>
      </c>
      <c r="AK96" s="66">
        <v>0.0</v>
      </c>
      <c r="AL96" s="67">
        <f t="shared" ref="AL96:AL99" si="568">IFERROR(AK96-AJ96,"-")</f>
        <v>-21000</v>
      </c>
      <c r="AM96" s="68">
        <f t="shared" ref="AM96:AM99" si="569">IFERROR(AK96/AJ96-1,"-")</f>
        <v>-1</v>
      </c>
      <c r="AN96" s="71">
        <f>($BH$96-($L$96+$P$96))*AN95</f>
        <v>35000</v>
      </c>
      <c r="AO96" s="66">
        <v>0.0</v>
      </c>
      <c r="AP96" s="67">
        <f t="shared" ref="AP96:AP99" si="570">IFERROR(AO96-AN96,"-")</f>
        <v>-35000</v>
      </c>
      <c r="AQ96" s="68">
        <f t="shared" ref="AQ96:AQ99" si="571">IFERROR(AO96/AN96-1,"-")</f>
        <v>-1</v>
      </c>
      <c r="AR96" s="71">
        <f>($BH$96-($L$96+$P$96))*AR95</f>
        <v>140000</v>
      </c>
      <c r="AS96" s="66">
        <v>0.0</v>
      </c>
      <c r="AT96" s="67">
        <f t="shared" ref="AT96:AT99" si="572">IFERROR(AS96-AR96,"-")</f>
        <v>-140000</v>
      </c>
      <c r="AU96" s="68">
        <f t="shared" ref="AU96:AU99" si="573">IFERROR(AS96/AR96-1,"-")</f>
        <v>-1</v>
      </c>
      <c r="AV96" s="71">
        <f>($BH$96-($L$96+$P$96))*AV95</f>
        <v>140000</v>
      </c>
      <c r="AW96" s="66">
        <v>0.0</v>
      </c>
      <c r="AX96" s="67">
        <f t="shared" ref="AX96:AX99" si="574">IFERROR(AW96-AV96,"-")</f>
        <v>-140000</v>
      </c>
      <c r="AY96" s="68">
        <f t="shared" ref="AY96:AY99" si="575">IFERROR(AW96/AV96-1,"-")</f>
        <v>-1</v>
      </c>
      <c r="AZ96" s="71">
        <f>($BH$96-($L$96+$P$96))*AZ95</f>
        <v>175000</v>
      </c>
      <c r="BA96" s="66">
        <v>0.0</v>
      </c>
      <c r="BB96" s="67">
        <f t="shared" ref="BB96:BB99" si="576">IFERROR(BA96-AZ96,"-")</f>
        <v>-175000</v>
      </c>
      <c r="BC96" s="68">
        <f t="shared" ref="BC96:BC99" si="577">IFERROR(BA96/AZ96-1,"-")</f>
        <v>-1</v>
      </c>
      <c r="BD96" s="66">
        <f>($BH$96-($L$96+$P$96))*BD95</f>
        <v>175000</v>
      </c>
      <c r="BE96" s="66">
        <v>0.0</v>
      </c>
      <c r="BF96" s="67">
        <f t="shared" ref="BF96:BF99" si="578">IFERROR(BE96-BD96,"-")</f>
        <v>-175000</v>
      </c>
      <c r="BG96" s="70">
        <f t="shared" ref="BG96:BG99" si="579">IFERROR(BE96/BD96-1,"-")</f>
        <v>-1</v>
      </c>
      <c r="BH96" s="74">
        <v>700000.0</v>
      </c>
      <c r="BI96" s="75">
        <f>SUM(M96,Q96,U96,Y96,AC96,AG96,AK96,AO96,AS96,AW96,BA96,BE96)</f>
        <v>3361.13</v>
      </c>
      <c r="BJ96" s="76">
        <f t="shared" ref="BJ96:BJ99" si="581">IFERROR(BI96/BH96-1,"-")</f>
        <v>-0.9951983857</v>
      </c>
      <c r="BK96" s="77">
        <v>0.0</v>
      </c>
      <c r="BL96" s="78" t="str">
        <f t="shared" ref="BL96:BL97" si="582">IFERROR((BH96/BK96),"-")</f>
        <v>-</v>
      </c>
      <c r="BM96" s="3"/>
      <c r="BN96" s="3"/>
      <c r="BO96" s="3"/>
      <c r="BP96" s="3"/>
      <c r="BQ96" s="3"/>
      <c r="BR96" s="3"/>
    </row>
    <row r="97" ht="15.75" customHeight="1">
      <c r="A97" s="1"/>
      <c r="B97" s="105"/>
      <c r="C97" s="106"/>
      <c r="D97" s="107"/>
      <c r="E97" s="144"/>
      <c r="F97" s="109"/>
      <c r="G97" s="110"/>
      <c r="H97" s="111"/>
      <c r="I97" s="112"/>
      <c r="J97" s="50" t="s">
        <v>64</v>
      </c>
      <c r="K97" s="79"/>
      <c r="L97" s="129">
        <f>L96/$K$98</f>
        <v>0</v>
      </c>
      <c r="M97" s="81">
        <v>0.0</v>
      </c>
      <c r="N97" s="82">
        <f t="shared" si="556"/>
        <v>0</v>
      </c>
      <c r="O97" s="68" t="str">
        <f t="shared" si="557"/>
        <v>-</v>
      </c>
      <c r="P97" s="129">
        <f>P96/$K$98</f>
        <v>0</v>
      </c>
      <c r="Q97" s="81">
        <v>0.0</v>
      </c>
      <c r="R97" s="82">
        <f t="shared" si="558"/>
        <v>0</v>
      </c>
      <c r="S97" s="70" t="str">
        <f t="shared" si="559"/>
        <v>-</v>
      </c>
      <c r="T97" s="129">
        <v>0.0</v>
      </c>
      <c r="U97" s="81">
        <v>1.0</v>
      </c>
      <c r="V97" s="82">
        <f t="shared" si="560"/>
        <v>1</v>
      </c>
      <c r="W97" s="68" t="str">
        <f t="shared" si="561"/>
        <v>-</v>
      </c>
      <c r="X97" s="129">
        <f>X96/$K$98</f>
        <v>0</v>
      </c>
      <c r="Y97" s="81">
        <v>462.0</v>
      </c>
      <c r="Z97" s="82">
        <f t="shared" si="562"/>
        <v>462</v>
      </c>
      <c r="AA97" s="68" t="str">
        <f t="shared" si="563"/>
        <v>-</v>
      </c>
      <c r="AB97" s="129">
        <f>AB96/$K$98</f>
        <v>0</v>
      </c>
      <c r="AC97" s="81">
        <v>5.0</v>
      </c>
      <c r="AD97" s="82">
        <f t="shared" si="564"/>
        <v>5</v>
      </c>
      <c r="AE97" s="68" t="str">
        <f t="shared" si="565"/>
        <v>-</v>
      </c>
      <c r="AF97" s="84">
        <f>AF96/$K$98</f>
        <v>280</v>
      </c>
      <c r="AG97" s="81">
        <v>0.0</v>
      </c>
      <c r="AH97" s="82">
        <f t="shared" si="566"/>
        <v>-280</v>
      </c>
      <c r="AI97" s="68">
        <f t="shared" si="567"/>
        <v>-1</v>
      </c>
      <c r="AJ97" s="84">
        <f>AJ96/$K$98</f>
        <v>420</v>
      </c>
      <c r="AK97" s="81">
        <v>0.0</v>
      </c>
      <c r="AL97" s="82">
        <f t="shared" si="568"/>
        <v>-420</v>
      </c>
      <c r="AM97" s="68">
        <f t="shared" si="569"/>
        <v>-1</v>
      </c>
      <c r="AN97" s="84">
        <f>AN96/$K$98</f>
        <v>700</v>
      </c>
      <c r="AO97" s="81">
        <v>0.0</v>
      </c>
      <c r="AP97" s="82">
        <f t="shared" si="570"/>
        <v>-700</v>
      </c>
      <c r="AQ97" s="68">
        <f t="shared" si="571"/>
        <v>-1</v>
      </c>
      <c r="AR97" s="84">
        <f>AR96/$K$98</f>
        <v>2800</v>
      </c>
      <c r="AS97" s="81">
        <v>0.0</v>
      </c>
      <c r="AT97" s="82">
        <f t="shared" si="572"/>
        <v>-2800</v>
      </c>
      <c r="AU97" s="68">
        <f t="shared" si="573"/>
        <v>-1</v>
      </c>
      <c r="AV97" s="84">
        <f>AV96/$K$98</f>
        <v>2800</v>
      </c>
      <c r="AW97" s="81">
        <v>0.0</v>
      </c>
      <c r="AX97" s="82">
        <f t="shared" si="574"/>
        <v>-2800</v>
      </c>
      <c r="AY97" s="68">
        <f t="shared" si="575"/>
        <v>-1</v>
      </c>
      <c r="AZ97" s="84">
        <f>AZ96/$K$98</f>
        <v>3500</v>
      </c>
      <c r="BA97" s="81">
        <v>0.0</v>
      </c>
      <c r="BB97" s="82">
        <f t="shared" si="576"/>
        <v>-3500</v>
      </c>
      <c r="BC97" s="68">
        <f t="shared" si="577"/>
        <v>-1</v>
      </c>
      <c r="BD97" s="81">
        <f>BD96/$K$98</f>
        <v>3500</v>
      </c>
      <c r="BE97" s="81">
        <v>0.0</v>
      </c>
      <c r="BF97" s="82">
        <f t="shared" si="578"/>
        <v>-3500</v>
      </c>
      <c r="BG97" s="70">
        <f t="shared" si="579"/>
        <v>-1</v>
      </c>
      <c r="BH97" s="156">
        <f t="shared" ref="BH97:BI97" si="580">SUM(L97,P97,T97,X97,AB97,AF97,AJ97,AN97,AR97,AV97,AZ97,BD97)</f>
        <v>14000</v>
      </c>
      <c r="BI97" s="87">
        <f t="shared" si="580"/>
        <v>468</v>
      </c>
      <c r="BJ97" s="76">
        <f t="shared" si="581"/>
        <v>-0.9665714286</v>
      </c>
      <c r="BK97" s="88">
        <v>0.0</v>
      </c>
      <c r="BL97" s="78" t="str">
        <f t="shared" si="582"/>
        <v>-</v>
      </c>
      <c r="BM97" s="3"/>
      <c r="BN97" s="3"/>
      <c r="BO97" s="3"/>
      <c r="BP97" s="3"/>
      <c r="BQ97" s="3"/>
      <c r="BR97" s="3"/>
    </row>
    <row r="98" ht="15.75" customHeight="1">
      <c r="A98" s="1"/>
      <c r="B98" s="105"/>
      <c r="C98" s="106"/>
      <c r="D98" s="107"/>
      <c r="E98" s="144"/>
      <c r="F98" s="109"/>
      <c r="G98" s="110"/>
      <c r="H98" s="111"/>
      <c r="I98" s="112"/>
      <c r="J98" s="50" t="s">
        <v>65</v>
      </c>
      <c r="K98" s="79">
        <v>50.0</v>
      </c>
      <c r="L98" s="65" t="str">
        <f t="shared" ref="L98:M98" si="583">IFERROR(L96/L97,"-")</f>
        <v>-</v>
      </c>
      <c r="M98" s="66" t="str">
        <f t="shared" si="583"/>
        <v>-</v>
      </c>
      <c r="N98" s="67" t="str">
        <f t="shared" si="556"/>
        <v>-</v>
      </c>
      <c r="O98" s="68" t="str">
        <f t="shared" si="557"/>
        <v>-</v>
      </c>
      <c r="P98" s="65" t="str">
        <f t="shared" ref="P98:Q98" si="584">IFERROR(P96/P97,"-")</f>
        <v>-</v>
      </c>
      <c r="Q98" s="66" t="str">
        <f t="shared" si="584"/>
        <v>-</v>
      </c>
      <c r="R98" s="67" t="str">
        <f t="shared" si="558"/>
        <v>-</v>
      </c>
      <c r="S98" s="70" t="str">
        <f t="shared" si="559"/>
        <v>-</v>
      </c>
      <c r="T98" s="65" t="str">
        <f t="shared" ref="T98:U98" si="585">IFERROR(T96/T97,"-")</f>
        <v>-</v>
      </c>
      <c r="U98" s="66">
        <f t="shared" si="585"/>
        <v>3.99</v>
      </c>
      <c r="V98" s="67" t="str">
        <f t="shared" si="560"/>
        <v>-</v>
      </c>
      <c r="W98" s="68" t="str">
        <f t="shared" si="561"/>
        <v>-</v>
      </c>
      <c r="X98" s="65" t="str">
        <f t="shared" ref="X98:Y98" si="586">IFERROR(X96/X97,"-")</f>
        <v>-</v>
      </c>
      <c r="Y98" s="66">
        <f t="shared" si="586"/>
        <v>7.212532468</v>
      </c>
      <c r="Z98" s="67" t="str">
        <f t="shared" si="562"/>
        <v>-</v>
      </c>
      <c r="AA98" s="68" t="str">
        <f t="shared" si="563"/>
        <v>-</v>
      </c>
      <c r="AB98" s="65" t="str">
        <f t="shared" ref="AB98:AC98" si="587">IFERROR(AB96/AB97,"-")</f>
        <v>-</v>
      </c>
      <c r="AC98" s="66">
        <f t="shared" si="587"/>
        <v>4.99</v>
      </c>
      <c r="AD98" s="67" t="str">
        <f t="shared" si="564"/>
        <v>-</v>
      </c>
      <c r="AE98" s="68" t="str">
        <f t="shared" si="565"/>
        <v>-</v>
      </c>
      <c r="AF98" s="84">
        <f>AF96/AF97</f>
        <v>50</v>
      </c>
      <c r="AG98" s="66" t="str">
        <f>IFERROR(AG96/AG97,"-")</f>
        <v>-</v>
      </c>
      <c r="AH98" s="67" t="str">
        <f t="shared" si="566"/>
        <v>-</v>
      </c>
      <c r="AI98" s="68" t="str">
        <f t="shared" si="567"/>
        <v>-</v>
      </c>
      <c r="AJ98" s="84">
        <f>AJ96/AJ97</f>
        <v>50</v>
      </c>
      <c r="AK98" s="66" t="str">
        <f>IFERROR(AK96/AK97,"-")</f>
        <v>-</v>
      </c>
      <c r="AL98" s="67" t="str">
        <f t="shared" si="568"/>
        <v>-</v>
      </c>
      <c r="AM98" s="68" t="str">
        <f t="shared" si="569"/>
        <v>-</v>
      </c>
      <c r="AN98" s="84">
        <f>AN96/AN97</f>
        <v>50</v>
      </c>
      <c r="AO98" s="66" t="str">
        <f>IFERROR(AO96/AO97,"-")</f>
        <v>-</v>
      </c>
      <c r="AP98" s="67" t="str">
        <f t="shared" si="570"/>
        <v>-</v>
      </c>
      <c r="AQ98" s="68" t="str">
        <f t="shared" si="571"/>
        <v>-</v>
      </c>
      <c r="AR98" s="84">
        <f>AR96/AR97</f>
        <v>50</v>
      </c>
      <c r="AS98" s="66" t="str">
        <f>IFERROR(AS96/AS97,"-")</f>
        <v>-</v>
      </c>
      <c r="AT98" s="67" t="str">
        <f t="shared" si="572"/>
        <v>-</v>
      </c>
      <c r="AU98" s="68" t="str">
        <f t="shared" si="573"/>
        <v>-</v>
      </c>
      <c r="AV98" s="84">
        <f>AV96/AV97</f>
        <v>50</v>
      </c>
      <c r="AW98" s="66" t="str">
        <f>IFERROR(AW96/AW97,"-")</f>
        <v>-</v>
      </c>
      <c r="AX98" s="67" t="str">
        <f t="shared" si="574"/>
        <v>-</v>
      </c>
      <c r="AY98" s="68" t="str">
        <f t="shared" si="575"/>
        <v>-</v>
      </c>
      <c r="AZ98" s="84">
        <f>AZ96/AZ97</f>
        <v>50</v>
      </c>
      <c r="BA98" s="66" t="str">
        <f>IFERROR(BA96/BA97,"-")</f>
        <v>-</v>
      </c>
      <c r="BB98" s="67" t="str">
        <f t="shared" si="576"/>
        <v>-</v>
      </c>
      <c r="BC98" s="68" t="str">
        <f t="shared" si="577"/>
        <v>-</v>
      </c>
      <c r="BD98" s="81">
        <f>BD96/BD97</f>
        <v>50</v>
      </c>
      <c r="BE98" s="66" t="str">
        <f>IFERROR(BE96/BE97,"-")</f>
        <v>-</v>
      </c>
      <c r="BF98" s="67" t="str">
        <f t="shared" si="578"/>
        <v>-</v>
      </c>
      <c r="BG98" s="70" t="str">
        <f t="shared" si="579"/>
        <v>-</v>
      </c>
      <c r="BH98" s="89">
        <f t="shared" ref="BH98:BI98" si="588">BH96/BH97</f>
        <v>50</v>
      </c>
      <c r="BI98" s="90">
        <f t="shared" si="588"/>
        <v>7.181901709</v>
      </c>
      <c r="BJ98" s="76">
        <f t="shared" si="581"/>
        <v>-0.8563619658</v>
      </c>
      <c r="BK98" s="88"/>
      <c r="BL98" s="78"/>
      <c r="BM98" s="3"/>
      <c r="BN98" s="3"/>
      <c r="BO98" s="3"/>
      <c r="BP98" s="3"/>
      <c r="BQ98" s="3"/>
      <c r="BR98" s="3"/>
    </row>
    <row r="99" ht="15.75" customHeight="1">
      <c r="A99" s="1"/>
      <c r="B99" s="105"/>
      <c r="C99" s="106"/>
      <c r="D99" s="107"/>
      <c r="E99" s="144"/>
      <c r="F99" s="109"/>
      <c r="G99" s="110"/>
      <c r="H99" s="111"/>
      <c r="I99" s="112"/>
      <c r="J99" s="91" t="s">
        <v>66</v>
      </c>
      <c r="K99" s="92">
        <v>0.02</v>
      </c>
      <c r="L99" s="99">
        <f t="shared" ref="L99:M99" si="589">IF(L97=0, 0, (L96/L97) * (
  MIN(L97, 50000) * 0.02 +
  MAX(0, MIN(L97, 100000) - 50000) * 0.015 +
  MAX(0, L97 - 100000) * 0.01
))</f>
        <v>0</v>
      </c>
      <c r="M99" s="94">
        <f t="shared" si="589"/>
        <v>0</v>
      </c>
      <c r="N99" s="95">
        <f t="shared" si="556"/>
        <v>0</v>
      </c>
      <c r="O99" s="96" t="str">
        <f t="shared" si="557"/>
        <v>-</v>
      </c>
      <c r="P99" s="99">
        <f t="shared" ref="P99:Q99" si="590">IF(P97=0, 0, (P96/P97) * (
  MIN(P97, 50000) * 0.02 +
  MAX(0, MIN(P97, 100000) - 50000) * 0.015 +
  MAX(0, P97 - 100000) * 0.01
))</f>
        <v>0</v>
      </c>
      <c r="Q99" s="94">
        <f t="shared" si="590"/>
        <v>0</v>
      </c>
      <c r="R99" s="95">
        <f t="shared" si="558"/>
        <v>0</v>
      </c>
      <c r="S99" s="98" t="str">
        <f t="shared" si="559"/>
        <v>-</v>
      </c>
      <c r="T99" s="99">
        <f t="shared" ref="T99:U99" si="591">IF(T97=0, 0, (T96/T97) * (
  MIN(T97, 50000) * 0.02 +
  MAX(0, MIN(T97, 100000) - 50000) * 0.015 +
  MAX(0, T97 - 100000) * 0.01
))</f>
        <v>0</v>
      </c>
      <c r="U99" s="94">
        <f t="shared" si="591"/>
        <v>0.0798</v>
      </c>
      <c r="V99" s="95">
        <f t="shared" si="560"/>
        <v>0.0798</v>
      </c>
      <c r="W99" s="96" t="str">
        <f t="shared" si="561"/>
        <v>-</v>
      </c>
      <c r="X99" s="99">
        <f t="shared" ref="X99:Y99" si="592">IF(X97=0, 0, (X96/X97) * (
  MIN(X97, 50000) * 0.02 +
  MAX(0, MIN(X97, 100000) - 50000) * 0.015 +
  MAX(0, X97 - 100000) * 0.01
))</f>
        <v>0</v>
      </c>
      <c r="Y99" s="94">
        <f t="shared" si="592"/>
        <v>66.6438</v>
      </c>
      <c r="Z99" s="95">
        <f t="shared" si="562"/>
        <v>66.6438</v>
      </c>
      <c r="AA99" s="96" t="str">
        <f t="shared" si="563"/>
        <v>-</v>
      </c>
      <c r="AB99" s="99">
        <f t="shared" ref="AB99:AC99" si="593">IF(AB97=0, 0, (AB96/AB97) * (
  MIN(AB97, 50000) * 0.02 +
  MAX(0, MIN(AB97, 100000) - 50000) * 0.015 +
  MAX(0, AB97 - 100000) * 0.01
))</f>
        <v>0</v>
      </c>
      <c r="AC99" s="94">
        <f t="shared" si="593"/>
        <v>0.499</v>
      </c>
      <c r="AD99" s="95">
        <f t="shared" si="564"/>
        <v>0.499</v>
      </c>
      <c r="AE99" s="96" t="str">
        <f t="shared" si="565"/>
        <v>-</v>
      </c>
      <c r="AF99" s="99">
        <f t="shared" ref="AF99:AG99" si="594">IF(AF97=0, 0, (AF96/AF97) * (
  MIN(AF97, 50000) * 0.02 +
  MAX(0, MIN(AF97, 100000) - 50000) * 0.015 +
  MAX(0, AF97 - 100000) * 0.01
))</f>
        <v>280</v>
      </c>
      <c r="AG99" s="94">
        <f t="shared" si="594"/>
        <v>0</v>
      </c>
      <c r="AH99" s="95">
        <f t="shared" si="566"/>
        <v>-280</v>
      </c>
      <c r="AI99" s="96">
        <f t="shared" si="567"/>
        <v>-1</v>
      </c>
      <c r="AJ99" s="99">
        <f t="shared" ref="AJ99:AK99" si="595">IF(AJ97=0, 0, (AJ96/AJ97) * (
  MIN(AJ97, 50000) * 0.02 +
  MAX(0, MIN(AJ97, 100000) - 50000) * 0.015 +
  MAX(0, AJ97 - 100000) * 0.01
))</f>
        <v>420</v>
      </c>
      <c r="AK99" s="94">
        <f t="shared" si="595"/>
        <v>0</v>
      </c>
      <c r="AL99" s="95">
        <f t="shared" si="568"/>
        <v>-420</v>
      </c>
      <c r="AM99" s="96">
        <f t="shared" si="569"/>
        <v>-1</v>
      </c>
      <c r="AN99" s="99">
        <f t="shared" ref="AN99:AO99" si="596">IF(AN97=0, 0, (AN96/AN97) * (
  MIN(AN97, 50000) * 0.02 +
  MAX(0, MIN(AN97, 100000) - 50000) * 0.015 +
  MAX(0, AN97 - 100000) * 0.01
))</f>
        <v>700</v>
      </c>
      <c r="AO99" s="94">
        <f t="shared" si="596"/>
        <v>0</v>
      </c>
      <c r="AP99" s="95">
        <f t="shared" si="570"/>
        <v>-700</v>
      </c>
      <c r="AQ99" s="96">
        <f t="shared" si="571"/>
        <v>-1</v>
      </c>
      <c r="AR99" s="99">
        <f t="shared" ref="AR99:AS99" si="597">IF(AR97=0, 0, (AR96/AR97) * (
  MIN(AR97, 50000) * 0.02 +
  MAX(0, MIN(AR97, 100000) - 50000) * 0.015 +
  MAX(0, AR97 - 100000) * 0.01
))</f>
        <v>2800</v>
      </c>
      <c r="AS99" s="94">
        <f t="shared" si="597"/>
        <v>0</v>
      </c>
      <c r="AT99" s="95">
        <f t="shared" si="572"/>
        <v>-2800</v>
      </c>
      <c r="AU99" s="96">
        <f t="shared" si="573"/>
        <v>-1</v>
      </c>
      <c r="AV99" s="99">
        <f t="shared" ref="AV99:AW99" si="598">IF(AV97=0, 0, (AV96/AV97) * (
  MIN(AV97, 50000) * 0.02 +
  MAX(0, MIN(AV97, 100000) - 50000) * 0.015 +
  MAX(0, AV97 - 100000) * 0.01
))</f>
        <v>2800</v>
      </c>
      <c r="AW99" s="94">
        <f t="shared" si="598"/>
        <v>0</v>
      </c>
      <c r="AX99" s="95">
        <f t="shared" si="574"/>
        <v>-2800</v>
      </c>
      <c r="AY99" s="96">
        <f t="shared" si="575"/>
        <v>-1</v>
      </c>
      <c r="AZ99" s="99">
        <f t="shared" ref="AZ99:BA99" si="599">IF(AZ97=0, 0, (AZ96/AZ97) * (
  MIN(AZ97, 50000) * 0.02 +
  MAX(0, MIN(AZ97, 100000) - 50000) * 0.015 +
  MAX(0, AZ97 - 100000) * 0.01
))</f>
        <v>3500</v>
      </c>
      <c r="BA99" s="94">
        <f t="shared" si="599"/>
        <v>0</v>
      </c>
      <c r="BB99" s="95">
        <f t="shared" si="576"/>
        <v>-3500</v>
      </c>
      <c r="BC99" s="96">
        <f t="shared" si="577"/>
        <v>-1</v>
      </c>
      <c r="BD99" s="94">
        <f t="shared" ref="BD99:BE99" si="600">IF(BD97=0, 0, (BD96/BD97) * (
  MIN(BD97, 50000) * 0.02 +
  MAX(0, MIN(BD97, 100000) - 50000) * 0.015 +
  MAX(0, BD97 - 100000) * 0.01
))</f>
        <v>3500</v>
      </c>
      <c r="BE99" s="94">
        <f t="shared" si="600"/>
        <v>0</v>
      </c>
      <c r="BF99" s="95">
        <f t="shared" si="578"/>
        <v>-3500</v>
      </c>
      <c r="BG99" s="98">
        <f t="shared" si="579"/>
        <v>-1</v>
      </c>
      <c r="BH99" s="100">
        <f t="shared" ref="BH99:BI99" si="601">SUM(L99,P99,T99,X99,AB99,AF99,AJ99,AN99,AR99,AV99,AZ99,BD99)</f>
        <v>14000</v>
      </c>
      <c r="BI99" s="101">
        <f t="shared" si="601"/>
        <v>67.2226</v>
      </c>
      <c r="BJ99" s="102">
        <f t="shared" si="581"/>
        <v>-0.9951983857</v>
      </c>
      <c r="BK99" s="103">
        <v>0.0</v>
      </c>
      <c r="BL99" s="104" t="str">
        <f>IFERROR((BH99/BK99),"-")</f>
        <v>-</v>
      </c>
      <c r="BM99" s="3"/>
      <c r="BN99" s="3"/>
      <c r="BO99" s="3"/>
      <c r="BP99" s="3"/>
      <c r="BQ99" s="3"/>
      <c r="BR99" s="3"/>
    </row>
    <row r="100" ht="15.75" customHeight="1">
      <c r="A100" s="1"/>
      <c r="B100" s="105"/>
      <c r="C100" s="106"/>
      <c r="D100" s="107"/>
      <c r="E100" s="144"/>
      <c r="F100" s="109"/>
      <c r="G100" s="110"/>
      <c r="H100" s="111"/>
      <c r="I100" s="112"/>
      <c r="J100" s="8"/>
      <c r="K100" s="9"/>
      <c r="L100" s="136"/>
      <c r="M100" s="136"/>
      <c r="N100" s="136"/>
      <c r="O100" s="136"/>
      <c r="P100" s="136"/>
      <c r="Q100" s="160"/>
      <c r="R100" s="136"/>
      <c r="S100" s="136"/>
      <c r="T100" s="136"/>
      <c r="U100" s="136"/>
      <c r="V100" s="136"/>
      <c r="W100" s="136"/>
      <c r="X100" s="136"/>
      <c r="Y100" s="136"/>
      <c r="Z100" s="136"/>
      <c r="AA100" s="3"/>
      <c r="AB100" s="3"/>
      <c r="AC100" s="3"/>
      <c r="AD100" s="3"/>
      <c r="AE100" s="3"/>
      <c r="AF100" s="3"/>
      <c r="AV100" s="138"/>
      <c r="AW100" s="25"/>
      <c r="AX100" s="139"/>
      <c r="AY100" s="25"/>
    </row>
    <row r="101" ht="15.75" customHeight="1">
      <c r="A101" s="1"/>
      <c r="B101" s="105"/>
      <c r="C101" s="106"/>
      <c r="D101" s="107"/>
      <c r="E101" s="144"/>
      <c r="F101" s="109"/>
      <c r="G101" s="110"/>
      <c r="H101" s="111"/>
      <c r="I101" s="112"/>
      <c r="J101" s="34" t="s">
        <v>97</v>
      </c>
      <c r="K101" s="35"/>
      <c r="L101" s="36" t="s">
        <v>10</v>
      </c>
      <c r="M101" s="37" t="s">
        <v>11</v>
      </c>
      <c r="N101" s="38" t="s">
        <v>12</v>
      </c>
      <c r="O101" s="39" t="s">
        <v>13</v>
      </c>
      <c r="P101" s="119" t="s">
        <v>14</v>
      </c>
      <c r="Q101" s="152" t="s">
        <v>15</v>
      </c>
      <c r="R101" s="38" t="s">
        <v>16</v>
      </c>
      <c r="S101" s="42" t="s">
        <v>17</v>
      </c>
      <c r="T101" s="43" t="s">
        <v>18</v>
      </c>
      <c r="U101" s="152" t="s">
        <v>90</v>
      </c>
      <c r="V101" s="38" t="s">
        <v>20</v>
      </c>
      <c r="W101" s="45" t="s">
        <v>91</v>
      </c>
      <c r="X101" s="44" t="s">
        <v>22</v>
      </c>
      <c r="Y101" s="152" t="s">
        <v>92</v>
      </c>
      <c r="Z101" s="38" t="s">
        <v>24</v>
      </c>
      <c r="AA101" s="45" t="s">
        <v>91</v>
      </c>
      <c r="AB101" s="43" t="s">
        <v>26</v>
      </c>
      <c r="AC101" s="152" t="s">
        <v>27</v>
      </c>
      <c r="AD101" s="38" t="s">
        <v>28</v>
      </c>
      <c r="AE101" s="45" t="s">
        <v>29</v>
      </c>
      <c r="AF101" s="44" t="s">
        <v>30</v>
      </c>
      <c r="AG101" s="152" t="s">
        <v>31</v>
      </c>
      <c r="AH101" s="38" t="s">
        <v>32</v>
      </c>
      <c r="AI101" s="45" t="s">
        <v>33</v>
      </c>
      <c r="AJ101" s="43" t="s">
        <v>34</v>
      </c>
      <c r="AK101" s="152" t="s">
        <v>35</v>
      </c>
      <c r="AL101" s="38" t="s">
        <v>36</v>
      </c>
      <c r="AM101" s="45" t="s">
        <v>37</v>
      </c>
      <c r="AN101" s="44" t="s">
        <v>38</v>
      </c>
      <c r="AO101" s="152" t="s">
        <v>39</v>
      </c>
      <c r="AP101" s="38" t="s">
        <v>40</v>
      </c>
      <c r="AQ101" s="45" t="s">
        <v>41</v>
      </c>
      <c r="AR101" s="43" t="s">
        <v>42</v>
      </c>
      <c r="AS101" s="152" t="s">
        <v>43</v>
      </c>
      <c r="AT101" s="38" t="s">
        <v>44</v>
      </c>
      <c r="AU101" s="45" t="s">
        <v>45</v>
      </c>
      <c r="AV101" s="44" t="s">
        <v>46</v>
      </c>
      <c r="AW101" s="152" t="s">
        <v>47</v>
      </c>
      <c r="AX101" s="38" t="s">
        <v>48</v>
      </c>
      <c r="AY101" s="45" t="s">
        <v>49</v>
      </c>
      <c r="AZ101" s="43" t="s">
        <v>50</v>
      </c>
      <c r="BA101" s="152" t="s">
        <v>51</v>
      </c>
      <c r="BB101" s="38" t="s">
        <v>52</v>
      </c>
      <c r="BC101" s="45" t="s">
        <v>53</v>
      </c>
      <c r="BD101" s="44" t="s">
        <v>54</v>
      </c>
      <c r="BE101" s="152" t="s">
        <v>55</v>
      </c>
      <c r="BF101" s="38" t="s">
        <v>56</v>
      </c>
      <c r="BG101" s="42" t="s">
        <v>57</v>
      </c>
      <c r="BH101" s="46">
        <v>2026.0</v>
      </c>
      <c r="BI101" s="37" t="s">
        <v>58</v>
      </c>
      <c r="BJ101" s="47" t="s">
        <v>59</v>
      </c>
      <c r="BK101" s="48">
        <v>2025.0</v>
      </c>
      <c r="BL101" s="49"/>
      <c r="BM101" s="3"/>
      <c r="BN101" s="3"/>
      <c r="BO101" s="3"/>
      <c r="BP101" s="3"/>
      <c r="BQ101" s="3"/>
      <c r="BR101" s="3"/>
    </row>
    <row r="102" ht="15.75" customHeight="1">
      <c r="A102" s="1"/>
      <c r="B102" s="105">
        <v>16.0</v>
      </c>
      <c r="C102" s="106" t="s">
        <v>98</v>
      </c>
      <c r="D102" s="107">
        <f>15000*12</f>
        <v>180000</v>
      </c>
      <c r="E102" s="144">
        <v>32.0</v>
      </c>
      <c r="F102" s="109">
        <f>E102*D102</f>
        <v>5760000</v>
      </c>
      <c r="G102" s="190">
        <v>356599.2800000031</v>
      </c>
      <c r="H102" s="191">
        <v>11282.0</v>
      </c>
      <c r="I102" s="192">
        <v>31.607807126396306</v>
      </c>
      <c r="J102" s="50" t="s">
        <v>61</v>
      </c>
      <c r="K102" s="51"/>
      <c r="L102" s="52" t="s">
        <v>60</v>
      </c>
      <c r="M102" s="53" t="s">
        <v>60</v>
      </c>
      <c r="N102" s="54" t="s">
        <v>60</v>
      </c>
      <c r="O102" s="55" t="s">
        <v>62</v>
      </c>
      <c r="P102" s="52" t="s">
        <v>60</v>
      </c>
      <c r="Q102" s="154" t="s">
        <v>60</v>
      </c>
      <c r="R102" s="54" t="s">
        <v>60</v>
      </c>
      <c r="S102" s="57" t="s">
        <v>62</v>
      </c>
      <c r="T102" s="58">
        <v>0.03</v>
      </c>
      <c r="U102" s="59">
        <f>U103/(BH103-(L103 + P103))</f>
        <v>0.02772611311</v>
      </c>
      <c r="V102" s="54" t="s">
        <v>60</v>
      </c>
      <c r="W102" s="55" t="s">
        <v>62</v>
      </c>
      <c r="X102" s="58">
        <v>0.04</v>
      </c>
      <c r="Y102" s="59">
        <f>Y103/(BH103-(L103+P103))</f>
        <v>0.02501738783</v>
      </c>
      <c r="Z102" s="54" t="s">
        <v>60</v>
      </c>
      <c r="AA102" s="55" t="s">
        <v>62</v>
      </c>
      <c r="AB102" s="58">
        <v>0.07</v>
      </c>
      <c r="AC102" s="59">
        <f>AC103/(BH103-(L103+P103))</f>
        <v>0.01824176216</v>
      </c>
      <c r="AD102" s="54" t="s">
        <v>60</v>
      </c>
      <c r="AE102" s="55" t="s">
        <v>62</v>
      </c>
      <c r="AF102" s="58">
        <v>0.09</v>
      </c>
      <c r="AG102" s="59">
        <f>AG103/(BH103-(L103+P103))</f>
        <v>0.01973811356</v>
      </c>
      <c r="AH102" s="54" t="s">
        <v>60</v>
      </c>
      <c r="AI102" s="55" t="s">
        <v>62</v>
      </c>
      <c r="AJ102" s="58">
        <v>0.11</v>
      </c>
      <c r="AK102" s="59">
        <f>AK103/(BH103-(L103+P103))</f>
        <v>0</v>
      </c>
      <c r="AL102" s="54" t="s">
        <v>60</v>
      </c>
      <c r="AM102" s="55" t="s">
        <v>62</v>
      </c>
      <c r="AN102" s="58">
        <v>0.12</v>
      </c>
      <c r="AO102" s="59">
        <f>AO103/(BH103-(L103+P103))</f>
        <v>0</v>
      </c>
      <c r="AP102" s="54" t="s">
        <v>60</v>
      </c>
      <c r="AQ102" s="55" t="s">
        <v>62</v>
      </c>
      <c r="AR102" s="58">
        <v>0.12</v>
      </c>
      <c r="AS102" s="59">
        <f>AS103/(BH103-(L103+P103))</f>
        <v>0</v>
      </c>
      <c r="AT102" s="54" t="s">
        <v>60</v>
      </c>
      <c r="AU102" s="55" t="s">
        <v>62</v>
      </c>
      <c r="AV102" s="58">
        <v>0.12</v>
      </c>
      <c r="AW102" s="59">
        <f>AW103/(BH103-(L103+P103))</f>
        <v>0</v>
      </c>
      <c r="AX102" s="54" t="s">
        <v>60</v>
      </c>
      <c r="AY102" s="55" t="s">
        <v>62</v>
      </c>
      <c r="AZ102" s="58">
        <v>0.16</v>
      </c>
      <c r="BA102" s="59">
        <f>BA103/(BH103-(L103+P103))</f>
        <v>0</v>
      </c>
      <c r="BB102" s="54" t="s">
        <v>60</v>
      </c>
      <c r="BC102" s="55" t="s">
        <v>62</v>
      </c>
      <c r="BD102" s="58">
        <v>0.14</v>
      </c>
      <c r="BE102" s="59">
        <f>BE103/(BH103-(L103+P103))</f>
        <v>0</v>
      </c>
      <c r="BF102" s="54" t="s">
        <v>60</v>
      </c>
      <c r="BG102" s="57" t="s">
        <v>62</v>
      </c>
      <c r="BH102" s="60">
        <f t="shared" ref="BH102:BI102" si="602">SUM(T102,X102,AB102,AF102,AJ102,AN102,AR102,AV102,AZ102,BD102)</f>
        <v>1</v>
      </c>
      <c r="BI102" s="61">
        <f t="shared" si="602"/>
        <v>0.09072337666</v>
      </c>
      <c r="BJ102" s="62"/>
      <c r="BK102" s="63" t="s">
        <v>60</v>
      </c>
      <c r="BL102" s="64"/>
      <c r="BM102" s="3"/>
      <c r="BN102" s="3"/>
      <c r="BO102" s="3"/>
      <c r="BP102" s="3"/>
      <c r="BQ102" s="3"/>
      <c r="BR102" s="3"/>
    </row>
    <row r="103" ht="15.75" customHeight="1">
      <c r="A103" s="1"/>
      <c r="B103" s="105"/>
      <c r="C103" s="106"/>
      <c r="D103" s="107"/>
      <c r="E103" s="144"/>
      <c r="F103" s="109"/>
      <c r="G103" s="110"/>
      <c r="H103" s="111"/>
      <c r="I103" s="112"/>
      <c r="J103" s="50" t="s">
        <v>63</v>
      </c>
      <c r="K103" s="51"/>
      <c r="L103" s="127">
        <v>5894.0</v>
      </c>
      <c r="M103" s="66">
        <v>6435.6</v>
      </c>
      <c r="N103" s="67">
        <f t="shared" ref="N103:N106" si="603">IFERROR(M103-L103,"-")</f>
        <v>541.6</v>
      </c>
      <c r="O103" s="68">
        <f t="shared" ref="O103:O106" si="604">IFERROR(M103/L103-1,"-")</f>
        <v>0.09189005769</v>
      </c>
      <c r="P103" s="127">
        <v>3778.0</v>
      </c>
      <c r="Q103" s="66">
        <v>4215.7</v>
      </c>
      <c r="R103" s="67">
        <f t="shared" ref="R103:R106" si="605">IFERROR(Q103-P103,"-")</f>
        <v>437.7</v>
      </c>
      <c r="S103" s="70">
        <f t="shared" ref="S103:S106" si="606">IFERROR(Q103/P103-1,"-")</f>
        <v>0.1158549497</v>
      </c>
      <c r="T103" s="71">
        <f>($BH$103-($L$103+$P$103))*T102</f>
        <v>4209.84</v>
      </c>
      <c r="U103" s="66">
        <v>3890.75</v>
      </c>
      <c r="V103" s="67">
        <f t="shared" ref="V103:V106" si="607">IFERROR(U103-T103,"-")</f>
        <v>-319.09</v>
      </c>
      <c r="W103" s="68">
        <f t="shared" ref="W103:W106" si="608">IFERROR(U103/T103-1,"-")</f>
        <v>-0.07579622979</v>
      </c>
      <c r="X103" s="71">
        <f>($BH$103-($L$103+$P$103))*X102</f>
        <v>5613.12</v>
      </c>
      <c r="Y103" s="66">
        <v>3510.64</v>
      </c>
      <c r="Z103" s="67">
        <f t="shared" ref="Z103:Z106" si="609">IFERROR(Y103-X103,"-")</f>
        <v>-2102.48</v>
      </c>
      <c r="AA103" s="68">
        <f t="shared" ref="AA103:AA106" si="610">IFERROR(Y103/X103-1,"-")</f>
        <v>-0.3745653041</v>
      </c>
      <c r="AB103" s="71">
        <f>($BH$103-($L$103+$P$103))*AB102</f>
        <v>9822.96</v>
      </c>
      <c r="AC103" s="66">
        <v>2559.83</v>
      </c>
      <c r="AD103" s="67">
        <f t="shared" ref="AD103:AD106" si="611">IFERROR(AC103-AB103,"-")</f>
        <v>-7263.13</v>
      </c>
      <c r="AE103" s="68">
        <f t="shared" ref="AE103:AE106" si="612">IFERROR(AC103/AB103-1,"-")</f>
        <v>-0.7394033978</v>
      </c>
      <c r="AF103" s="71">
        <f>($BH$103-($L$103+$P$103))*AF102</f>
        <v>12629.52</v>
      </c>
      <c r="AG103" s="73">
        <v>2769.81</v>
      </c>
      <c r="AH103" s="67">
        <f t="shared" ref="AH103:AH106" si="613">IFERROR(AG103-AF103,"-")</f>
        <v>-9859.71</v>
      </c>
      <c r="AI103" s="68">
        <f t="shared" ref="AI103:AI106" si="614">IFERROR(AG103/AF103-1,"-")</f>
        <v>-0.7806876271</v>
      </c>
      <c r="AJ103" s="71">
        <f>($BH$103-($L$103+$P$103))*AJ102</f>
        <v>15436.08</v>
      </c>
      <c r="AK103" s="66">
        <v>0.0</v>
      </c>
      <c r="AL103" s="67">
        <f t="shared" ref="AL103:AL106" si="615">IFERROR(AK103-AJ103,"-")</f>
        <v>-15436.08</v>
      </c>
      <c r="AM103" s="68">
        <f t="shared" ref="AM103:AM106" si="616">IFERROR(AK103/AJ103-1,"-")</f>
        <v>-1</v>
      </c>
      <c r="AN103" s="71">
        <f>($BH$103-($L$103+$P$103))*AN102</f>
        <v>16839.36</v>
      </c>
      <c r="AO103" s="66">
        <v>0.0</v>
      </c>
      <c r="AP103" s="67">
        <f t="shared" ref="AP103:AP106" si="617">IFERROR(AO103-AN103,"-")</f>
        <v>-16839.36</v>
      </c>
      <c r="AQ103" s="68">
        <f t="shared" ref="AQ103:AQ106" si="618">IFERROR(AO103/AN103-1,"-")</f>
        <v>-1</v>
      </c>
      <c r="AR103" s="71">
        <f>($BH$103-($L$103+$P$103))*AR102</f>
        <v>16839.36</v>
      </c>
      <c r="AS103" s="66">
        <v>0.0</v>
      </c>
      <c r="AT103" s="67">
        <f t="shared" ref="AT103:AT106" si="619">IFERROR(AS103-AR103,"-")</f>
        <v>-16839.36</v>
      </c>
      <c r="AU103" s="68">
        <f t="shared" ref="AU103:AU106" si="620">IFERROR(AS103/AR103-1,"-")</f>
        <v>-1</v>
      </c>
      <c r="AV103" s="71">
        <f>($BH$103-($L$103+$P$103))*AV102</f>
        <v>16839.36</v>
      </c>
      <c r="AW103" s="66">
        <v>0.0</v>
      </c>
      <c r="AX103" s="67">
        <f t="shared" ref="AX103:AX106" si="621">IFERROR(AW103-AV103,"-")</f>
        <v>-16839.36</v>
      </c>
      <c r="AY103" s="68">
        <f t="shared" ref="AY103:AY106" si="622">IFERROR(AW103/AV103-1,"-")</f>
        <v>-1</v>
      </c>
      <c r="AZ103" s="71">
        <f>($BH$103-($L$103+$P$103))*AZ102</f>
        <v>22452.48</v>
      </c>
      <c r="BA103" s="66">
        <v>0.0</v>
      </c>
      <c r="BB103" s="67">
        <f t="shared" ref="BB103:BB106" si="623">IFERROR(BA103-AZ103,"-")</f>
        <v>-22452.48</v>
      </c>
      <c r="BC103" s="68">
        <f t="shared" ref="BC103:BC106" si="624">IFERROR(BA103/AZ103-1,"-")</f>
        <v>-1</v>
      </c>
      <c r="BD103" s="71">
        <f>($BH$103-($L$103+$P$103))*BD102</f>
        <v>19645.92</v>
      </c>
      <c r="BE103" s="66">
        <v>0.0</v>
      </c>
      <c r="BF103" s="67">
        <f t="shared" ref="BF103:BF106" si="625">IFERROR(BE103-BD103,"-")</f>
        <v>-19645.92</v>
      </c>
      <c r="BG103" s="70">
        <f t="shared" ref="BG103:BG106" si="626">IFERROR(BE103/BD103-1,"-")</f>
        <v>-1</v>
      </c>
      <c r="BH103" s="74">
        <v>150000.0</v>
      </c>
      <c r="BI103" s="75">
        <f>SUM(M103,Q103,U103,Y103,AC103,AG103,AK103,AO103,AS103,AW103,BA103,BE103)</f>
        <v>23382.33</v>
      </c>
      <c r="BJ103" s="76">
        <f t="shared" ref="BJ103:BJ106" si="628">IFERROR(BI103/BH103-1,"-")</f>
        <v>-0.8441178</v>
      </c>
      <c r="BK103" s="77">
        <v>9705.0</v>
      </c>
      <c r="BL103" s="78">
        <f t="shared" ref="BL103:BL104" si="629">BH103/BK103</f>
        <v>15.45595054</v>
      </c>
      <c r="BM103" s="3"/>
      <c r="BN103" s="3"/>
      <c r="BO103" s="3"/>
      <c r="BP103" s="3"/>
      <c r="BQ103" s="3"/>
      <c r="BR103" s="3"/>
    </row>
    <row r="104" ht="15.75" customHeight="1">
      <c r="A104" s="1"/>
      <c r="B104" s="105"/>
      <c r="C104" s="106"/>
      <c r="D104" s="107"/>
      <c r="E104" s="144"/>
      <c r="F104" s="109"/>
      <c r="G104" s="110"/>
      <c r="H104" s="111"/>
      <c r="I104" s="112"/>
      <c r="J104" s="50" t="s">
        <v>64</v>
      </c>
      <c r="K104" s="79"/>
      <c r="L104" s="129">
        <f>L103/$K$105</f>
        <v>196.4666667</v>
      </c>
      <c r="M104" s="81">
        <v>234.0</v>
      </c>
      <c r="N104" s="82">
        <f t="shared" si="603"/>
        <v>37.53333333</v>
      </c>
      <c r="O104" s="68">
        <f t="shared" si="604"/>
        <v>0.1910417374</v>
      </c>
      <c r="P104" s="129">
        <f>P103/$K$105</f>
        <v>125.9333333</v>
      </c>
      <c r="Q104" s="81">
        <v>95.0</v>
      </c>
      <c r="R104" s="82">
        <f t="shared" si="605"/>
        <v>-30.93333333</v>
      </c>
      <c r="S104" s="70">
        <f t="shared" si="606"/>
        <v>-0.2456326098</v>
      </c>
      <c r="T104" s="84">
        <f>T103/$K$105</f>
        <v>140.328</v>
      </c>
      <c r="U104" s="81">
        <v>235.0</v>
      </c>
      <c r="V104" s="82">
        <f t="shared" si="607"/>
        <v>94.672</v>
      </c>
      <c r="W104" s="68">
        <f t="shared" si="608"/>
        <v>0.6746479676</v>
      </c>
      <c r="X104" s="84">
        <f>X103/$K$105</f>
        <v>187.104</v>
      </c>
      <c r="Y104" s="81">
        <v>191.0</v>
      </c>
      <c r="Z104" s="82">
        <f t="shared" si="609"/>
        <v>3.896</v>
      </c>
      <c r="AA104" s="68">
        <f t="shared" si="610"/>
        <v>0.02082264409</v>
      </c>
      <c r="AB104" s="84">
        <f>AB103/$K$105</f>
        <v>327.432</v>
      </c>
      <c r="AC104" s="81">
        <v>198.0</v>
      </c>
      <c r="AD104" s="82">
        <f t="shared" si="611"/>
        <v>-129.432</v>
      </c>
      <c r="AE104" s="68">
        <f t="shared" si="612"/>
        <v>-0.3952942901</v>
      </c>
      <c r="AF104" s="84">
        <f>AF103/$K$105</f>
        <v>420.984</v>
      </c>
      <c r="AG104" s="85">
        <v>93.0</v>
      </c>
      <c r="AH104" s="82">
        <f t="shared" si="613"/>
        <v>-327.984</v>
      </c>
      <c r="AI104" s="68">
        <f t="shared" si="614"/>
        <v>-0.7790889915</v>
      </c>
      <c r="AJ104" s="84">
        <f>AJ103/$K$105</f>
        <v>514.536</v>
      </c>
      <c r="AK104" s="81">
        <v>0.0</v>
      </c>
      <c r="AL104" s="82">
        <f t="shared" si="615"/>
        <v>-514.536</v>
      </c>
      <c r="AM104" s="68">
        <f t="shared" si="616"/>
        <v>-1</v>
      </c>
      <c r="AN104" s="84">
        <f>AN103/$K$105</f>
        <v>561.312</v>
      </c>
      <c r="AO104" s="81">
        <v>0.0</v>
      </c>
      <c r="AP104" s="82">
        <f t="shared" si="617"/>
        <v>-561.312</v>
      </c>
      <c r="AQ104" s="68">
        <f t="shared" si="618"/>
        <v>-1</v>
      </c>
      <c r="AR104" s="84">
        <f>AR103/$K$105</f>
        <v>561.312</v>
      </c>
      <c r="AS104" s="81">
        <v>0.0</v>
      </c>
      <c r="AT104" s="82">
        <f t="shared" si="619"/>
        <v>-561.312</v>
      </c>
      <c r="AU104" s="68">
        <f t="shared" si="620"/>
        <v>-1</v>
      </c>
      <c r="AV104" s="84">
        <f>AV103/$K$105</f>
        <v>561.312</v>
      </c>
      <c r="AW104" s="81">
        <v>0.0</v>
      </c>
      <c r="AX104" s="82">
        <f t="shared" si="621"/>
        <v>-561.312</v>
      </c>
      <c r="AY104" s="68">
        <f t="shared" si="622"/>
        <v>-1</v>
      </c>
      <c r="AZ104" s="84">
        <f>AZ103/$K$105</f>
        <v>748.416</v>
      </c>
      <c r="BA104" s="81">
        <v>0.0</v>
      </c>
      <c r="BB104" s="82">
        <f t="shared" si="623"/>
        <v>-748.416</v>
      </c>
      <c r="BC104" s="68">
        <f t="shared" si="624"/>
        <v>-1</v>
      </c>
      <c r="BD104" s="84">
        <f>BD103/$K$105</f>
        <v>654.864</v>
      </c>
      <c r="BE104" s="81">
        <v>0.0</v>
      </c>
      <c r="BF104" s="82">
        <f t="shared" si="625"/>
        <v>-654.864</v>
      </c>
      <c r="BG104" s="70">
        <f t="shared" si="626"/>
        <v>-1</v>
      </c>
      <c r="BH104" s="156">
        <f t="shared" ref="BH104:BI104" si="627">SUM(L104,P104,T104,X104,AB104,AF104,AJ104,AN104,AR104,AV104,AZ104,BD104)</f>
        <v>5000</v>
      </c>
      <c r="BI104" s="87">
        <f t="shared" si="627"/>
        <v>1046</v>
      </c>
      <c r="BJ104" s="76">
        <f t="shared" si="628"/>
        <v>-0.7908</v>
      </c>
      <c r="BK104" s="88">
        <v>519.0</v>
      </c>
      <c r="BL104" s="78">
        <f t="shared" si="629"/>
        <v>9.633911368</v>
      </c>
      <c r="BM104" s="3"/>
      <c r="BN104" s="3"/>
      <c r="BO104" s="3"/>
      <c r="BP104" s="3"/>
      <c r="BQ104" s="3"/>
      <c r="BR104" s="3"/>
    </row>
    <row r="105" ht="15.75" customHeight="1">
      <c r="A105" s="1"/>
      <c r="B105" s="105"/>
      <c r="C105" s="106"/>
      <c r="D105" s="107"/>
      <c r="E105" s="144"/>
      <c r="F105" s="109"/>
      <c r="G105" s="110"/>
      <c r="H105" s="111"/>
      <c r="I105" s="112"/>
      <c r="J105" s="50" t="s">
        <v>65</v>
      </c>
      <c r="K105" s="79">
        <v>30.0</v>
      </c>
      <c r="L105" s="129">
        <f>L103/L104</f>
        <v>30</v>
      </c>
      <c r="M105" s="66">
        <f>IFERROR(M103/M104,"-")</f>
        <v>27.5025641</v>
      </c>
      <c r="N105" s="67">
        <f t="shared" si="603"/>
        <v>-2.497435897</v>
      </c>
      <c r="O105" s="68">
        <f t="shared" si="604"/>
        <v>-0.08324786325</v>
      </c>
      <c r="P105" s="65">
        <f t="shared" ref="P105:Q105" si="630">IFERROR(P103/P104,"-")</f>
        <v>30</v>
      </c>
      <c r="Q105" s="66">
        <f t="shared" si="630"/>
        <v>44.37578947</v>
      </c>
      <c r="R105" s="67">
        <f t="shared" si="605"/>
        <v>14.37578947</v>
      </c>
      <c r="S105" s="70">
        <f t="shared" si="606"/>
        <v>0.4791929825</v>
      </c>
      <c r="T105" s="84">
        <f>T103/T104</f>
        <v>30</v>
      </c>
      <c r="U105" s="66">
        <f>IFERROR(U103/U104,"-")</f>
        <v>16.55638298</v>
      </c>
      <c r="V105" s="67">
        <f t="shared" si="607"/>
        <v>-13.44361702</v>
      </c>
      <c r="W105" s="68">
        <f t="shared" si="608"/>
        <v>-0.4481205674</v>
      </c>
      <c r="X105" s="71">
        <f t="shared" ref="X105:Y105" si="631">IFERROR(X103/X104,"-")</f>
        <v>30</v>
      </c>
      <c r="Y105" s="66">
        <f t="shared" si="631"/>
        <v>18.38031414</v>
      </c>
      <c r="Z105" s="67">
        <f t="shared" si="609"/>
        <v>-11.61968586</v>
      </c>
      <c r="AA105" s="68">
        <f t="shared" si="610"/>
        <v>-0.3873228621</v>
      </c>
      <c r="AB105" s="84">
        <f>AB103/AB104</f>
        <v>30</v>
      </c>
      <c r="AC105" s="66">
        <f>IFERROR(AC103/AC104,"-")</f>
        <v>12.92843434</v>
      </c>
      <c r="AD105" s="67">
        <f t="shared" si="611"/>
        <v>-17.07156566</v>
      </c>
      <c r="AE105" s="68">
        <f t="shared" si="612"/>
        <v>-0.5690521886</v>
      </c>
      <c r="AF105" s="84">
        <f>AF103/AF104</f>
        <v>30</v>
      </c>
      <c r="AG105" s="66">
        <f>IFERROR(AG103/AG104,"-")</f>
        <v>29.78290323</v>
      </c>
      <c r="AH105" s="67">
        <f t="shared" si="613"/>
        <v>-0.2170967742</v>
      </c>
      <c r="AI105" s="68">
        <f t="shared" si="614"/>
        <v>-0.00723655914</v>
      </c>
      <c r="AJ105" s="84">
        <f>AJ103/AJ104</f>
        <v>30</v>
      </c>
      <c r="AK105" s="66" t="str">
        <f>IFERROR(AK103/AK104,"-")</f>
        <v>-</v>
      </c>
      <c r="AL105" s="67" t="str">
        <f t="shared" si="615"/>
        <v>-</v>
      </c>
      <c r="AM105" s="68" t="str">
        <f t="shared" si="616"/>
        <v>-</v>
      </c>
      <c r="AN105" s="84">
        <f>AN103/AN104</f>
        <v>30</v>
      </c>
      <c r="AO105" s="66" t="str">
        <f>IFERROR(AO103/AO104,"-")</f>
        <v>-</v>
      </c>
      <c r="AP105" s="67" t="str">
        <f t="shared" si="617"/>
        <v>-</v>
      </c>
      <c r="AQ105" s="68" t="str">
        <f t="shared" si="618"/>
        <v>-</v>
      </c>
      <c r="AR105" s="84">
        <f>AR103/AR104</f>
        <v>30</v>
      </c>
      <c r="AS105" s="66" t="str">
        <f>IFERROR(AS103/AS104,"-")</f>
        <v>-</v>
      </c>
      <c r="AT105" s="67" t="str">
        <f t="shared" si="619"/>
        <v>-</v>
      </c>
      <c r="AU105" s="68" t="str">
        <f t="shared" si="620"/>
        <v>-</v>
      </c>
      <c r="AV105" s="84">
        <f>AV103/AV104</f>
        <v>30</v>
      </c>
      <c r="AW105" s="66" t="str">
        <f>IFERROR(AW103/AW104,"-")</f>
        <v>-</v>
      </c>
      <c r="AX105" s="67" t="str">
        <f t="shared" si="621"/>
        <v>-</v>
      </c>
      <c r="AY105" s="68" t="str">
        <f t="shared" si="622"/>
        <v>-</v>
      </c>
      <c r="AZ105" s="84">
        <f>AZ103/AZ104</f>
        <v>30</v>
      </c>
      <c r="BA105" s="66" t="str">
        <f>IFERROR(BA103/BA104,"-")</f>
        <v>-</v>
      </c>
      <c r="BB105" s="67" t="str">
        <f t="shared" si="623"/>
        <v>-</v>
      </c>
      <c r="BC105" s="68" t="str">
        <f t="shared" si="624"/>
        <v>-</v>
      </c>
      <c r="BD105" s="84">
        <f>BD103/BD104</f>
        <v>30</v>
      </c>
      <c r="BE105" s="66" t="str">
        <f>IFERROR(BE103/BE104,"-")</f>
        <v>-</v>
      </c>
      <c r="BF105" s="67" t="str">
        <f t="shared" si="625"/>
        <v>-</v>
      </c>
      <c r="BG105" s="70" t="str">
        <f t="shared" si="626"/>
        <v>-</v>
      </c>
      <c r="BH105" s="86">
        <f t="shared" ref="BH105:BI105" si="632">BH103/BH104</f>
        <v>30</v>
      </c>
      <c r="BI105" s="90">
        <f t="shared" si="632"/>
        <v>22.35404398</v>
      </c>
      <c r="BJ105" s="76">
        <f t="shared" si="628"/>
        <v>-0.2548652008</v>
      </c>
      <c r="BK105" s="88">
        <f>BK103/BK104</f>
        <v>18.69942197</v>
      </c>
      <c r="BL105" s="78">
        <f>BH105/BK105-1</f>
        <v>0.6043276662</v>
      </c>
      <c r="BM105" s="3"/>
      <c r="BN105" s="3"/>
      <c r="BO105" s="3"/>
      <c r="BP105" s="3"/>
      <c r="BQ105" s="3"/>
      <c r="BR105" s="3"/>
    </row>
    <row r="106" ht="15.75" customHeight="1">
      <c r="A106" s="1"/>
      <c r="B106" s="105"/>
      <c r="C106" s="106"/>
      <c r="D106" s="107"/>
      <c r="E106" s="144"/>
      <c r="F106" s="109"/>
      <c r="G106" s="110"/>
      <c r="H106" s="111"/>
      <c r="I106" s="112"/>
      <c r="J106" s="91" t="s">
        <v>66</v>
      </c>
      <c r="K106" s="92">
        <v>0.049</v>
      </c>
      <c r="L106" s="99">
        <f t="shared" ref="L106:M106" si="633">L103*$K$106</f>
        <v>288.806</v>
      </c>
      <c r="M106" s="94">
        <f t="shared" si="633"/>
        <v>315.3444</v>
      </c>
      <c r="N106" s="95">
        <f t="shared" si="603"/>
        <v>26.5384</v>
      </c>
      <c r="O106" s="96">
        <f t="shared" si="604"/>
        <v>0.09189005769</v>
      </c>
      <c r="P106" s="99">
        <f t="shared" ref="P106:Q106" si="634">P103*$K$106</f>
        <v>185.122</v>
      </c>
      <c r="Q106" s="94">
        <f t="shared" si="634"/>
        <v>206.5693</v>
      </c>
      <c r="R106" s="95">
        <f t="shared" si="605"/>
        <v>21.4473</v>
      </c>
      <c r="S106" s="98">
        <f t="shared" si="606"/>
        <v>0.1158549497</v>
      </c>
      <c r="T106" s="99">
        <f t="shared" ref="T106:U106" si="635">T103*$K$106</f>
        <v>206.28216</v>
      </c>
      <c r="U106" s="94">
        <f t="shared" si="635"/>
        <v>190.64675</v>
      </c>
      <c r="V106" s="95">
        <f t="shared" si="607"/>
        <v>-15.63541</v>
      </c>
      <c r="W106" s="96">
        <f t="shared" si="608"/>
        <v>-0.07579622979</v>
      </c>
      <c r="X106" s="99">
        <f t="shared" ref="X106:Y106" si="636">X103*$K$106</f>
        <v>275.04288</v>
      </c>
      <c r="Y106" s="94">
        <f t="shared" si="636"/>
        <v>172.02136</v>
      </c>
      <c r="Z106" s="95">
        <f t="shared" si="609"/>
        <v>-103.02152</v>
      </c>
      <c r="AA106" s="96">
        <f t="shared" si="610"/>
        <v>-0.3745653041</v>
      </c>
      <c r="AB106" s="99">
        <f t="shared" ref="AB106:AC106" si="637">AB103*$K$106</f>
        <v>481.32504</v>
      </c>
      <c r="AC106" s="94">
        <f t="shared" si="637"/>
        <v>125.43167</v>
      </c>
      <c r="AD106" s="95">
        <f t="shared" si="611"/>
        <v>-355.89337</v>
      </c>
      <c r="AE106" s="96">
        <f t="shared" si="612"/>
        <v>-0.7394033978</v>
      </c>
      <c r="AF106" s="99">
        <f t="shared" ref="AF106:AG106" si="638">AF103*$K$106</f>
        <v>618.84648</v>
      </c>
      <c r="AG106" s="94">
        <f t="shared" si="638"/>
        <v>135.72069</v>
      </c>
      <c r="AH106" s="95">
        <f t="shared" si="613"/>
        <v>-483.12579</v>
      </c>
      <c r="AI106" s="96">
        <f t="shared" si="614"/>
        <v>-0.7806876271</v>
      </c>
      <c r="AJ106" s="99">
        <f t="shared" ref="AJ106:AK106" si="639">AJ103*$K$106</f>
        <v>756.36792</v>
      </c>
      <c r="AK106" s="94">
        <f t="shared" si="639"/>
        <v>0</v>
      </c>
      <c r="AL106" s="95">
        <f t="shared" si="615"/>
        <v>-756.36792</v>
      </c>
      <c r="AM106" s="96">
        <f t="shared" si="616"/>
        <v>-1</v>
      </c>
      <c r="AN106" s="99">
        <f t="shared" ref="AN106:AO106" si="640">AN103*$K$106</f>
        <v>825.12864</v>
      </c>
      <c r="AO106" s="94">
        <f t="shared" si="640"/>
        <v>0</v>
      </c>
      <c r="AP106" s="95">
        <f t="shared" si="617"/>
        <v>-825.12864</v>
      </c>
      <c r="AQ106" s="96">
        <f t="shared" si="618"/>
        <v>-1</v>
      </c>
      <c r="AR106" s="99">
        <f t="shared" ref="AR106:AS106" si="641">AR103*$K$106</f>
        <v>825.12864</v>
      </c>
      <c r="AS106" s="94">
        <f t="shared" si="641"/>
        <v>0</v>
      </c>
      <c r="AT106" s="95">
        <f t="shared" si="619"/>
        <v>-825.12864</v>
      </c>
      <c r="AU106" s="96">
        <f t="shared" si="620"/>
        <v>-1</v>
      </c>
      <c r="AV106" s="99">
        <f t="shared" ref="AV106:AW106" si="642">AV103*$K$106</f>
        <v>825.12864</v>
      </c>
      <c r="AW106" s="94">
        <f t="shared" si="642"/>
        <v>0</v>
      </c>
      <c r="AX106" s="95">
        <f t="shared" si="621"/>
        <v>-825.12864</v>
      </c>
      <c r="AY106" s="96">
        <f t="shared" si="622"/>
        <v>-1</v>
      </c>
      <c r="AZ106" s="99">
        <f t="shared" ref="AZ106:BA106" si="643">AZ103*$K$106</f>
        <v>1100.17152</v>
      </c>
      <c r="BA106" s="94">
        <f t="shared" si="643"/>
        <v>0</v>
      </c>
      <c r="BB106" s="95">
        <f t="shared" si="623"/>
        <v>-1100.17152</v>
      </c>
      <c r="BC106" s="96">
        <f t="shared" si="624"/>
        <v>-1</v>
      </c>
      <c r="BD106" s="99">
        <f t="shared" ref="BD106:BE106" si="644">BD103*$K$106</f>
        <v>962.65008</v>
      </c>
      <c r="BE106" s="94">
        <f t="shared" si="644"/>
        <v>0</v>
      </c>
      <c r="BF106" s="95">
        <f t="shared" si="625"/>
        <v>-962.65008</v>
      </c>
      <c r="BG106" s="98">
        <f t="shared" si="626"/>
        <v>-1</v>
      </c>
      <c r="BH106" s="100">
        <f t="shared" ref="BH106:BI106" si="645">SUM(L106,P106,T106,X106,AB106,AF106,AJ106,AN106,AR106,AV106,AZ106,BD106)</f>
        <v>7350</v>
      </c>
      <c r="BI106" s="101">
        <f t="shared" si="645"/>
        <v>1145.73417</v>
      </c>
      <c r="BJ106" s="102">
        <f t="shared" si="628"/>
        <v>-0.8441178</v>
      </c>
      <c r="BK106" s="103">
        <f>(5 * 399) + MAX(BK103 * 4.9%, 499)</f>
        <v>2494</v>
      </c>
      <c r="BL106" s="104">
        <f>BH106/BK106</f>
        <v>2.947072975</v>
      </c>
      <c r="BM106" s="3"/>
      <c r="BN106" s="3"/>
      <c r="BO106" s="3"/>
      <c r="BP106" s="3"/>
      <c r="BQ106" s="3"/>
      <c r="BR106" s="3"/>
    </row>
    <row r="107" ht="15.75" customHeight="1">
      <c r="A107" s="1"/>
      <c r="B107" s="105"/>
      <c r="C107" s="106"/>
      <c r="D107" s="107"/>
      <c r="E107" s="144"/>
      <c r="F107" s="109"/>
      <c r="G107" s="110"/>
      <c r="H107" s="111"/>
      <c r="I107" s="112"/>
      <c r="J107" s="8"/>
      <c r="K107" s="9"/>
      <c r="L107" s="136"/>
      <c r="M107" s="136"/>
      <c r="N107" s="136"/>
      <c r="O107" s="136"/>
      <c r="P107" s="136"/>
      <c r="Q107" s="23"/>
      <c r="R107" s="136"/>
      <c r="S107" s="136"/>
      <c r="T107" s="136"/>
      <c r="U107" s="136"/>
      <c r="V107" s="136"/>
      <c r="W107" s="136"/>
      <c r="X107" s="136"/>
      <c r="Y107" s="136"/>
      <c r="Z107" s="136"/>
      <c r="AA107" s="3"/>
      <c r="AB107" s="3"/>
      <c r="AC107" s="3"/>
      <c r="AD107" s="3"/>
      <c r="AE107" s="3"/>
      <c r="AF107" s="3"/>
      <c r="AV107" s="138"/>
      <c r="AW107" s="25"/>
      <c r="AX107" s="139"/>
      <c r="AY107" s="25"/>
    </row>
    <row r="108" ht="15.75" customHeight="1">
      <c r="J108" s="34" t="s">
        <v>99</v>
      </c>
      <c r="K108" s="35"/>
      <c r="L108" s="36" t="s">
        <v>10</v>
      </c>
      <c r="M108" s="37" t="s">
        <v>11</v>
      </c>
      <c r="N108" s="38" t="s">
        <v>12</v>
      </c>
      <c r="O108" s="39" t="s">
        <v>13</v>
      </c>
      <c r="P108" s="119" t="s">
        <v>14</v>
      </c>
      <c r="Q108" s="152" t="s">
        <v>15</v>
      </c>
      <c r="R108" s="38" t="s">
        <v>16</v>
      </c>
      <c r="S108" s="42" t="s">
        <v>17</v>
      </c>
      <c r="T108" s="43" t="s">
        <v>18</v>
      </c>
      <c r="U108" s="152" t="s">
        <v>90</v>
      </c>
      <c r="V108" s="38" t="s">
        <v>20</v>
      </c>
      <c r="W108" s="45" t="s">
        <v>91</v>
      </c>
      <c r="X108" s="44" t="s">
        <v>22</v>
      </c>
      <c r="Y108" s="152" t="s">
        <v>92</v>
      </c>
      <c r="Z108" s="38" t="s">
        <v>24</v>
      </c>
      <c r="AA108" s="45" t="s">
        <v>91</v>
      </c>
      <c r="AB108" s="43" t="s">
        <v>26</v>
      </c>
      <c r="AC108" s="152" t="s">
        <v>27</v>
      </c>
      <c r="AD108" s="38" t="s">
        <v>28</v>
      </c>
      <c r="AE108" s="45" t="s">
        <v>29</v>
      </c>
      <c r="AF108" s="44" t="s">
        <v>30</v>
      </c>
      <c r="AG108" s="152" t="s">
        <v>31</v>
      </c>
      <c r="AH108" s="38" t="s">
        <v>32</v>
      </c>
      <c r="AI108" s="45" t="s">
        <v>33</v>
      </c>
      <c r="AJ108" s="43" t="s">
        <v>34</v>
      </c>
      <c r="AK108" s="152" t="s">
        <v>35</v>
      </c>
      <c r="AL108" s="38" t="s">
        <v>36</v>
      </c>
      <c r="AM108" s="45" t="s">
        <v>37</v>
      </c>
      <c r="AN108" s="44" t="s">
        <v>38</v>
      </c>
      <c r="AO108" s="152" t="s">
        <v>39</v>
      </c>
      <c r="AP108" s="38" t="s">
        <v>40</v>
      </c>
      <c r="AQ108" s="45" t="s">
        <v>41</v>
      </c>
      <c r="AR108" s="43" t="s">
        <v>42</v>
      </c>
      <c r="AS108" s="152" t="s">
        <v>43</v>
      </c>
      <c r="AT108" s="38" t="s">
        <v>44</v>
      </c>
      <c r="AU108" s="45" t="s">
        <v>45</v>
      </c>
      <c r="AV108" s="44" t="s">
        <v>46</v>
      </c>
      <c r="AW108" s="152" t="s">
        <v>47</v>
      </c>
      <c r="AX108" s="38" t="s">
        <v>48</v>
      </c>
      <c r="AY108" s="45" t="s">
        <v>49</v>
      </c>
      <c r="AZ108" s="43" t="s">
        <v>50</v>
      </c>
      <c r="BA108" s="152" t="s">
        <v>51</v>
      </c>
      <c r="BB108" s="38" t="s">
        <v>52</v>
      </c>
      <c r="BC108" s="45" t="s">
        <v>53</v>
      </c>
      <c r="BD108" s="153" t="s">
        <v>54</v>
      </c>
      <c r="BE108" s="152" t="s">
        <v>55</v>
      </c>
      <c r="BF108" s="38" t="s">
        <v>56</v>
      </c>
      <c r="BG108" s="42" t="s">
        <v>57</v>
      </c>
      <c r="BH108" s="46">
        <v>2026.0</v>
      </c>
      <c r="BI108" s="37" t="s">
        <v>58</v>
      </c>
      <c r="BJ108" s="47" t="s">
        <v>59</v>
      </c>
      <c r="BK108" s="48">
        <v>2025.0</v>
      </c>
      <c r="BL108" s="49"/>
      <c r="BM108" s="3"/>
      <c r="BN108" s="3"/>
      <c r="BO108" s="3"/>
      <c r="BP108" s="3"/>
      <c r="BQ108" s="3"/>
      <c r="BR108" s="3"/>
    </row>
    <row r="109" ht="15.75" customHeight="1">
      <c r="A109" s="1"/>
      <c r="B109" s="105">
        <v>17.0</v>
      </c>
      <c r="C109" s="106" t="s">
        <v>98</v>
      </c>
      <c r="D109" s="107">
        <f>15000*12</f>
        <v>180000</v>
      </c>
      <c r="E109" s="144">
        <v>32.0</v>
      </c>
      <c r="F109" s="109">
        <f>E109*D109</f>
        <v>5760000</v>
      </c>
      <c r="G109" s="190">
        <v>356599.2800000031</v>
      </c>
      <c r="H109" s="191">
        <v>11282.0</v>
      </c>
      <c r="I109" s="192">
        <v>31.607807126396306</v>
      </c>
      <c r="J109" s="50" t="s">
        <v>61</v>
      </c>
      <c r="K109" s="51"/>
      <c r="L109" s="52" t="s">
        <v>60</v>
      </c>
      <c r="M109" s="53" t="s">
        <v>60</v>
      </c>
      <c r="N109" s="54" t="s">
        <v>60</v>
      </c>
      <c r="O109" s="55" t="s">
        <v>62</v>
      </c>
      <c r="P109" s="52" t="s">
        <v>60</v>
      </c>
      <c r="Q109" s="154" t="s">
        <v>60</v>
      </c>
      <c r="R109" s="54" t="s">
        <v>60</v>
      </c>
      <c r="S109" s="57" t="s">
        <v>62</v>
      </c>
      <c r="T109" s="58">
        <v>0.04</v>
      </c>
      <c r="U109" s="59">
        <f>U110/(BH110-(L110 + P110))</f>
        <v>0.03748663288</v>
      </c>
      <c r="V109" s="54" t="s">
        <v>60</v>
      </c>
      <c r="W109" s="55" t="s">
        <v>62</v>
      </c>
      <c r="X109" s="58">
        <v>0.04</v>
      </c>
      <c r="Y109" s="59">
        <f>Y110/(BH110-(L110+P110))</f>
        <v>0.03774243338</v>
      </c>
      <c r="Z109" s="54" t="s">
        <v>60</v>
      </c>
      <c r="AA109" s="55" t="s">
        <v>62</v>
      </c>
      <c r="AB109" s="58">
        <v>0.06</v>
      </c>
      <c r="AC109" s="59">
        <f>AC110/(BH110-(L110+P110))</f>
        <v>0.02756071627</v>
      </c>
      <c r="AD109" s="54" t="s">
        <v>60</v>
      </c>
      <c r="AE109" s="55" t="s">
        <v>62</v>
      </c>
      <c r="AF109" s="58">
        <v>0.08</v>
      </c>
      <c r="AG109" s="59">
        <f>AG110/(BH110-(L110+P110))</f>
        <v>0.02006028458</v>
      </c>
      <c r="AH109" s="54" t="s">
        <v>60</v>
      </c>
      <c r="AI109" s="55" t="s">
        <v>62</v>
      </c>
      <c r="AJ109" s="58">
        <v>0.1</v>
      </c>
      <c r="AK109" s="59">
        <f>AK110/(BH110-(L110+P110))</f>
        <v>0</v>
      </c>
      <c r="AL109" s="54" t="s">
        <v>60</v>
      </c>
      <c r="AM109" s="55" t="s">
        <v>62</v>
      </c>
      <c r="AN109" s="58">
        <v>0.1</v>
      </c>
      <c r="AO109" s="59">
        <f>AO110/(BH110-(L110+P110))</f>
        <v>0</v>
      </c>
      <c r="AP109" s="54" t="s">
        <v>60</v>
      </c>
      <c r="AQ109" s="55" t="s">
        <v>62</v>
      </c>
      <c r="AR109" s="58">
        <v>0.12</v>
      </c>
      <c r="AS109" s="59">
        <f>AS110/(BH110-(L110+P110))</f>
        <v>0</v>
      </c>
      <c r="AT109" s="54" t="s">
        <v>60</v>
      </c>
      <c r="AU109" s="55" t="s">
        <v>62</v>
      </c>
      <c r="AV109" s="58">
        <v>0.12</v>
      </c>
      <c r="AW109" s="59">
        <f>AW110/(BH110-(L110+P110))</f>
        <v>0</v>
      </c>
      <c r="AX109" s="54" t="s">
        <v>60</v>
      </c>
      <c r="AY109" s="55" t="s">
        <v>62</v>
      </c>
      <c r="AZ109" s="58">
        <v>0.16</v>
      </c>
      <c r="BA109" s="59">
        <f>BA110/(BH110-(L110+P110))</f>
        <v>0</v>
      </c>
      <c r="BB109" s="54" t="s">
        <v>60</v>
      </c>
      <c r="BC109" s="55" t="s">
        <v>62</v>
      </c>
      <c r="BD109" s="155">
        <v>0.18</v>
      </c>
      <c r="BE109" s="59">
        <f>BE110/(BH110-(L110+P110))</f>
        <v>0</v>
      </c>
      <c r="BF109" s="54" t="s">
        <v>60</v>
      </c>
      <c r="BG109" s="57" t="s">
        <v>62</v>
      </c>
      <c r="BH109" s="60">
        <f t="shared" ref="BH109:BI109" si="646">SUM(T109,X109,AB109,AF109,AJ109,AN109,AR109,AV109,AZ109,BD109)</f>
        <v>1</v>
      </c>
      <c r="BI109" s="61">
        <f t="shared" si="646"/>
        <v>0.1228500671</v>
      </c>
      <c r="BJ109" s="62"/>
      <c r="BK109" s="63" t="s">
        <v>60</v>
      </c>
      <c r="BL109" s="64"/>
      <c r="BM109" s="3"/>
      <c r="BN109" s="3"/>
      <c r="BO109" s="3"/>
      <c r="BP109" s="3"/>
      <c r="BQ109" s="3"/>
      <c r="BR109" s="3"/>
    </row>
    <row r="110" ht="15.75" customHeight="1">
      <c r="A110" s="1"/>
      <c r="B110" s="105"/>
      <c r="C110" s="106"/>
      <c r="D110" s="107"/>
      <c r="E110" s="144"/>
      <c r="F110" s="109"/>
      <c r="G110" s="110"/>
      <c r="H110" s="111"/>
      <c r="I110" s="112"/>
      <c r="J110" s="50" t="s">
        <v>63</v>
      </c>
      <c r="K110" s="51"/>
      <c r="L110" s="127">
        <v>19995.0</v>
      </c>
      <c r="M110" s="66">
        <v>20652.1</v>
      </c>
      <c r="N110" s="67">
        <f t="shared" ref="N110:N113" si="647">IFERROR(M110-L110,"-")</f>
        <v>657.1</v>
      </c>
      <c r="O110" s="68">
        <f t="shared" ref="O110:O113" si="648">IFERROR(M110/L110-1,"-")</f>
        <v>0.0328632158</v>
      </c>
      <c r="P110" s="127">
        <v>19803.0</v>
      </c>
      <c r="Q110" s="66">
        <v>20764.09</v>
      </c>
      <c r="R110" s="67">
        <f t="shared" ref="R110:R113" si="649">IFERROR(Q110-P110,"-")</f>
        <v>961.09</v>
      </c>
      <c r="S110" s="70">
        <f t="shared" ref="S110:S113" si="650">IFERROR(Q110/P110-1,"-")</f>
        <v>0.04853254557</v>
      </c>
      <c r="T110" s="71">
        <f>($BH$110-($L$110+$P$110))*T109</f>
        <v>26408.08</v>
      </c>
      <c r="U110" s="66">
        <v>24748.75</v>
      </c>
      <c r="V110" s="67">
        <f t="shared" ref="V110:V113" si="651">IFERROR(U110-T110,"-")</f>
        <v>-1659.33</v>
      </c>
      <c r="W110" s="68">
        <f t="shared" ref="W110:W113" si="652">IFERROR(U110/T110-1,"-")</f>
        <v>-0.06283417802</v>
      </c>
      <c r="X110" s="71">
        <f>($BH$110-($L$110+$P$110))*X109</f>
        <v>26408.08</v>
      </c>
      <c r="Y110" s="66">
        <v>24917.63</v>
      </c>
      <c r="Z110" s="67">
        <f t="shared" ref="Z110:Z113" si="653">IFERROR(Y110-X110,"-")</f>
        <v>-1490.45</v>
      </c>
      <c r="AA110" s="68">
        <f t="shared" ref="AA110:AA113" si="654">IFERROR(Y110/X110-1,"-")</f>
        <v>-0.05643916559</v>
      </c>
      <c r="AB110" s="71">
        <f>($BH$110-($L$110+$P$110))*AB109</f>
        <v>39612.12</v>
      </c>
      <c r="AC110" s="66">
        <v>18195.64</v>
      </c>
      <c r="AD110" s="67">
        <f t="shared" ref="AD110:AD113" si="655">IFERROR(AC110-AB110,"-")</f>
        <v>-21416.48</v>
      </c>
      <c r="AE110" s="68">
        <f t="shared" ref="AE110:AE113" si="656">IFERROR(AC110/AB110-1,"-")</f>
        <v>-0.5406547289</v>
      </c>
      <c r="AF110" s="71">
        <f>($BH$110-($L$110+$P$110))*AF109</f>
        <v>52816.16</v>
      </c>
      <c r="AG110" s="73">
        <v>13243.84</v>
      </c>
      <c r="AH110" s="67">
        <f t="shared" ref="AH110:AH113" si="657">IFERROR(AG110-AF110,"-")</f>
        <v>-39572.32</v>
      </c>
      <c r="AI110" s="68">
        <f t="shared" ref="AI110:AI113" si="658">IFERROR(AG110/AF110-1,"-")</f>
        <v>-0.7492464428</v>
      </c>
      <c r="AJ110" s="71">
        <f>($BH$110-($L$110+$P$110))*AJ109</f>
        <v>66020.2</v>
      </c>
      <c r="AK110" s="66">
        <v>0.0</v>
      </c>
      <c r="AL110" s="67">
        <f t="shared" ref="AL110:AL113" si="659">IFERROR(AK110-AJ110,"-")</f>
        <v>-66020.2</v>
      </c>
      <c r="AM110" s="68">
        <f t="shared" ref="AM110:AM113" si="660">IFERROR(AK110/AJ110-1,"-")</f>
        <v>-1</v>
      </c>
      <c r="AN110" s="71">
        <f>($BH$110-($L$110+$P$110))*AN109</f>
        <v>66020.2</v>
      </c>
      <c r="AO110" s="66">
        <v>0.0</v>
      </c>
      <c r="AP110" s="67">
        <f t="shared" ref="AP110:AP113" si="661">IFERROR(AO110-AN110,"-")</f>
        <v>-66020.2</v>
      </c>
      <c r="AQ110" s="68">
        <f t="shared" ref="AQ110:AQ113" si="662">IFERROR(AO110/AN110-1,"-")</f>
        <v>-1</v>
      </c>
      <c r="AR110" s="71">
        <f>($BH$110-($L$110+$P$110))*AR109</f>
        <v>79224.24</v>
      </c>
      <c r="AS110" s="66">
        <v>0.0</v>
      </c>
      <c r="AT110" s="67">
        <f t="shared" ref="AT110:AT113" si="663">IFERROR(AS110-AR110,"-")</f>
        <v>-79224.24</v>
      </c>
      <c r="AU110" s="68">
        <f t="shared" ref="AU110:AU113" si="664">IFERROR(AS110/AR110-1,"-")</f>
        <v>-1</v>
      </c>
      <c r="AV110" s="71">
        <f>($BH$110-($L$110+$P$110))*AV109</f>
        <v>79224.24</v>
      </c>
      <c r="AW110" s="66">
        <v>0.0</v>
      </c>
      <c r="AX110" s="67">
        <f t="shared" ref="AX110:AX113" si="665">IFERROR(AW110-AV110,"-")</f>
        <v>-79224.24</v>
      </c>
      <c r="AY110" s="68">
        <f t="shared" ref="AY110:AY113" si="666">IFERROR(AW110/AV110-1,"-")</f>
        <v>-1</v>
      </c>
      <c r="AZ110" s="71">
        <f>($BH$110-($L$110+$P$110))*AZ109</f>
        <v>105632.32</v>
      </c>
      <c r="BA110" s="66">
        <v>0.0</v>
      </c>
      <c r="BB110" s="67">
        <f t="shared" ref="BB110:BB113" si="667">IFERROR(BA110-AZ110,"-")</f>
        <v>-105632.32</v>
      </c>
      <c r="BC110" s="68">
        <f t="shared" ref="BC110:BC113" si="668">IFERROR(BA110/AZ110-1,"-")</f>
        <v>-1</v>
      </c>
      <c r="BD110" s="66">
        <f>($BH$110-($L$110+$P$110))*BD109</f>
        <v>118836.36</v>
      </c>
      <c r="BE110" s="66">
        <v>0.0</v>
      </c>
      <c r="BF110" s="67">
        <f t="shared" ref="BF110:BF113" si="669">IFERROR(BE110-BD110,"-")</f>
        <v>-118836.36</v>
      </c>
      <c r="BG110" s="70">
        <f t="shared" ref="BG110:BG113" si="670">IFERROR(BE110/BD110-1,"-")</f>
        <v>-1</v>
      </c>
      <c r="BH110" s="74">
        <v>700000.0</v>
      </c>
      <c r="BI110" s="75">
        <f>SUM(M110,Q110,U110,Y110,AC110,AG110,AK110,AO110,AS110,AW110,BA110,BE110)</f>
        <v>122522.05</v>
      </c>
      <c r="BJ110" s="76">
        <f t="shared" ref="BJ110:BJ113" si="672">IFERROR(BI110/BH110-1,"-")</f>
        <v>-0.8249685</v>
      </c>
      <c r="BK110" s="77">
        <v>356599.28</v>
      </c>
      <c r="BL110" s="78">
        <f t="shared" ref="BL110:BL111" si="673">BH110/BK110</f>
        <v>1.962987699</v>
      </c>
      <c r="BM110" s="3"/>
      <c r="BN110" s="3"/>
      <c r="BO110" s="3"/>
      <c r="BP110" s="3"/>
      <c r="BQ110" s="3"/>
      <c r="BR110" s="3"/>
    </row>
    <row r="111" ht="15.75" customHeight="1">
      <c r="A111" s="1"/>
      <c r="B111" s="105"/>
      <c r="C111" s="106"/>
      <c r="D111" s="107"/>
      <c r="E111" s="144"/>
      <c r="F111" s="109"/>
      <c r="G111" s="110"/>
      <c r="H111" s="111"/>
      <c r="I111" s="112"/>
      <c r="J111" s="50" t="s">
        <v>64</v>
      </c>
      <c r="K111" s="79"/>
      <c r="L111" s="80">
        <f>L110/$K$112</f>
        <v>666.5</v>
      </c>
      <c r="M111" s="81">
        <v>905.0</v>
      </c>
      <c r="N111" s="82">
        <f t="shared" si="647"/>
        <v>238.5</v>
      </c>
      <c r="O111" s="68">
        <f t="shared" si="648"/>
        <v>0.3578394599</v>
      </c>
      <c r="P111" s="80">
        <f>P110/$K$112</f>
        <v>660.1</v>
      </c>
      <c r="Q111" s="81">
        <v>837.0</v>
      </c>
      <c r="R111" s="82">
        <f t="shared" si="649"/>
        <v>176.9</v>
      </c>
      <c r="S111" s="70">
        <f t="shared" si="650"/>
        <v>0.2679896985</v>
      </c>
      <c r="T111" s="84">
        <f>T110/$K$112</f>
        <v>880.2693333</v>
      </c>
      <c r="U111" s="81">
        <v>1651.0</v>
      </c>
      <c r="V111" s="82">
        <f t="shared" si="651"/>
        <v>770.7306667</v>
      </c>
      <c r="W111" s="68">
        <f t="shared" si="652"/>
        <v>0.8755623279</v>
      </c>
      <c r="X111" s="84">
        <f>X110/$K$112</f>
        <v>880.2693333</v>
      </c>
      <c r="Y111" s="81">
        <v>895.0</v>
      </c>
      <c r="Z111" s="82">
        <f t="shared" si="653"/>
        <v>14.73066667</v>
      </c>
      <c r="AA111" s="68">
        <f t="shared" si="654"/>
        <v>0.01673427224</v>
      </c>
      <c r="AB111" s="84">
        <f>AB110/$K$112</f>
        <v>1320.404</v>
      </c>
      <c r="AC111" s="81">
        <v>573.0</v>
      </c>
      <c r="AD111" s="82">
        <f t="shared" si="655"/>
        <v>-747.404</v>
      </c>
      <c r="AE111" s="68">
        <f t="shared" si="656"/>
        <v>-0.5660419084</v>
      </c>
      <c r="AF111" s="84">
        <f>AF110/$K$112</f>
        <v>1760.538667</v>
      </c>
      <c r="AG111" s="85">
        <v>433.0</v>
      </c>
      <c r="AH111" s="82">
        <f t="shared" si="657"/>
        <v>-1327.538667</v>
      </c>
      <c r="AI111" s="68">
        <f t="shared" si="658"/>
        <v>-0.7540525476</v>
      </c>
      <c r="AJ111" s="84">
        <f>AJ110/$K$112</f>
        <v>2200.673333</v>
      </c>
      <c r="AK111" s="81">
        <v>0.0</v>
      </c>
      <c r="AL111" s="82">
        <f t="shared" si="659"/>
        <v>-2200.673333</v>
      </c>
      <c r="AM111" s="68">
        <f t="shared" si="660"/>
        <v>-1</v>
      </c>
      <c r="AN111" s="84">
        <f>AN110/$K$112</f>
        <v>2200.673333</v>
      </c>
      <c r="AO111" s="81">
        <v>0.0</v>
      </c>
      <c r="AP111" s="82">
        <f t="shared" si="661"/>
        <v>-2200.673333</v>
      </c>
      <c r="AQ111" s="68">
        <f t="shared" si="662"/>
        <v>-1</v>
      </c>
      <c r="AR111" s="84">
        <f>AR110/$K$112</f>
        <v>2640.808</v>
      </c>
      <c r="AS111" s="81">
        <v>0.0</v>
      </c>
      <c r="AT111" s="82">
        <f t="shared" si="663"/>
        <v>-2640.808</v>
      </c>
      <c r="AU111" s="68">
        <f t="shared" si="664"/>
        <v>-1</v>
      </c>
      <c r="AV111" s="84">
        <f>AV110/$K$112</f>
        <v>2640.808</v>
      </c>
      <c r="AW111" s="81">
        <v>0.0</v>
      </c>
      <c r="AX111" s="82">
        <f t="shared" si="665"/>
        <v>-2640.808</v>
      </c>
      <c r="AY111" s="68">
        <f t="shared" si="666"/>
        <v>-1</v>
      </c>
      <c r="AZ111" s="84">
        <f>AZ110/$K$112</f>
        <v>3521.077333</v>
      </c>
      <c r="BA111" s="81">
        <v>0.0</v>
      </c>
      <c r="BB111" s="82">
        <f t="shared" si="667"/>
        <v>-3521.077333</v>
      </c>
      <c r="BC111" s="68">
        <f t="shared" si="668"/>
        <v>-1</v>
      </c>
      <c r="BD111" s="81">
        <f>BD110/$K$112</f>
        <v>3961.212</v>
      </c>
      <c r="BE111" s="81">
        <v>0.0</v>
      </c>
      <c r="BF111" s="82">
        <f t="shared" si="669"/>
        <v>-3961.212</v>
      </c>
      <c r="BG111" s="70">
        <f t="shared" si="670"/>
        <v>-1</v>
      </c>
      <c r="BH111" s="156">
        <f t="shared" ref="BH111:BI111" si="671">SUM(L111,P111,T111,X111,AB111,AF111,AJ111,AN111,AR111,AV111,AZ111,BD111)</f>
        <v>23333.33333</v>
      </c>
      <c r="BI111" s="87">
        <f t="shared" si="671"/>
        <v>5294</v>
      </c>
      <c r="BJ111" s="76">
        <f t="shared" si="672"/>
        <v>-0.7731142857</v>
      </c>
      <c r="BK111" s="88">
        <v>11282.0</v>
      </c>
      <c r="BL111" s="78">
        <f t="shared" si="673"/>
        <v>2.068191219</v>
      </c>
      <c r="BM111" s="3"/>
      <c r="BN111" s="3"/>
      <c r="BO111" s="3"/>
      <c r="BP111" s="3"/>
      <c r="BQ111" s="3"/>
      <c r="BR111" s="3"/>
    </row>
    <row r="112" ht="15.75" customHeight="1">
      <c r="A112" s="1"/>
      <c r="B112" s="105"/>
      <c r="C112" s="106"/>
      <c r="D112" s="107"/>
      <c r="E112" s="144"/>
      <c r="F112" s="109"/>
      <c r="G112" s="110"/>
      <c r="H112" s="111"/>
      <c r="I112" s="112"/>
      <c r="J112" s="50" t="s">
        <v>65</v>
      </c>
      <c r="K112" s="79">
        <v>30.0</v>
      </c>
      <c r="L112" s="80">
        <f>L110/L111</f>
        <v>30</v>
      </c>
      <c r="M112" s="66">
        <f>IFERROR(M110/M111,"-")</f>
        <v>22.82</v>
      </c>
      <c r="N112" s="67">
        <f t="shared" si="647"/>
        <v>-7.18</v>
      </c>
      <c r="O112" s="68">
        <f t="shared" si="648"/>
        <v>-0.2393333333</v>
      </c>
      <c r="P112" s="65">
        <f t="shared" ref="P112:Q112" si="674">IFERROR(P110/P111,"-")</f>
        <v>30</v>
      </c>
      <c r="Q112" s="66">
        <f t="shared" si="674"/>
        <v>24.80775388</v>
      </c>
      <c r="R112" s="67">
        <f t="shared" si="649"/>
        <v>-5.192246117</v>
      </c>
      <c r="S112" s="70">
        <f t="shared" si="650"/>
        <v>-0.1730748706</v>
      </c>
      <c r="T112" s="84">
        <f>T110/T111</f>
        <v>30</v>
      </c>
      <c r="U112" s="66">
        <f>IFERROR(U110/U111,"-")</f>
        <v>14.99015748</v>
      </c>
      <c r="V112" s="67">
        <f t="shared" si="651"/>
        <v>-15.00984252</v>
      </c>
      <c r="W112" s="68">
        <f t="shared" si="652"/>
        <v>-0.500328084</v>
      </c>
      <c r="X112" s="71">
        <f t="shared" ref="X112:Y112" si="675">IFERROR(X110/X111,"-")</f>
        <v>30</v>
      </c>
      <c r="Y112" s="66">
        <f t="shared" si="675"/>
        <v>27.84092737</v>
      </c>
      <c r="Z112" s="67">
        <f t="shared" si="653"/>
        <v>-2.159072626</v>
      </c>
      <c r="AA112" s="68">
        <f t="shared" si="654"/>
        <v>-0.07196908752</v>
      </c>
      <c r="AB112" s="84">
        <f>AB110/AB111</f>
        <v>30</v>
      </c>
      <c r="AC112" s="66">
        <f>IFERROR(AC110/AC111,"-")</f>
        <v>31.75504363</v>
      </c>
      <c r="AD112" s="67">
        <f t="shared" si="655"/>
        <v>1.75504363</v>
      </c>
      <c r="AE112" s="68">
        <f t="shared" si="656"/>
        <v>0.05850145433</v>
      </c>
      <c r="AF112" s="84">
        <f>AF110/AF111</f>
        <v>30</v>
      </c>
      <c r="AG112" s="66">
        <f>IFERROR(AG110/AG111,"-")</f>
        <v>30.58623557</v>
      </c>
      <c r="AH112" s="67">
        <f t="shared" si="657"/>
        <v>0.5862355658</v>
      </c>
      <c r="AI112" s="68">
        <f t="shared" si="658"/>
        <v>0.01954118553</v>
      </c>
      <c r="AJ112" s="84">
        <f>AJ110/AJ111</f>
        <v>30</v>
      </c>
      <c r="AK112" s="66" t="str">
        <f>IFERROR(AK110/AK111,"-")</f>
        <v>-</v>
      </c>
      <c r="AL112" s="67" t="str">
        <f t="shared" si="659"/>
        <v>-</v>
      </c>
      <c r="AM112" s="68" t="str">
        <f t="shared" si="660"/>
        <v>-</v>
      </c>
      <c r="AN112" s="84">
        <f t="shared" ref="AN112:AO112" si="676">AN110/AN111</f>
        <v>30</v>
      </c>
      <c r="AO112" s="81" t="str">
        <f t="shared" si="676"/>
        <v>#DIV/0!</v>
      </c>
      <c r="AP112" s="67" t="str">
        <f t="shared" si="661"/>
        <v>-</v>
      </c>
      <c r="AQ112" s="68" t="str">
        <f t="shared" si="662"/>
        <v>-</v>
      </c>
      <c r="AR112" s="84">
        <f>AR110/AR111</f>
        <v>30</v>
      </c>
      <c r="AS112" s="66" t="str">
        <f>IFERROR(AS110/AS111,"-")</f>
        <v>-</v>
      </c>
      <c r="AT112" s="67" t="str">
        <f t="shared" si="663"/>
        <v>-</v>
      </c>
      <c r="AU112" s="68" t="str">
        <f t="shared" si="664"/>
        <v>-</v>
      </c>
      <c r="AV112" s="84">
        <f>AV110/AV111</f>
        <v>30</v>
      </c>
      <c r="AW112" s="66" t="str">
        <f>IFERROR(AW110/AW111,"-")</f>
        <v>-</v>
      </c>
      <c r="AX112" s="67" t="str">
        <f t="shared" si="665"/>
        <v>-</v>
      </c>
      <c r="AY112" s="68" t="str">
        <f t="shared" si="666"/>
        <v>-</v>
      </c>
      <c r="AZ112" s="84">
        <f>AZ110/AZ111</f>
        <v>30</v>
      </c>
      <c r="BA112" s="66" t="str">
        <f>IFERROR(BA110/BA111,"-")</f>
        <v>-</v>
      </c>
      <c r="BB112" s="67" t="str">
        <f t="shared" si="667"/>
        <v>-</v>
      </c>
      <c r="BC112" s="68" t="str">
        <f t="shared" si="668"/>
        <v>-</v>
      </c>
      <c r="BD112" s="81">
        <f>BD110/BD111</f>
        <v>30</v>
      </c>
      <c r="BE112" s="66" t="str">
        <f>IFERROR(BE110/BE111,"-")</f>
        <v>-</v>
      </c>
      <c r="BF112" s="67" t="str">
        <f t="shared" si="669"/>
        <v>-</v>
      </c>
      <c r="BG112" s="70" t="str">
        <f t="shared" si="670"/>
        <v>-</v>
      </c>
      <c r="BH112" s="86">
        <f t="shared" ref="BH112:BI112" si="677">BH110/BH111</f>
        <v>30</v>
      </c>
      <c r="BI112" s="90">
        <f t="shared" si="677"/>
        <v>23.14356819</v>
      </c>
      <c r="BJ112" s="76">
        <f t="shared" si="672"/>
        <v>-0.228547727</v>
      </c>
      <c r="BK112" s="88">
        <f>BK110/BK111</f>
        <v>31.60780713</v>
      </c>
      <c r="BL112" s="78">
        <f>BH112/BK112-1</f>
        <v>-0.050867405</v>
      </c>
      <c r="BM112" s="3"/>
      <c r="BN112" s="3"/>
      <c r="BO112" s="3"/>
      <c r="BP112" s="3"/>
      <c r="BQ112" s="3"/>
      <c r="BR112" s="3"/>
    </row>
    <row r="113" ht="15.75" customHeight="1">
      <c r="A113" s="1"/>
      <c r="B113" s="105"/>
      <c r="C113" s="106"/>
      <c r="D113" s="107"/>
      <c r="E113" s="144"/>
      <c r="F113" s="109"/>
      <c r="G113" s="110"/>
      <c r="H113" s="111"/>
      <c r="I113" s="112"/>
      <c r="J113" s="91" t="s">
        <v>66</v>
      </c>
      <c r="K113" s="193">
        <v>0.04</v>
      </c>
      <c r="L113" s="99">
        <f t="shared" ref="L113:M113" si="678">L110*$K$113</f>
        <v>799.8</v>
      </c>
      <c r="M113" s="94">
        <f t="shared" si="678"/>
        <v>826.084</v>
      </c>
      <c r="N113" s="95">
        <f t="shared" si="647"/>
        <v>26.284</v>
      </c>
      <c r="O113" s="96">
        <f t="shared" si="648"/>
        <v>0.0328632158</v>
      </c>
      <c r="P113" s="99">
        <f t="shared" ref="P113:Q113" si="679">P110*$K$113</f>
        <v>792.12</v>
      </c>
      <c r="Q113" s="94">
        <f t="shared" si="679"/>
        <v>830.5636</v>
      </c>
      <c r="R113" s="95">
        <f t="shared" si="649"/>
        <v>38.4436</v>
      </c>
      <c r="S113" s="98">
        <f t="shared" si="650"/>
        <v>0.04853254557</v>
      </c>
      <c r="T113" s="99">
        <f t="shared" ref="T113:U113" si="680">T110*$K$113</f>
        <v>1056.3232</v>
      </c>
      <c r="U113" s="94">
        <f t="shared" si="680"/>
        <v>989.95</v>
      </c>
      <c r="V113" s="95">
        <f t="shared" si="651"/>
        <v>-66.3732</v>
      </c>
      <c r="W113" s="96">
        <f t="shared" si="652"/>
        <v>-0.06283417802</v>
      </c>
      <c r="X113" s="99">
        <f t="shared" ref="X113:Y113" si="681">X110*$K$113</f>
        <v>1056.3232</v>
      </c>
      <c r="Y113" s="94">
        <f t="shared" si="681"/>
        <v>996.7052</v>
      </c>
      <c r="Z113" s="95">
        <f t="shared" si="653"/>
        <v>-59.618</v>
      </c>
      <c r="AA113" s="96">
        <f t="shared" si="654"/>
        <v>-0.05643916559</v>
      </c>
      <c r="AB113" s="99">
        <f t="shared" ref="AB113:AC113" si="682">AB110*$K$113</f>
        <v>1584.4848</v>
      </c>
      <c r="AC113" s="94">
        <f t="shared" si="682"/>
        <v>727.8256</v>
      </c>
      <c r="AD113" s="95">
        <f t="shared" si="655"/>
        <v>-856.6592</v>
      </c>
      <c r="AE113" s="96">
        <f t="shared" si="656"/>
        <v>-0.5406547289</v>
      </c>
      <c r="AF113" s="99">
        <f t="shared" ref="AF113:AG113" si="683">AF110*$K$113</f>
        <v>2112.6464</v>
      </c>
      <c r="AG113" s="94">
        <f t="shared" si="683"/>
        <v>529.7536</v>
      </c>
      <c r="AH113" s="95">
        <f t="shared" si="657"/>
        <v>-1582.8928</v>
      </c>
      <c r="AI113" s="96">
        <f t="shared" si="658"/>
        <v>-0.7492464428</v>
      </c>
      <c r="AJ113" s="99">
        <f t="shared" ref="AJ113:AK113" si="684">AJ110*$K$113</f>
        <v>2640.808</v>
      </c>
      <c r="AK113" s="94">
        <f t="shared" si="684"/>
        <v>0</v>
      </c>
      <c r="AL113" s="95">
        <f t="shared" si="659"/>
        <v>-2640.808</v>
      </c>
      <c r="AM113" s="96">
        <f t="shared" si="660"/>
        <v>-1</v>
      </c>
      <c r="AN113" s="99">
        <f t="shared" ref="AN113:AO113" si="685">AN110*$K$113</f>
        <v>2640.808</v>
      </c>
      <c r="AO113" s="94">
        <f t="shared" si="685"/>
        <v>0</v>
      </c>
      <c r="AP113" s="95">
        <f t="shared" si="661"/>
        <v>-2640.808</v>
      </c>
      <c r="AQ113" s="96">
        <f t="shared" si="662"/>
        <v>-1</v>
      </c>
      <c r="AR113" s="99">
        <f t="shared" ref="AR113:AS113" si="686">AR110*$K$113</f>
        <v>3168.9696</v>
      </c>
      <c r="AS113" s="94">
        <f t="shared" si="686"/>
        <v>0</v>
      </c>
      <c r="AT113" s="95">
        <f t="shared" si="663"/>
        <v>-3168.9696</v>
      </c>
      <c r="AU113" s="96">
        <f t="shared" si="664"/>
        <v>-1</v>
      </c>
      <c r="AV113" s="99">
        <f t="shared" ref="AV113:AW113" si="687">AV110*$K$113</f>
        <v>3168.9696</v>
      </c>
      <c r="AW113" s="94">
        <f t="shared" si="687"/>
        <v>0</v>
      </c>
      <c r="AX113" s="95">
        <f t="shared" si="665"/>
        <v>-3168.9696</v>
      </c>
      <c r="AY113" s="96">
        <f t="shared" si="666"/>
        <v>-1</v>
      </c>
      <c r="AZ113" s="99">
        <f t="shared" ref="AZ113:BA113" si="688">AZ110*$K$113</f>
        <v>4225.2928</v>
      </c>
      <c r="BA113" s="94">
        <f t="shared" si="688"/>
        <v>0</v>
      </c>
      <c r="BB113" s="95">
        <f t="shared" si="667"/>
        <v>-4225.2928</v>
      </c>
      <c r="BC113" s="96">
        <f t="shared" si="668"/>
        <v>-1</v>
      </c>
      <c r="BD113" s="94">
        <f t="shared" ref="BD113:BE113" si="689">BD110*$K$113</f>
        <v>4753.4544</v>
      </c>
      <c r="BE113" s="94">
        <f t="shared" si="689"/>
        <v>0</v>
      </c>
      <c r="BF113" s="95">
        <f t="shared" si="669"/>
        <v>-4753.4544</v>
      </c>
      <c r="BG113" s="98">
        <f t="shared" si="670"/>
        <v>-1</v>
      </c>
      <c r="BH113" s="100">
        <f t="shared" ref="BH113:BI113" si="690">SUM(L113,P113,T113,X113,AB113,AF113,AJ113,AN113,AR113,AV113,AZ113,BD113)</f>
        <v>28000</v>
      </c>
      <c r="BI113" s="101">
        <f t="shared" si="690"/>
        <v>4900.882</v>
      </c>
      <c r="BJ113" s="102">
        <f t="shared" si="672"/>
        <v>-0.8249685</v>
      </c>
      <c r="BK113" s="103">
        <f>BK110*0.04</f>
        <v>14263.9712</v>
      </c>
      <c r="BL113" s="104">
        <f>BH113/BK113</f>
        <v>1.962987699</v>
      </c>
      <c r="BM113" s="3"/>
      <c r="BN113" s="3"/>
      <c r="BO113" s="3"/>
      <c r="BP113" s="3"/>
      <c r="BQ113" s="3"/>
      <c r="BR113" s="3"/>
    </row>
    <row r="114" ht="15.75" customHeight="1">
      <c r="A114" s="1"/>
      <c r="B114" s="105"/>
      <c r="C114" s="106"/>
      <c r="D114" s="107"/>
      <c r="E114" s="144"/>
      <c r="F114" s="109"/>
      <c r="G114" s="110"/>
      <c r="H114" s="111"/>
      <c r="I114" s="112"/>
      <c r="J114" s="15"/>
      <c r="K114" s="188"/>
      <c r="L114" s="15"/>
      <c r="M114" s="15"/>
      <c r="N114" s="15"/>
      <c r="O114" s="15"/>
      <c r="P114" s="15"/>
      <c r="Q114" s="160"/>
      <c r="R114" s="15"/>
      <c r="S114" s="15"/>
      <c r="T114" s="15"/>
      <c r="U114" s="15"/>
      <c r="V114" s="15"/>
      <c r="W114" s="15"/>
      <c r="X114" s="14"/>
      <c r="Y114" s="14"/>
      <c r="Z114" s="15"/>
      <c r="AA114" s="3"/>
      <c r="AB114" s="3"/>
      <c r="AC114" s="3"/>
      <c r="AD114" s="3"/>
      <c r="AE114" s="3"/>
      <c r="AF114" s="3"/>
      <c r="AV114" s="138"/>
      <c r="AW114" s="25"/>
      <c r="AX114" s="139"/>
      <c r="AY114" s="25"/>
    </row>
    <row r="115" ht="15.75" customHeight="1">
      <c r="A115" s="3"/>
      <c r="B115" s="3"/>
      <c r="C115" s="3"/>
      <c r="D115" s="3"/>
      <c r="E115" s="3"/>
      <c r="F115" s="3"/>
      <c r="G115" s="3"/>
      <c r="H115" s="3"/>
      <c r="I115" s="3"/>
      <c r="J115" s="34" t="s">
        <v>100</v>
      </c>
      <c r="K115" s="35"/>
      <c r="L115" s="36" t="s">
        <v>10</v>
      </c>
      <c r="M115" s="37" t="s">
        <v>11</v>
      </c>
      <c r="N115" s="38" t="s">
        <v>12</v>
      </c>
      <c r="O115" s="39" t="s">
        <v>13</v>
      </c>
      <c r="P115" s="119" t="s">
        <v>14</v>
      </c>
      <c r="Q115" s="152" t="s">
        <v>15</v>
      </c>
      <c r="R115" s="38" t="s">
        <v>16</v>
      </c>
      <c r="S115" s="42" t="s">
        <v>17</v>
      </c>
      <c r="T115" s="36" t="s">
        <v>18</v>
      </c>
      <c r="U115" s="152" t="s">
        <v>90</v>
      </c>
      <c r="V115" s="38" t="s">
        <v>20</v>
      </c>
      <c r="W115" s="45" t="s">
        <v>91</v>
      </c>
      <c r="X115" s="119" t="s">
        <v>22</v>
      </c>
      <c r="Y115" s="152" t="s">
        <v>92</v>
      </c>
      <c r="Z115" s="38" t="s">
        <v>24</v>
      </c>
      <c r="AA115" s="45" t="s">
        <v>91</v>
      </c>
      <c r="AB115" s="36" t="s">
        <v>26</v>
      </c>
      <c r="AC115" s="152" t="s">
        <v>27</v>
      </c>
      <c r="AD115" s="38" t="s">
        <v>28</v>
      </c>
      <c r="AE115" s="45" t="s">
        <v>29</v>
      </c>
      <c r="AF115" s="44" t="s">
        <v>30</v>
      </c>
      <c r="AG115" s="152" t="s">
        <v>31</v>
      </c>
      <c r="AH115" s="38" t="s">
        <v>32</v>
      </c>
      <c r="AI115" s="45" t="s">
        <v>33</v>
      </c>
      <c r="AJ115" s="43" t="s">
        <v>34</v>
      </c>
      <c r="AK115" s="152" t="s">
        <v>35</v>
      </c>
      <c r="AL115" s="38" t="s">
        <v>36</v>
      </c>
      <c r="AM115" s="45" t="s">
        <v>37</v>
      </c>
      <c r="AN115" s="44" t="s">
        <v>38</v>
      </c>
      <c r="AO115" s="152" t="s">
        <v>39</v>
      </c>
      <c r="AP115" s="38" t="s">
        <v>40</v>
      </c>
      <c r="AQ115" s="45" t="s">
        <v>41</v>
      </c>
      <c r="AR115" s="43" t="s">
        <v>42</v>
      </c>
      <c r="AS115" s="152" t="s">
        <v>43</v>
      </c>
      <c r="AT115" s="38" t="s">
        <v>44</v>
      </c>
      <c r="AU115" s="45" t="s">
        <v>45</v>
      </c>
      <c r="AV115" s="44" t="s">
        <v>46</v>
      </c>
      <c r="AW115" s="152" t="s">
        <v>47</v>
      </c>
      <c r="AX115" s="38" t="s">
        <v>48</v>
      </c>
      <c r="AY115" s="45" t="s">
        <v>49</v>
      </c>
      <c r="AZ115" s="43" t="s">
        <v>50</v>
      </c>
      <c r="BA115" s="152" t="s">
        <v>51</v>
      </c>
      <c r="BB115" s="38" t="s">
        <v>52</v>
      </c>
      <c r="BC115" s="45" t="s">
        <v>53</v>
      </c>
      <c r="BD115" s="153" t="s">
        <v>54</v>
      </c>
      <c r="BE115" s="152" t="s">
        <v>55</v>
      </c>
      <c r="BF115" s="38" t="s">
        <v>56</v>
      </c>
      <c r="BG115" s="42" t="s">
        <v>57</v>
      </c>
      <c r="BH115" s="46">
        <v>2026.0</v>
      </c>
      <c r="BI115" s="37" t="s">
        <v>58</v>
      </c>
      <c r="BJ115" s="47" t="s">
        <v>59</v>
      </c>
      <c r="BK115" s="48">
        <v>2025.0</v>
      </c>
      <c r="BL115" s="49"/>
      <c r="BM115" s="3"/>
      <c r="BN115" s="3"/>
      <c r="BO115" s="3"/>
      <c r="BP115" s="3"/>
      <c r="BQ115" s="3"/>
      <c r="BR115" s="3"/>
    </row>
    <row r="116" ht="15.75" customHeight="1">
      <c r="A116" s="25"/>
      <c r="B116" s="194">
        <v>17.0</v>
      </c>
      <c r="C116" s="195" t="s">
        <v>98</v>
      </c>
      <c r="D116" s="196">
        <f>15000*12</f>
        <v>180000</v>
      </c>
      <c r="E116" s="197">
        <v>32.0</v>
      </c>
      <c r="F116" s="198">
        <f>E116*D116</f>
        <v>5760000</v>
      </c>
      <c r="G116" s="199">
        <v>356599.2800000031</v>
      </c>
      <c r="H116" s="200">
        <v>11282.0</v>
      </c>
      <c r="I116" s="201">
        <v>31.607807126396306</v>
      </c>
      <c r="J116" s="50" t="s">
        <v>61</v>
      </c>
      <c r="K116" s="51"/>
      <c r="L116" s="52" t="s">
        <v>60</v>
      </c>
      <c r="M116" s="53" t="s">
        <v>60</v>
      </c>
      <c r="N116" s="54" t="s">
        <v>60</v>
      </c>
      <c r="O116" s="55" t="s">
        <v>62</v>
      </c>
      <c r="P116" s="52" t="s">
        <v>60</v>
      </c>
      <c r="Q116" s="154" t="s">
        <v>60</v>
      </c>
      <c r="R116" s="54" t="s">
        <v>60</v>
      </c>
      <c r="S116" s="57" t="s">
        <v>62</v>
      </c>
      <c r="T116" s="52" t="s">
        <v>60</v>
      </c>
      <c r="U116" s="59" t="s">
        <v>60</v>
      </c>
      <c r="V116" s="54" t="s">
        <v>60</v>
      </c>
      <c r="W116" s="55" t="s">
        <v>62</v>
      </c>
      <c r="X116" s="52" t="s">
        <v>60</v>
      </c>
      <c r="Y116" s="59" t="s">
        <v>60</v>
      </c>
      <c r="Z116" s="54" t="s">
        <v>60</v>
      </c>
      <c r="AA116" s="55" t="s">
        <v>62</v>
      </c>
      <c r="AB116" s="52" t="s">
        <v>60</v>
      </c>
      <c r="AC116" s="59" t="s">
        <v>60</v>
      </c>
      <c r="AD116" s="54" t="s">
        <v>60</v>
      </c>
      <c r="AE116" s="55" t="s">
        <v>62</v>
      </c>
      <c r="AF116" s="58">
        <v>0.05</v>
      </c>
      <c r="AG116" s="59">
        <f>AG117/(BH117-(L117+P117+T117+X117+AB117))</f>
        <v>0.02426863833</v>
      </c>
      <c r="AH116" s="54" t="s">
        <v>60</v>
      </c>
      <c r="AI116" s="55" t="s">
        <v>62</v>
      </c>
      <c r="AJ116" s="58">
        <v>0.08</v>
      </c>
      <c r="AK116" s="59">
        <f>AK117/(BH117-(L117+P117+T117+X117+AB117))</f>
        <v>0</v>
      </c>
      <c r="AL116" s="54" t="s">
        <v>60</v>
      </c>
      <c r="AM116" s="55" t="s">
        <v>62</v>
      </c>
      <c r="AN116" s="58">
        <v>0.1</v>
      </c>
      <c r="AO116" s="59">
        <f>AO117/(BH117-(L117+P117+T117+X117+AB117))</f>
        <v>0</v>
      </c>
      <c r="AP116" s="54" t="s">
        <v>60</v>
      </c>
      <c r="AQ116" s="55" t="s">
        <v>62</v>
      </c>
      <c r="AR116" s="58">
        <v>0.16</v>
      </c>
      <c r="AS116" s="59">
        <f>AS117/(BH117-(L117+P117+T117+X117+AB117))</f>
        <v>0</v>
      </c>
      <c r="AT116" s="54" t="s">
        <v>60</v>
      </c>
      <c r="AU116" s="55" t="s">
        <v>62</v>
      </c>
      <c r="AV116" s="58">
        <v>0.2</v>
      </c>
      <c r="AW116" s="59">
        <f>AW117/(BH117-(L117+P117+T117+X117+AB117))</f>
        <v>0</v>
      </c>
      <c r="AX116" s="54" t="s">
        <v>60</v>
      </c>
      <c r="AY116" s="55" t="s">
        <v>62</v>
      </c>
      <c r="AZ116" s="58">
        <v>0.21</v>
      </c>
      <c r="BA116" s="59">
        <f>BA117/(BH117-(L117+P117+T117+X117+AB117))</f>
        <v>0</v>
      </c>
      <c r="BB116" s="54" t="s">
        <v>60</v>
      </c>
      <c r="BC116" s="55" t="s">
        <v>62</v>
      </c>
      <c r="BD116" s="155">
        <v>0.2</v>
      </c>
      <c r="BE116" s="59">
        <f>BE117/(BH117-(L117+P117+T117+X117++AB117))</f>
        <v>0</v>
      </c>
      <c r="BF116" s="54" t="s">
        <v>60</v>
      </c>
      <c r="BG116" s="57" t="s">
        <v>62</v>
      </c>
      <c r="BH116" s="60">
        <f t="shared" ref="BH116:BI116" si="691">SUM(AF116,AJ116,AN116,AR116,AV116,AZ116,BD116)</f>
        <v>1</v>
      </c>
      <c r="BI116" s="61">
        <f t="shared" si="691"/>
        <v>0.02426863833</v>
      </c>
      <c r="BJ116" s="62"/>
      <c r="BK116" s="63" t="s">
        <v>60</v>
      </c>
      <c r="BL116" s="64"/>
      <c r="BM116" s="202"/>
      <c r="BN116" s="25"/>
      <c r="BO116" s="25"/>
      <c r="BP116" s="25"/>
      <c r="BQ116" s="25"/>
      <c r="BR116" s="25"/>
    </row>
    <row r="117" ht="15.75" customHeight="1">
      <c r="A117" s="25"/>
      <c r="B117" s="203"/>
      <c r="C117" s="195"/>
      <c r="D117" s="204"/>
      <c r="E117" s="205"/>
      <c r="F117" s="206"/>
      <c r="G117" s="207"/>
      <c r="H117" s="208"/>
      <c r="I117" s="209"/>
      <c r="J117" s="50" t="s">
        <v>63</v>
      </c>
      <c r="K117" s="51"/>
      <c r="L117" s="127">
        <v>0.0</v>
      </c>
      <c r="M117" s="66">
        <v>0.0</v>
      </c>
      <c r="N117" s="67">
        <f t="shared" ref="N117:N120" si="692">IFERROR(M117-L117,"-")</f>
        <v>0</v>
      </c>
      <c r="O117" s="68" t="str">
        <f t="shared" ref="O117:O120" si="693">IFERROR(M117/L117-1,"-")</f>
        <v>-</v>
      </c>
      <c r="P117" s="127">
        <v>0.0</v>
      </c>
      <c r="Q117" s="66">
        <v>0.0</v>
      </c>
      <c r="R117" s="67">
        <f t="shared" ref="R117:R120" si="694">IFERROR(Q117-P117,"-")</f>
        <v>0</v>
      </c>
      <c r="S117" s="70" t="str">
        <f t="shared" ref="S117:S120" si="695">IFERROR(Q117/P117-1,"-")</f>
        <v>-</v>
      </c>
      <c r="T117" s="65">
        <v>0.0</v>
      </c>
      <c r="U117" s="66">
        <v>0.0</v>
      </c>
      <c r="V117" s="67">
        <f t="shared" ref="V117:V120" si="696">IFERROR(U117-T117,"-")</f>
        <v>0</v>
      </c>
      <c r="W117" s="68" t="str">
        <f t="shared" ref="W117:W120" si="697">IFERROR(U117/T117-1,"-")</f>
        <v>-</v>
      </c>
      <c r="X117" s="65">
        <v>0.0</v>
      </c>
      <c r="Y117" s="66">
        <v>0.0</v>
      </c>
      <c r="Z117" s="67">
        <f t="shared" ref="Z117:Z120" si="698">IFERROR(Y117-X117,"-")</f>
        <v>0</v>
      </c>
      <c r="AA117" s="68" t="str">
        <f t="shared" ref="AA117:AA120" si="699">IFERROR(Y117/X117-1,"-")</f>
        <v>-</v>
      </c>
      <c r="AB117" s="65">
        <v>0.0</v>
      </c>
      <c r="AC117" s="66">
        <v>4133.38</v>
      </c>
      <c r="AD117" s="67">
        <f t="shared" ref="AD117:AD120" si="700">IFERROR(AC117-AB117,"-")</f>
        <v>4133.38</v>
      </c>
      <c r="AE117" s="68" t="str">
        <f t="shared" ref="AE117:AE120" si="701">IFERROR(AC117/AB117-1,"-")</f>
        <v>-</v>
      </c>
      <c r="AF117" s="71">
        <f>($BH$117-($L$117+$P$117))*AF116</f>
        <v>1200000</v>
      </c>
      <c r="AG117" s="73">
        <v>582447.32</v>
      </c>
      <c r="AH117" s="67">
        <f t="shared" ref="AH117:AH120" si="702">IFERROR(AG117-AF117,"-")</f>
        <v>-617552.68</v>
      </c>
      <c r="AI117" s="68">
        <f t="shared" ref="AI117:AI120" si="703">IFERROR(AG117/AF117-1,"-")</f>
        <v>-0.5146272333</v>
      </c>
      <c r="AJ117" s="71">
        <f>($BH$117-($L$117+$P$117))*AJ116</f>
        <v>1920000</v>
      </c>
      <c r="AK117" s="66">
        <v>0.0</v>
      </c>
      <c r="AL117" s="67">
        <f t="shared" ref="AL117:AL120" si="704">IFERROR(AK117-AJ117,"-")</f>
        <v>-1920000</v>
      </c>
      <c r="AM117" s="68">
        <f t="shared" ref="AM117:AM120" si="705">IFERROR(AK117/AJ117-1,"-")</f>
        <v>-1</v>
      </c>
      <c r="AN117" s="71">
        <f>($BH$117-($L$117+$P$117))*AN116</f>
        <v>2400000</v>
      </c>
      <c r="AO117" s="66">
        <v>0.0</v>
      </c>
      <c r="AP117" s="67">
        <f t="shared" ref="AP117:AP120" si="706">IFERROR(AO117-AN117,"-")</f>
        <v>-2400000</v>
      </c>
      <c r="AQ117" s="68">
        <f t="shared" ref="AQ117:AQ120" si="707">IFERROR(AO117/AN117-1,"-")</f>
        <v>-1</v>
      </c>
      <c r="AR117" s="71">
        <f>($BH$117-($L$117+$P$117))*AR116</f>
        <v>3840000</v>
      </c>
      <c r="AS117" s="66">
        <v>0.0</v>
      </c>
      <c r="AT117" s="67">
        <f t="shared" ref="AT117:AT120" si="708">IFERROR(AS117-AR117,"-")</f>
        <v>-3840000</v>
      </c>
      <c r="AU117" s="68">
        <f t="shared" ref="AU117:AU120" si="709">IFERROR(AS117/AR117-1,"-")</f>
        <v>-1</v>
      </c>
      <c r="AV117" s="71">
        <f>($BH$117-($L$117+$P$117))*AV116</f>
        <v>4800000</v>
      </c>
      <c r="AW117" s="66">
        <v>0.0</v>
      </c>
      <c r="AX117" s="67">
        <f t="shared" ref="AX117:AX120" si="710">IFERROR(AW117-AV117,"-")</f>
        <v>-4800000</v>
      </c>
      <c r="AY117" s="68">
        <f t="shared" ref="AY117:AY120" si="711">IFERROR(AW117/AV117-1,"-")</f>
        <v>-1</v>
      </c>
      <c r="AZ117" s="71">
        <f>($BH$117-($L$117+$P$117))*AZ116</f>
        <v>5040000</v>
      </c>
      <c r="BA117" s="66">
        <v>0.0</v>
      </c>
      <c r="BB117" s="67">
        <f t="shared" ref="BB117:BB120" si="712">IFERROR(BA117-AZ117,"-")</f>
        <v>-5040000</v>
      </c>
      <c r="BC117" s="68">
        <f t="shared" ref="BC117:BC120" si="713">IFERROR(BA117/AZ117-1,"-")</f>
        <v>-1</v>
      </c>
      <c r="BD117" s="66">
        <f>($BH$117-($L$117+$P$117))*BD116</f>
        <v>4800000</v>
      </c>
      <c r="BE117" s="66">
        <v>0.0</v>
      </c>
      <c r="BF117" s="67">
        <f t="shared" ref="BF117:BF120" si="714">IFERROR(BE117-BD117,"-")</f>
        <v>-4800000</v>
      </c>
      <c r="BG117" s="70">
        <f t="shared" ref="BG117:BG120" si="715">IFERROR(BE117/BD117-1,"-")</f>
        <v>-1</v>
      </c>
      <c r="BH117" s="74">
        <v>2.4E7</v>
      </c>
      <c r="BI117" s="75">
        <f t="shared" ref="BI117:BI118" si="716">SUM(M117,Q117,U117,Y117,AC117,AG117,AK117,AO117,AS117,AW117,BA117,BE117)</f>
        <v>586580.7</v>
      </c>
      <c r="BJ117" s="76">
        <f t="shared" ref="BJ117:BJ120" si="717">IFERROR(BI117/BH117-1,"-")</f>
        <v>-0.9755591375</v>
      </c>
      <c r="BK117" s="77"/>
      <c r="BL117" s="78"/>
      <c r="BM117" s="210"/>
      <c r="BN117" s="25"/>
      <c r="BO117" s="25"/>
      <c r="BP117" s="25"/>
      <c r="BQ117" s="25"/>
      <c r="BR117" s="25"/>
    </row>
    <row r="118" ht="15.75" customHeight="1">
      <c r="A118" s="25"/>
      <c r="B118" s="203"/>
      <c r="C118" s="195"/>
      <c r="D118" s="204"/>
      <c r="E118" s="205"/>
      <c r="F118" s="206"/>
      <c r="G118" s="207"/>
      <c r="H118" s="208"/>
      <c r="I118" s="209"/>
      <c r="J118" s="50" t="s">
        <v>64</v>
      </c>
      <c r="K118" s="79"/>
      <c r="L118" s="129">
        <f>L117/$K$119</f>
        <v>0</v>
      </c>
      <c r="M118" s="81">
        <v>0.0</v>
      </c>
      <c r="N118" s="82">
        <f t="shared" si="692"/>
        <v>0</v>
      </c>
      <c r="O118" s="68" t="str">
        <f t="shared" si="693"/>
        <v>-</v>
      </c>
      <c r="P118" s="129">
        <f>P117/$K$119</f>
        <v>0</v>
      </c>
      <c r="Q118" s="81">
        <v>0.0</v>
      </c>
      <c r="R118" s="82">
        <f t="shared" si="694"/>
        <v>0</v>
      </c>
      <c r="S118" s="70" t="str">
        <f t="shared" si="695"/>
        <v>-</v>
      </c>
      <c r="T118" s="129">
        <f>T117/$K$119</f>
        <v>0</v>
      </c>
      <c r="U118" s="81">
        <v>0.0</v>
      </c>
      <c r="V118" s="82">
        <f t="shared" si="696"/>
        <v>0</v>
      </c>
      <c r="W118" s="68" t="str">
        <f t="shared" si="697"/>
        <v>-</v>
      </c>
      <c r="X118" s="129">
        <f>X117/$K$119</f>
        <v>0</v>
      </c>
      <c r="Y118" s="81">
        <v>0.0</v>
      </c>
      <c r="Z118" s="82">
        <f t="shared" si="698"/>
        <v>0</v>
      </c>
      <c r="AA118" s="68" t="str">
        <f t="shared" si="699"/>
        <v>-</v>
      </c>
      <c r="AB118" s="80">
        <f>AB117/$K$119</f>
        <v>0</v>
      </c>
      <c r="AC118" s="81">
        <v>57.0</v>
      </c>
      <c r="AD118" s="82">
        <f t="shared" si="700"/>
        <v>57</v>
      </c>
      <c r="AE118" s="68" t="str">
        <f t="shared" si="701"/>
        <v>-</v>
      </c>
      <c r="AF118" s="84">
        <f>AF117/$K$119</f>
        <v>11881.18812</v>
      </c>
      <c r="AG118" s="85">
        <v>3831.0</v>
      </c>
      <c r="AH118" s="82">
        <f t="shared" si="702"/>
        <v>-8050.188119</v>
      </c>
      <c r="AI118" s="68">
        <f t="shared" si="703"/>
        <v>-0.6775575</v>
      </c>
      <c r="AJ118" s="84">
        <f>AJ117/$K$119</f>
        <v>19009.90099</v>
      </c>
      <c r="AK118" s="81">
        <v>0.0</v>
      </c>
      <c r="AL118" s="82">
        <f t="shared" si="704"/>
        <v>-19009.90099</v>
      </c>
      <c r="AM118" s="68">
        <f t="shared" si="705"/>
        <v>-1</v>
      </c>
      <c r="AN118" s="84">
        <f>AN117/$K$119</f>
        <v>23762.37624</v>
      </c>
      <c r="AO118" s="81">
        <v>0.0</v>
      </c>
      <c r="AP118" s="82">
        <f t="shared" si="706"/>
        <v>-23762.37624</v>
      </c>
      <c r="AQ118" s="68">
        <f t="shared" si="707"/>
        <v>-1</v>
      </c>
      <c r="AR118" s="84">
        <f>AR117/$K$119</f>
        <v>38019.80198</v>
      </c>
      <c r="AS118" s="81">
        <v>0.0</v>
      </c>
      <c r="AT118" s="82">
        <f t="shared" si="708"/>
        <v>-38019.80198</v>
      </c>
      <c r="AU118" s="68">
        <f t="shared" si="709"/>
        <v>-1</v>
      </c>
      <c r="AV118" s="84">
        <f>AV117/$K$119</f>
        <v>47524.75248</v>
      </c>
      <c r="AW118" s="81">
        <v>0.0</v>
      </c>
      <c r="AX118" s="82">
        <f t="shared" si="710"/>
        <v>-47524.75248</v>
      </c>
      <c r="AY118" s="68">
        <f t="shared" si="711"/>
        <v>-1</v>
      </c>
      <c r="AZ118" s="84">
        <f>AZ117/$K$119</f>
        <v>49900.9901</v>
      </c>
      <c r="BA118" s="81">
        <v>0.0</v>
      </c>
      <c r="BB118" s="82">
        <f t="shared" si="712"/>
        <v>-49900.9901</v>
      </c>
      <c r="BC118" s="68">
        <f t="shared" si="713"/>
        <v>-1</v>
      </c>
      <c r="BD118" s="81">
        <f>BD117/$K$119</f>
        <v>47524.75248</v>
      </c>
      <c r="BE118" s="81">
        <v>0.0</v>
      </c>
      <c r="BF118" s="82">
        <f t="shared" si="714"/>
        <v>-47524.75248</v>
      </c>
      <c r="BG118" s="70">
        <f t="shared" si="715"/>
        <v>-1</v>
      </c>
      <c r="BH118" s="156">
        <f>SUM(L118,T118,X118,AB118,AF118,AJ118,AN118,AR118,AV118,AZ118,BD118)</f>
        <v>237623.7624</v>
      </c>
      <c r="BI118" s="87">
        <f t="shared" si="716"/>
        <v>3888</v>
      </c>
      <c r="BJ118" s="76">
        <f t="shared" si="717"/>
        <v>-0.983638</v>
      </c>
      <c r="BK118" s="88"/>
      <c r="BL118" s="78"/>
      <c r="BM118" s="211"/>
      <c r="BN118" s="25"/>
      <c r="BO118" s="212"/>
      <c r="BP118" s="25"/>
      <c r="BQ118" s="25"/>
      <c r="BR118" s="25"/>
    </row>
    <row r="119" ht="15.75" customHeight="1">
      <c r="A119" s="25"/>
      <c r="B119" s="203"/>
      <c r="C119" s="195"/>
      <c r="D119" s="204"/>
      <c r="E119" s="205"/>
      <c r="F119" s="206"/>
      <c r="G119" s="207"/>
      <c r="H119" s="208"/>
      <c r="I119" s="209"/>
      <c r="J119" s="50" t="s">
        <v>65</v>
      </c>
      <c r="K119" s="79">
        <v>101.0</v>
      </c>
      <c r="L119" s="65" t="str">
        <f t="shared" ref="L119:M119" si="718">IFERROR(L117/L118,"-")</f>
        <v>-</v>
      </c>
      <c r="M119" s="66" t="str">
        <f t="shared" si="718"/>
        <v>-</v>
      </c>
      <c r="N119" s="67" t="str">
        <f t="shared" si="692"/>
        <v>-</v>
      </c>
      <c r="O119" s="68" t="str">
        <f t="shared" si="693"/>
        <v>-</v>
      </c>
      <c r="P119" s="65" t="str">
        <f t="shared" ref="P119:Q119" si="719">IFERROR(P117/P118,"-")</f>
        <v>-</v>
      </c>
      <c r="Q119" s="66" t="str">
        <f t="shared" si="719"/>
        <v>-</v>
      </c>
      <c r="R119" s="67" t="str">
        <f t="shared" si="694"/>
        <v>-</v>
      </c>
      <c r="S119" s="70" t="str">
        <f t="shared" si="695"/>
        <v>-</v>
      </c>
      <c r="T119" s="65" t="str">
        <f t="shared" ref="T119:U119" si="720">IFERROR(T117/T118,"-")</f>
        <v>-</v>
      </c>
      <c r="U119" s="66" t="str">
        <f t="shared" si="720"/>
        <v>-</v>
      </c>
      <c r="V119" s="67" t="str">
        <f t="shared" si="696"/>
        <v>-</v>
      </c>
      <c r="W119" s="68" t="str">
        <f t="shared" si="697"/>
        <v>-</v>
      </c>
      <c r="X119" s="65" t="str">
        <f t="shared" ref="X119:Y119" si="721">IFERROR(X117/X118,"-")</f>
        <v>-</v>
      </c>
      <c r="Y119" s="66" t="str">
        <f t="shared" si="721"/>
        <v>-</v>
      </c>
      <c r="Z119" s="67" t="str">
        <f t="shared" si="698"/>
        <v>-</v>
      </c>
      <c r="AA119" s="68" t="str">
        <f t="shared" si="699"/>
        <v>-</v>
      </c>
      <c r="AB119" s="65" t="str">
        <f t="shared" ref="AB119:AC119" si="722">IFERROR(AB117/AB118,"-")</f>
        <v>-</v>
      </c>
      <c r="AC119" s="66">
        <f t="shared" si="722"/>
        <v>72.5154386</v>
      </c>
      <c r="AD119" s="67" t="str">
        <f t="shared" si="700"/>
        <v>-</v>
      </c>
      <c r="AE119" s="68" t="str">
        <f t="shared" si="701"/>
        <v>-</v>
      </c>
      <c r="AF119" s="84">
        <f>AF117/AF118</f>
        <v>101</v>
      </c>
      <c r="AG119" s="66">
        <f>IFERROR(AG117/AG118,"-")</f>
        <v>152.0353224</v>
      </c>
      <c r="AH119" s="67">
        <f t="shared" si="702"/>
        <v>51.03532237</v>
      </c>
      <c r="AI119" s="68">
        <f t="shared" si="703"/>
        <v>0.5053002215</v>
      </c>
      <c r="AJ119" s="84">
        <f>AJ117/AJ118</f>
        <v>101</v>
      </c>
      <c r="AK119" s="66" t="str">
        <f>IFERROR(AK117/AK118,"-")</f>
        <v>-</v>
      </c>
      <c r="AL119" s="67" t="str">
        <f t="shared" si="704"/>
        <v>-</v>
      </c>
      <c r="AM119" s="68" t="str">
        <f t="shared" si="705"/>
        <v>-</v>
      </c>
      <c r="AN119" s="84">
        <f>AN117/AN118</f>
        <v>101</v>
      </c>
      <c r="AO119" s="66" t="str">
        <f>IFERROR(AO117/AO118,"-")</f>
        <v>-</v>
      </c>
      <c r="AP119" s="67" t="str">
        <f t="shared" si="706"/>
        <v>-</v>
      </c>
      <c r="AQ119" s="68" t="str">
        <f t="shared" si="707"/>
        <v>-</v>
      </c>
      <c r="AR119" s="84">
        <f>AR117/AR118</f>
        <v>101</v>
      </c>
      <c r="AS119" s="66" t="str">
        <f>IFERROR(AS117/AS118,"-")</f>
        <v>-</v>
      </c>
      <c r="AT119" s="67" t="str">
        <f t="shared" si="708"/>
        <v>-</v>
      </c>
      <c r="AU119" s="68" t="str">
        <f t="shared" si="709"/>
        <v>-</v>
      </c>
      <c r="AV119" s="84">
        <f>AV117/AV118</f>
        <v>101</v>
      </c>
      <c r="AW119" s="66" t="str">
        <f>IFERROR(AW117/AW118,"-")</f>
        <v>-</v>
      </c>
      <c r="AX119" s="67" t="str">
        <f t="shared" si="710"/>
        <v>-</v>
      </c>
      <c r="AY119" s="68" t="str">
        <f t="shared" si="711"/>
        <v>-</v>
      </c>
      <c r="AZ119" s="84">
        <f>AZ117/AZ118</f>
        <v>101</v>
      </c>
      <c r="BA119" s="66" t="str">
        <f>IFERROR(BA117/BA118,"-")</f>
        <v>-</v>
      </c>
      <c r="BB119" s="67" t="str">
        <f t="shared" si="712"/>
        <v>-</v>
      </c>
      <c r="BC119" s="68" t="str">
        <f t="shared" si="713"/>
        <v>-</v>
      </c>
      <c r="BD119" s="81">
        <f>BD117/BD118</f>
        <v>101</v>
      </c>
      <c r="BE119" s="66" t="str">
        <f>IFERROR(BE117/BE118,"-")</f>
        <v>-</v>
      </c>
      <c r="BF119" s="67" t="str">
        <f t="shared" si="714"/>
        <v>-</v>
      </c>
      <c r="BG119" s="70" t="str">
        <f t="shared" si="715"/>
        <v>-</v>
      </c>
      <c r="BH119" s="86">
        <f>BH117/BH118</f>
        <v>101</v>
      </c>
      <c r="BI119" s="66">
        <f>IFERROR(BI117/BI118,"-")</f>
        <v>150.8695216</v>
      </c>
      <c r="BJ119" s="76">
        <f t="shared" si="717"/>
        <v>0.4937576397</v>
      </c>
      <c r="BK119" s="88"/>
      <c r="BL119" s="78"/>
      <c r="BM119" s="211"/>
      <c r="BN119" s="25"/>
      <c r="BO119" s="212"/>
      <c r="BP119" s="25"/>
      <c r="BQ119" s="25"/>
      <c r="BR119" s="25"/>
    </row>
    <row r="120" ht="16.5" customHeight="1">
      <c r="A120" s="25"/>
      <c r="B120" s="203"/>
      <c r="C120" s="195"/>
      <c r="D120" s="204"/>
      <c r="E120" s="205"/>
      <c r="F120" s="206"/>
      <c r="G120" s="207"/>
      <c r="H120" s="208"/>
      <c r="I120" s="209"/>
      <c r="J120" s="91" t="s">
        <v>66</v>
      </c>
      <c r="K120" s="213">
        <v>4.0</v>
      </c>
      <c r="L120" s="99">
        <f t="shared" ref="L120:M120" si="723">IF(L118=0, 0,
  MIN(L118, 10000) * 4 +
  MAX(0, MIN(L118, 20000) - 10000) * 3 +
  MAX(0, MIN(L118, 40000) - 20000) * 2 +
  MAX(0, MIN(L118, 80000) - 40000) * 1 +
  MAX(0, MIN(L118, 100000) - 80000) * 0.5 +
  MAX(0, L118 - 100000) * 0.25
)</f>
        <v>0</v>
      </c>
      <c r="M120" s="94">
        <f t="shared" si="723"/>
        <v>0</v>
      </c>
      <c r="N120" s="95">
        <f t="shared" si="692"/>
        <v>0</v>
      </c>
      <c r="O120" s="96" t="str">
        <f t="shared" si="693"/>
        <v>-</v>
      </c>
      <c r="P120" s="99">
        <f t="shared" ref="P120:Q120" si="724">IF(P118=0, 0,
  MIN(P118, 10000) * 4 +
  MAX(0, MIN(P118, 20000) - 10000) * 3 +
  MAX(0, MIN(P118, 40000) - 20000) * 2 +
  MAX(0, MIN(P118, 80000) - 40000) * 1 +
  MAX(0, MIN(P118, 100000) - 80000) * 0.5 +
  MAX(0, P118 - 100000) * 0.25
)</f>
        <v>0</v>
      </c>
      <c r="Q120" s="94">
        <f t="shared" si="724"/>
        <v>0</v>
      </c>
      <c r="R120" s="95">
        <f t="shared" si="694"/>
        <v>0</v>
      </c>
      <c r="S120" s="98" t="str">
        <f t="shared" si="695"/>
        <v>-</v>
      </c>
      <c r="T120" s="99">
        <f t="shared" ref="T120:U120" si="725">IF(T118=0, 0,
  MIN(T118, 10000) * 4 +
  MAX(0, MIN(T118, 20000) - 10000) * 3 +
  MAX(0, MIN(T118, 40000) - 20000) * 2 +
  MAX(0, MIN(T118, 80000) - 40000) * 1 +
  MAX(0, MIN(T118, 100000) - 80000) * 0.5 +
  MAX(0, T118 - 100000) * 0.25
)</f>
        <v>0</v>
      </c>
      <c r="U120" s="94">
        <f t="shared" si="725"/>
        <v>0</v>
      </c>
      <c r="V120" s="95">
        <f t="shared" si="696"/>
        <v>0</v>
      </c>
      <c r="W120" s="96" t="str">
        <f t="shared" si="697"/>
        <v>-</v>
      </c>
      <c r="X120" s="99">
        <f t="shared" ref="X120:Y120" si="726">IF(X118=0, 0,
  MIN(X118, 10000) * 4 +
  MAX(0, MIN(X118, 20000) - 10000) * 3 +
  MAX(0, MIN(X118, 40000) - 20000) * 2 +
  MAX(0, MIN(X118, 80000) - 40000) * 1 +
  MAX(0, MIN(X118, 100000) - 80000) * 0.5 +
  MAX(0, X118 - 100000) * 0.25
)</f>
        <v>0</v>
      </c>
      <c r="Y120" s="94">
        <f t="shared" si="726"/>
        <v>0</v>
      </c>
      <c r="Z120" s="95">
        <f t="shared" si="698"/>
        <v>0</v>
      </c>
      <c r="AA120" s="96" t="str">
        <f t="shared" si="699"/>
        <v>-</v>
      </c>
      <c r="AB120" s="99">
        <f t="shared" ref="AB120:AC120" si="727">IF(AB118=0, 0,
  MIN(AB118, 10000) * 4 +
  MAX(0, MIN(AB118, 20000) - 10000) * 3 +
  MAX(0, MIN(AB118, 40000) - 20000) * 2 +
  MAX(0, MIN(AB118, 80000) - 40000) * 1 +
  MAX(0, MIN(AB118, 100000) - 80000) * 0.5 +
  MAX(0, AB118 - 100000) * 0.25
)</f>
        <v>0</v>
      </c>
      <c r="AC120" s="94">
        <f t="shared" si="727"/>
        <v>228</v>
      </c>
      <c r="AD120" s="95">
        <f t="shared" si="700"/>
        <v>228</v>
      </c>
      <c r="AE120" s="96" t="str">
        <f t="shared" si="701"/>
        <v>-</v>
      </c>
      <c r="AF120" s="99">
        <f t="shared" ref="AF120:AG120" si="728">IF(AF118=0, 0,
  MIN(AF118, 10000) * 4 +
  MAX(0, MIN(AF118, 20000) - 10000) * 3 +
  MAX(0, MIN(AF118, 40000) - 20000) * 2 +
  MAX(0, MIN(AF118, 80000) - 40000) * 1 +
  MAX(0, MIN(AF118, 100000) - 80000) * 0.5 +
  MAX(0, AF118 - 100000) * 0.25
)</f>
        <v>45643.56436</v>
      </c>
      <c r="AG120" s="94">
        <f t="shared" si="728"/>
        <v>15324</v>
      </c>
      <c r="AH120" s="95">
        <f t="shared" si="702"/>
        <v>-30319.56436</v>
      </c>
      <c r="AI120" s="96">
        <f t="shared" si="703"/>
        <v>-0.6642681128</v>
      </c>
      <c r="AJ120" s="99">
        <f t="shared" ref="AJ120:AK120" si="729">IF(AJ118=0, 0,
  MIN(AJ118, 10000) * 4 +
  MAX(0, MIN(AJ118, 20000) - 10000) * 3 +
  MAX(0, MIN(AJ118, 40000) - 20000) * 2 +
  MAX(0, MIN(AJ118, 80000) - 40000) * 1 +
  MAX(0, MIN(AJ118, 100000) - 80000) * 0.5 +
  MAX(0, AJ118 - 100000) * 0.25
)</f>
        <v>67029.70297</v>
      </c>
      <c r="AK120" s="94">
        <f t="shared" si="729"/>
        <v>0</v>
      </c>
      <c r="AL120" s="95">
        <f t="shared" si="704"/>
        <v>-67029.70297</v>
      </c>
      <c r="AM120" s="96">
        <f t="shared" si="705"/>
        <v>-1</v>
      </c>
      <c r="AN120" s="99">
        <f t="shared" ref="AN120:AO120" si="730">IF(AN118=0, 0,
  MIN(AN118, 10000) * 4 +
  MAX(0, MIN(AN118, 20000) - 10000) * 3 +
  MAX(0, MIN(AN118, 40000) - 20000) * 2 +
  MAX(0, MIN(AN118, 80000) - 40000) * 1 +
  MAX(0, MIN(AN118, 100000) - 80000) * 0.5 +
  MAX(0, AN118 - 100000) * 0.25
)</f>
        <v>77524.75248</v>
      </c>
      <c r="AO120" s="94">
        <f t="shared" si="730"/>
        <v>0</v>
      </c>
      <c r="AP120" s="95">
        <f t="shared" si="706"/>
        <v>-77524.75248</v>
      </c>
      <c r="AQ120" s="96">
        <f t="shared" si="707"/>
        <v>-1</v>
      </c>
      <c r="AR120" s="99">
        <f t="shared" ref="AR120:AS120" si="731">IF(AR118=0, 0,
  MIN(AR118, 10000) * 4 +
  MAX(0, MIN(AR118, 20000) - 10000) * 3 +
  MAX(0, MIN(AR118, 40000) - 20000) * 2 +
  MAX(0, MIN(AR118, 80000) - 40000) * 1 +
  MAX(0, MIN(AR118, 100000) - 80000) * 0.5 +
  MAX(0, AR118 - 100000) * 0.25
)</f>
        <v>106039.604</v>
      </c>
      <c r="AS120" s="94">
        <f t="shared" si="731"/>
        <v>0</v>
      </c>
      <c r="AT120" s="95">
        <f t="shared" si="708"/>
        <v>-106039.604</v>
      </c>
      <c r="AU120" s="96">
        <f t="shared" si="709"/>
        <v>-1</v>
      </c>
      <c r="AV120" s="99">
        <f t="shared" ref="AV120:AW120" si="732">IF(AV118=0, 0,
  MIN(AV118, 10000) * 4 +
  MAX(0, MIN(AV118, 20000) - 10000) * 3 +
  MAX(0, MIN(AV118, 40000) - 20000) * 2 +
  MAX(0, MIN(AV118, 80000) - 40000) * 1 +
  MAX(0, MIN(AV118, 100000) - 80000) * 0.5 +
  MAX(0, AV118 - 100000) * 0.25
)</f>
        <v>117524.7525</v>
      </c>
      <c r="AW120" s="94">
        <f t="shared" si="732"/>
        <v>0</v>
      </c>
      <c r="AX120" s="95">
        <f t="shared" si="710"/>
        <v>-117524.7525</v>
      </c>
      <c r="AY120" s="96">
        <f t="shared" si="711"/>
        <v>-1</v>
      </c>
      <c r="AZ120" s="99">
        <f t="shared" ref="AZ120:BA120" si="733">IF(AZ118=0, 0,
  MIN(AZ118, 10000) * 4 +
  MAX(0, MIN(AZ118, 20000) - 10000) * 3 +
  MAX(0, MIN(AZ118, 40000) - 20000) * 2 +
  MAX(0, MIN(AZ118, 80000) - 40000) * 1 +
  MAX(0, MIN(AZ118, 100000) - 80000) * 0.5 +
  MAX(0, AZ118 - 100000) * 0.25
)</f>
        <v>119900.9901</v>
      </c>
      <c r="BA120" s="94">
        <f t="shared" si="733"/>
        <v>0</v>
      </c>
      <c r="BB120" s="95">
        <f t="shared" si="712"/>
        <v>-119900.9901</v>
      </c>
      <c r="BC120" s="96">
        <f t="shared" si="713"/>
        <v>-1</v>
      </c>
      <c r="BD120" s="94">
        <f t="shared" ref="BD120:BE120" si="734">IF(BD118=0, 0,
  MIN(BD118, 10000) * 4 +
  MAX(0, MIN(BD118, 20000) - 10000) * 3 +
  MAX(0, MIN(BD118, 40000) - 20000) * 2 +
  MAX(0, MIN(BD118, 80000) - 40000) * 1 +
  MAX(0, MIN(BD118, 100000) - 80000) * 0.5 +
  MAX(0, BD118 - 100000) * 0.25
)</f>
        <v>117524.7525</v>
      </c>
      <c r="BE120" s="94">
        <f t="shared" si="734"/>
        <v>0</v>
      </c>
      <c r="BF120" s="95">
        <f t="shared" si="714"/>
        <v>-117524.7525</v>
      </c>
      <c r="BG120" s="98">
        <f t="shared" si="715"/>
        <v>-1</v>
      </c>
      <c r="BH120" s="100">
        <f t="shared" ref="BH120:BI120" si="735">SUM(L120,P120,T120,X120,AB120,AF120,AJ120,AN120,AR120,AV120,AZ120,BD120)</f>
        <v>651188.1188</v>
      </c>
      <c r="BI120" s="101">
        <f t="shared" si="735"/>
        <v>15552</v>
      </c>
      <c r="BJ120" s="102">
        <f t="shared" si="717"/>
        <v>-0.9761175004</v>
      </c>
      <c r="BK120" s="103"/>
      <c r="BL120" s="104"/>
      <c r="BM120" s="214"/>
      <c r="BN120" s="25"/>
      <c r="BO120" s="25"/>
      <c r="BP120" s="25"/>
      <c r="BQ120" s="25"/>
      <c r="BR120" s="25"/>
    </row>
    <row r="121" ht="15.75" customHeight="1">
      <c r="A121" s="25"/>
      <c r="B121" s="203"/>
      <c r="C121" s="195"/>
      <c r="D121" s="204"/>
      <c r="E121" s="205"/>
      <c r="F121" s="206"/>
      <c r="G121" s="207"/>
      <c r="H121" s="208"/>
      <c r="I121" s="209"/>
      <c r="J121" s="3"/>
      <c r="K121" s="3"/>
      <c r="L121" s="3"/>
      <c r="M121" s="3"/>
      <c r="N121" s="3"/>
      <c r="O121" s="3"/>
      <c r="P121" s="3"/>
      <c r="Q121" s="3"/>
      <c r="R121" s="3"/>
      <c r="S121" s="3"/>
      <c r="T121" s="3"/>
      <c r="U121" s="3"/>
      <c r="V121" s="3"/>
      <c r="W121" s="3"/>
      <c r="X121" s="3"/>
      <c r="Y121" s="3"/>
      <c r="Z121" s="3"/>
      <c r="AA121" s="215"/>
      <c r="AB121" s="25"/>
      <c r="AC121" s="25"/>
      <c r="AD121" s="25"/>
      <c r="AE121" s="25"/>
      <c r="AF121" s="25"/>
      <c r="AG121" s="25"/>
      <c r="AH121" s="25"/>
      <c r="AI121" s="25"/>
      <c r="AJ121" s="25"/>
      <c r="AK121" s="25"/>
      <c r="AL121" s="25"/>
      <c r="AM121" s="25"/>
      <c r="AN121" s="25"/>
      <c r="AO121" s="25"/>
      <c r="AP121" s="25"/>
      <c r="AQ121" s="25"/>
      <c r="AR121" s="25"/>
      <c r="AV121" s="138"/>
      <c r="AW121" s="25"/>
      <c r="AX121" s="139"/>
      <c r="AY121" s="25"/>
    </row>
    <row r="122" ht="15.75" customHeight="1">
      <c r="A122" s="3"/>
      <c r="B122" s="3"/>
      <c r="C122" s="3"/>
      <c r="D122" s="3"/>
      <c r="E122" s="3"/>
      <c r="F122" s="3"/>
      <c r="G122" s="3"/>
      <c r="H122" s="3"/>
      <c r="I122" s="3"/>
      <c r="J122" s="216" t="s">
        <v>101</v>
      </c>
      <c r="K122" s="217"/>
      <c r="L122" s="142" t="s">
        <v>10</v>
      </c>
      <c r="M122" s="37" t="s">
        <v>11</v>
      </c>
      <c r="N122" s="38" t="s">
        <v>12</v>
      </c>
      <c r="O122" s="39" t="s">
        <v>13</v>
      </c>
      <c r="P122" s="141" t="s">
        <v>14</v>
      </c>
      <c r="Q122" s="152" t="s">
        <v>15</v>
      </c>
      <c r="R122" s="38" t="s">
        <v>16</v>
      </c>
      <c r="S122" s="42" t="s">
        <v>17</v>
      </c>
      <c r="T122" s="142" t="s">
        <v>18</v>
      </c>
      <c r="U122" s="152" t="s">
        <v>90</v>
      </c>
      <c r="V122" s="38" t="s">
        <v>20</v>
      </c>
      <c r="W122" s="45" t="s">
        <v>91</v>
      </c>
      <c r="X122" s="141" t="s">
        <v>22</v>
      </c>
      <c r="Y122" s="152" t="s">
        <v>92</v>
      </c>
      <c r="Z122" s="38" t="s">
        <v>24</v>
      </c>
      <c r="AA122" s="45" t="s">
        <v>91</v>
      </c>
      <c r="AB122" s="142" t="s">
        <v>26</v>
      </c>
      <c r="AC122" s="152" t="s">
        <v>27</v>
      </c>
      <c r="AD122" s="38" t="s">
        <v>28</v>
      </c>
      <c r="AE122" s="45" t="s">
        <v>29</v>
      </c>
      <c r="AF122" s="141" t="s">
        <v>30</v>
      </c>
      <c r="AG122" s="152" t="s">
        <v>31</v>
      </c>
      <c r="AH122" s="38" t="s">
        <v>32</v>
      </c>
      <c r="AI122" s="45" t="s">
        <v>33</v>
      </c>
      <c r="AJ122" s="142" t="s">
        <v>34</v>
      </c>
      <c r="AK122" s="152" t="s">
        <v>35</v>
      </c>
      <c r="AL122" s="38" t="s">
        <v>36</v>
      </c>
      <c r="AM122" s="45" t="s">
        <v>37</v>
      </c>
      <c r="AN122" s="141" t="s">
        <v>38</v>
      </c>
      <c r="AO122" s="152" t="s">
        <v>39</v>
      </c>
      <c r="AP122" s="38" t="s">
        <v>40</v>
      </c>
      <c r="AQ122" s="45" t="s">
        <v>41</v>
      </c>
      <c r="AR122" s="142" t="s">
        <v>42</v>
      </c>
      <c r="AS122" s="152" t="s">
        <v>43</v>
      </c>
      <c r="AT122" s="38" t="s">
        <v>44</v>
      </c>
      <c r="AU122" s="45" t="s">
        <v>45</v>
      </c>
      <c r="AV122" s="218" t="s">
        <v>46</v>
      </c>
      <c r="AW122" s="152" t="s">
        <v>47</v>
      </c>
      <c r="AX122" s="38" t="s">
        <v>48</v>
      </c>
      <c r="AY122" s="45" t="s">
        <v>49</v>
      </c>
      <c r="AZ122" s="164" t="s">
        <v>50</v>
      </c>
      <c r="BA122" s="152" t="s">
        <v>51</v>
      </c>
      <c r="BB122" s="38" t="s">
        <v>52</v>
      </c>
      <c r="BC122" s="45" t="s">
        <v>53</v>
      </c>
      <c r="BD122" s="219" t="s">
        <v>54</v>
      </c>
      <c r="BE122" s="152" t="s">
        <v>55</v>
      </c>
      <c r="BF122" s="38" t="s">
        <v>56</v>
      </c>
      <c r="BG122" s="42" t="s">
        <v>57</v>
      </c>
      <c r="BH122" s="220">
        <v>2026.0</v>
      </c>
      <c r="BI122" s="37" t="s">
        <v>58</v>
      </c>
      <c r="BJ122" s="47" t="s">
        <v>59</v>
      </c>
      <c r="BK122" s="48">
        <v>2025.0</v>
      </c>
      <c r="BL122" s="221"/>
      <c r="BM122" s="3"/>
      <c r="BN122" s="3"/>
      <c r="BO122" s="3"/>
      <c r="BP122" s="3"/>
      <c r="BQ122" s="3"/>
      <c r="BR122" s="3"/>
    </row>
    <row r="123" ht="15.75" customHeight="1">
      <c r="A123" s="3"/>
      <c r="B123" s="3"/>
      <c r="C123" s="3"/>
      <c r="D123" s="3"/>
      <c r="E123" s="3"/>
      <c r="F123" s="3"/>
      <c r="G123" s="3"/>
      <c r="H123" s="3"/>
      <c r="I123" s="3"/>
      <c r="J123" s="222" t="s">
        <v>61</v>
      </c>
      <c r="K123" s="223"/>
      <c r="L123" s="52" t="s">
        <v>60</v>
      </c>
      <c r="M123" s="53" t="s">
        <v>60</v>
      </c>
      <c r="N123" s="54" t="s">
        <v>60</v>
      </c>
      <c r="O123" s="55" t="s">
        <v>62</v>
      </c>
      <c r="P123" s="52" t="s">
        <v>60</v>
      </c>
      <c r="Q123" s="154" t="s">
        <v>60</v>
      </c>
      <c r="R123" s="54" t="s">
        <v>60</v>
      </c>
      <c r="S123" s="57" t="s">
        <v>62</v>
      </c>
      <c r="T123" s="52" t="s">
        <v>60</v>
      </c>
      <c r="U123" s="59" t="s">
        <v>60</v>
      </c>
      <c r="V123" s="54" t="s">
        <v>60</v>
      </c>
      <c r="W123" s="55" t="s">
        <v>62</v>
      </c>
      <c r="X123" s="52" t="s">
        <v>60</v>
      </c>
      <c r="Y123" s="59" t="s">
        <v>60</v>
      </c>
      <c r="Z123" s="54" t="s">
        <v>60</v>
      </c>
      <c r="AA123" s="55" t="s">
        <v>62</v>
      </c>
      <c r="AB123" s="52" t="s">
        <v>60</v>
      </c>
      <c r="AC123" s="59" t="s">
        <v>60</v>
      </c>
      <c r="AD123" s="54" t="s">
        <v>60</v>
      </c>
      <c r="AE123" s="55" t="s">
        <v>62</v>
      </c>
      <c r="AF123" s="52" t="s">
        <v>60</v>
      </c>
      <c r="AG123" s="59" t="s">
        <v>60</v>
      </c>
      <c r="AH123" s="54" t="s">
        <v>60</v>
      </c>
      <c r="AI123" s="55" t="s">
        <v>62</v>
      </c>
      <c r="AJ123" s="52" t="s">
        <v>60</v>
      </c>
      <c r="AK123" s="59" t="s">
        <v>60</v>
      </c>
      <c r="AL123" s="54" t="s">
        <v>60</v>
      </c>
      <c r="AM123" s="55" t="s">
        <v>62</v>
      </c>
      <c r="AN123" s="52" t="s">
        <v>60</v>
      </c>
      <c r="AO123" s="59" t="s">
        <v>60</v>
      </c>
      <c r="AP123" s="54" t="s">
        <v>60</v>
      </c>
      <c r="AQ123" s="55" t="s">
        <v>62</v>
      </c>
      <c r="AR123" s="52" t="s">
        <v>60</v>
      </c>
      <c r="AS123" s="59" t="s">
        <v>60</v>
      </c>
      <c r="AT123" s="54" t="s">
        <v>60</v>
      </c>
      <c r="AU123" s="55" t="s">
        <v>62</v>
      </c>
      <c r="AV123" s="58">
        <v>0.2</v>
      </c>
      <c r="AW123" s="59">
        <f>AW124/(BH124-(L124+P124+T124+X124+AB124+AF124+AJ124+AN124+AR124))</f>
        <v>0</v>
      </c>
      <c r="AX123" s="54" t="s">
        <v>60</v>
      </c>
      <c r="AY123" s="55" t="s">
        <v>62</v>
      </c>
      <c r="AZ123" s="58">
        <v>0.3</v>
      </c>
      <c r="BA123" s="59">
        <f>BA124/(BH124-(L124+P124+T124+X124+AB124+AF124+AJ124+AN124+AR124))</f>
        <v>0</v>
      </c>
      <c r="BB123" s="54" t="s">
        <v>60</v>
      </c>
      <c r="BC123" s="55" t="s">
        <v>62</v>
      </c>
      <c r="BD123" s="155">
        <v>0.5</v>
      </c>
      <c r="BE123" s="59">
        <f>BE124/(BH124-(L124+P124+T124+X124++AB124+AF124+AJ124+AN124+AR124))</f>
        <v>0</v>
      </c>
      <c r="BF123" s="54" t="s">
        <v>60</v>
      </c>
      <c r="BG123" s="57" t="s">
        <v>62</v>
      </c>
      <c r="BH123" s="60">
        <f>SUM(AV123,AZ123,BD123)</f>
        <v>1</v>
      </c>
      <c r="BI123" s="61">
        <f>SUM(AG123,AK123,AO123,AS123,AW123,BA123,BE123)</f>
        <v>0</v>
      </c>
      <c r="BJ123" s="62"/>
      <c r="BK123" s="63" t="s">
        <v>60</v>
      </c>
      <c r="BL123" s="224"/>
      <c r="BM123" s="3"/>
      <c r="BN123" s="3"/>
      <c r="BO123" s="3"/>
      <c r="BP123" s="3"/>
      <c r="BQ123" s="3"/>
      <c r="BR123" s="3"/>
    </row>
    <row r="124" ht="15.75" customHeight="1">
      <c r="J124" s="222" t="s">
        <v>63</v>
      </c>
      <c r="K124" s="223"/>
      <c r="L124" s="225">
        <v>0.0</v>
      </c>
      <c r="M124" s="66">
        <v>0.0</v>
      </c>
      <c r="N124" s="67">
        <f t="shared" ref="N124:N127" si="736">IFERROR(M124-L124,"-")</f>
        <v>0</v>
      </c>
      <c r="O124" s="68" t="str">
        <f t="shared" ref="O124:O127" si="737">IFERROR(M124/L124-1,"-")</f>
        <v>-</v>
      </c>
      <c r="P124" s="225">
        <v>0.0</v>
      </c>
      <c r="Q124" s="66">
        <v>0.0</v>
      </c>
      <c r="R124" s="67">
        <f t="shared" ref="R124:R127" si="738">IFERROR(Q124-P124,"-")</f>
        <v>0</v>
      </c>
      <c r="S124" s="70" t="str">
        <f t="shared" ref="S124:S127" si="739">IFERROR(Q124/P124-1,"-")</f>
        <v>-</v>
      </c>
      <c r="T124" s="226">
        <v>0.0</v>
      </c>
      <c r="U124" s="66">
        <v>0.0</v>
      </c>
      <c r="V124" s="67">
        <f t="shared" ref="V124:V127" si="740">IFERROR(U124-T124,"-")</f>
        <v>0</v>
      </c>
      <c r="W124" s="68" t="str">
        <f t="shared" ref="W124:W127" si="741">IFERROR(U124/T124-1,"-")</f>
        <v>-</v>
      </c>
      <c r="X124" s="226">
        <v>0.0</v>
      </c>
      <c r="Y124" s="66">
        <v>0.0</v>
      </c>
      <c r="Z124" s="67">
        <f t="shared" ref="Z124:Z127" si="742">IFERROR(Y124-X124,"-")</f>
        <v>0</v>
      </c>
      <c r="AA124" s="68" t="str">
        <f t="shared" ref="AA124:AA127" si="743">IFERROR(Y124/X124-1,"-")</f>
        <v>-</v>
      </c>
      <c r="AB124" s="226">
        <v>0.0</v>
      </c>
      <c r="AC124" s="66">
        <v>0.0</v>
      </c>
      <c r="AD124" s="67">
        <f t="shared" ref="AD124:AD127" si="744">IFERROR(AC124-AB124,"-")</f>
        <v>0</v>
      </c>
      <c r="AE124" s="68" t="str">
        <f t="shared" ref="AE124:AE127" si="745">IFERROR(AC124/AB124-1,"-")</f>
        <v>-</v>
      </c>
      <c r="AF124" s="226">
        <v>0.0</v>
      </c>
      <c r="AG124" s="66">
        <v>0.0</v>
      </c>
      <c r="AH124" s="67">
        <f t="shared" ref="AH124:AH127" si="746">IFERROR(AG124-AF124,"-")</f>
        <v>0</v>
      </c>
      <c r="AI124" s="68" t="str">
        <f t="shared" ref="AI124:AI127" si="747">IFERROR(AG124/AF124-1,"-")</f>
        <v>-</v>
      </c>
      <c r="AJ124" s="226">
        <v>0.0</v>
      </c>
      <c r="AK124" s="66">
        <v>0.0</v>
      </c>
      <c r="AL124" s="67">
        <f t="shared" ref="AL124:AL127" si="748">IFERROR(AK124-AJ124,"-")</f>
        <v>0</v>
      </c>
      <c r="AM124" s="68" t="str">
        <f t="shared" ref="AM124:AM127" si="749">IFERROR(AK124/AJ124-1,"-")</f>
        <v>-</v>
      </c>
      <c r="AN124" s="226">
        <v>0.0</v>
      </c>
      <c r="AO124" s="66">
        <v>0.0</v>
      </c>
      <c r="AP124" s="67">
        <f t="shared" ref="AP124:AP127" si="750">IFERROR(AO124-AN124,"-")</f>
        <v>0</v>
      </c>
      <c r="AQ124" s="68" t="str">
        <f t="shared" ref="AQ124:AQ127" si="751">IFERROR(AO124/AN124-1,"-")</f>
        <v>-</v>
      </c>
      <c r="AR124" s="226">
        <v>0.0</v>
      </c>
      <c r="AS124" s="66">
        <v>0.0</v>
      </c>
      <c r="AT124" s="67">
        <f t="shared" ref="AT124:AT127" si="752">IFERROR(AS124-AR124,"-")</f>
        <v>0</v>
      </c>
      <c r="AU124" s="68" t="str">
        <f t="shared" ref="AU124:AU127" si="753">IFERROR(AS124/AR124-1,"-")</f>
        <v>-</v>
      </c>
      <c r="AV124" s="227">
        <f>AV123*BH124</f>
        <v>18000</v>
      </c>
      <c r="AW124" s="66">
        <v>0.0</v>
      </c>
      <c r="AX124" s="67">
        <f t="shared" ref="AX124:AX127" si="754">IFERROR(AW124-AV124,"-")</f>
        <v>-18000</v>
      </c>
      <c r="AY124" s="68">
        <f t="shared" ref="AY124:AY127" si="755">IFERROR(AW124/AV124-1,"-")</f>
        <v>-1</v>
      </c>
      <c r="AZ124" s="227">
        <f>AZ123*BK124</f>
        <v>106979.784</v>
      </c>
      <c r="BA124" s="66">
        <v>0.0</v>
      </c>
      <c r="BB124" s="67">
        <f t="shared" ref="BB124:BB127" si="756">IFERROR(BA124-AZ124,"-")</f>
        <v>-106979.784</v>
      </c>
      <c r="BC124" s="68">
        <f t="shared" ref="BC124:BC127" si="757">IFERROR(BA124/AZ124-1,"-")</f>
        <v>-1</v>
      </c>
      <c r="BD124" s="228">
        <f>BD123*BH124</f>
        <v>45000</v>
      </c>
      <c r="BE124" s="66">
        <v>0.0</v>
      </c>
      <c r="BF124" s="67">
        <f t="shared" ref="BF124:BF127" si="758">IFERROR(BE124-BD124,"-")</f>
        <v>-45000</v>
      </c>
      <c r="BG124" s="70">
        <f t="shared" ref="BG124:BG127" si="759">IFERROR(BE124/BD124-1,"-")</f>
        <v>-1</v>
      </c>
      <c r="BH124" s="229">
        <v>90000.0</v>
      </c>
      <c r="BI124" s="75">
        <f t="shared" ref="BI124:BI125" si="760">SUM(M124,Q124,U124,Y124,AC124,AG124,AK124,AO124,AS124,AW124,BA124,BE124)</f>
        <v>0</v>
      </c>
      <c r="BJ124" s="76">
        <f t="shared" ref="BJ124:BJ127" si="761">IFERROR(BI124/BH124-1,"-")</f>
        <v>-1</v>
      </c>
      <c r="BK124" s="77">
        <v>356599.28</v>
      </c>
      <c r="BL124" s="78">
        <f t="shared" ref="BL124:BL125" si="762">BH124/BK124</f>
        <v>0.2523841327</v>
      </c>
      <c r="BM124" s="3"/>
      <c r="BN124" s="3"/>
      <c r="BO124" s="3"/>
      <c r="BP124" s="3"/>
      <c r="BQ124" s="3"/>
    </row>
    <row r="125" ht="15.75" customHeight="1">
      <c r="J125" s="222" t="s">
        <v>64</v>
      </c>
      <c r="K125" s="230"/>
      <c r="L125" s="231">
        <f>L124/$K$126</f>
        <v>0</v>
      </c>
      <c r="M125" s="81">
        <v>0.0</v>
      </c>
      <c r="N125" s="82">
        <f t="shared" si="736"/>
        <v>0</v>
      </c>
      <c r="O125" s="68" t="str">
        <f t="shared" si="737"/>
        <v>-</v>
      </c>
      <c r="P125" s="231">
        <f>P124/$K$126</f>
        <v>0</v>
      </c>
      <c r="Q125" s="81">
        <v>0.0</v>
      </c>
      <c r="R125" s="82">
        <f t="shared" si="738"/>
        <v>0</v>
      </c>
      <c r="S125" s="70" t="str">
        <f t="shared" si="739"/>
        <v>-</v>
      </c>
      <c r="T125" s="231">
        <f>T124/$K$126</f>
        <v>0</v>
      </c>
      <c r="U125" s="81">
        <v>0.0</v>
      </c>
      <c r="V125" s="82">
        <f t="shared" si="740"/>
        <v>0</v>
      </c>
      <c r="W125" s="68" t="str">
        <f t="shared" si="741"/>
        <v>-</v>
      </c>
      <c r="X125" s="231">
        <f>X124/$K$126</f>
        <v>0</v>
      </c>
      <c r="Y125" s="81">
        <v>0.0</v>
      </c>
      <c r="Z125" s="82">
        <f t="shared" si="742"/>
        <v>0</v>
      </c>
      <c r="AA125" s="68" t="str">
        <f t="shared" si="743"/>
        <v>-</v>
      </c>
      <c r="AB125" s="231">
        <f>AB124/$K$126</f>
        <v>0</v>
      </c>
      <c r="AC125" s="81">
        <v>0.0</v>
      </c>
      <c r="AD125" s="82">
        <f t="shared" si="744"/>
        <v>0</v>
      </c>
      <c r="AE125" s="68" t="str">
        <f t="shared" si="745"/>
        <v>-</v>
      </c>
      <c r="AF125" s="231">
        <f>AF124/$K$126</f>
        <v>0</v>
      </c>
      <c r="AG125" s="81">
        <v>0.0</v>
      </c>
      <c r="AH125" s="82">
        <f t="shared" si="746"/>
        <v>0</v>
      </c>
      <c r="AI125" s="68" t="str">
        <f t="shared" si="747"/>
        <v>-</v>
      </c>
      <c r="AJ125" s="231">
        <f>AJ124/$K$126</f>
        <v>0</v>
      </c>
      <c r="AK125" s="81">
        <v>0.0</v>
      </c>
      <c r="AL125" s="82">
        <f t="shared" si="748"/>
        <v>0</v>
      </c>
      <c r="AM125" s="68" t="str">
        <f t="shared" si="749"/>
        <v>-</v>
      </c>
      <c r="AN125" s="231">
        <f>AN124/$K$126</f>
        <v>0</v>
      </c>
      <c r="AO125" s="81">
        <v>0.0</v>
      </c>
      <c r="AP125" s="82">
        <f t="shared" si="750"/>
        <v>0</v>
      </c>
      <c r="AQ125" s="68" t="str">
        <f t="shared" si="751"/>
        <v>-</v>
      </c>
      <c r="AR125" s="231">
        <f>AR124/$K$126</f>
        <v>0</v>
      </c>
      <c r="AS125" s="81">
        <v>0.0</v>
      </c>
      <c r="AT125" s="82">
        <f t="shared" si="752"/>
        <v>0</v>
      </c>
      <c r="AU125" s="68" t="str">
        <f t="shared" si="753"/>
        <v>-</v>
      </c>
      <c r="AV125" s="232">
        <f>AV124/'planej.OPS-OTIMISTA_26'!$K$102</f>
        <v>178.2178218</v>
      </c>
      <c r="AW125" s="81">
        <v>0.0</v>
      </c>
      <c r="AX125" s="82">
        <f t="shared" si="754"/>
        <v>-178.2178218</v>
      </c>
      <c r="AY125" s="68">
        <f t="shared" si="755"/>
        <v>-1</v>
      </c>
      <c r="AZ125" s="232">
        <f>AZ124/'planej.OPS-OTIMISTA_26'!$K$102</f>
        <v>1059.205782</v>
      </c>
      <c r="BA125" s="81">
        <v>0.0</v>
      </c>
      <c r="BB125" s="82">
        <f t="shared" si="756"/>
        <v>-1059.205782</v>
      </c>
      <c r="BC125" s="68">
        <f t="shared" si="757"/>
        <v>-1</v>
      </c>
      <c r="BD125" s="233">
        <f>BD124/'planej.OPS-OTIMISTA_26'!$K$102</f>
        <v>445.5445545</v>
      </c>
      <c r="BE125" s="81">
        <v>0.0</v>
      </c>
      <c r="BF125" s="82">
        <f t="shared" si="758"/>
        <v>-445.5445545</v>
      </c>
      <c r="BG125" s="70">
        <f t="shared" si="759"/>
        <v>-1</v>
      </c>
      <c r="BH125" s="156">
        <f>SUM(L125,T125,X125,AB125,AF125,AJ125,AN125,AR125,AV125,AZ125,BD125)</f>
        <v>1682.968158</v>
      </c>
      <c r="BI125" s="87">
        <f t="shared" si="760"/>
        <v>0</v>
      </c>
      <c r="BJ125" s="76">
        <f t="shared" si="761"/>
        <v>-1</v>
      </c>
      <c r="BK125" s="88">
        <v>11282.0</v>
      </c>
      <c r="BL125" s="78">
        <f t="shared" si="762"/>
        <v>0.1491728557</v>
      </c>
      <c r="BM125" s="3"/>
      <c r="BN125" s="3"/>
      <c r="BO125" s="3"/>
      <c r="BP125" s="3"/>
      <c r="BQ125" s="3"/>
    </row>
    <row r="126" ht="15.75" customHeight="1">
      <c r="J126" s="50" t="s">
        <v>65</v>
      </c>
      <c r="K126" s="230">
        <v>120.0</v>
      </c>
      <c r="L126" s="65" t="str">
        <f t="shared" ref="L126:M126" si="763">IFERROR(L124/L125,"-")</f>
        <v>-</v>
      </c>
      <c r="M126" s="66" t="str">
        <f t="shared" si="763"/>
        <v>-</v>
      </c>
      <c r="N126" s="67" t="str">
        <f t="shared" si="736"/>
        <v>-</v>
      </c>
      <c r="O126" s="68" t="str">
        <f t="shared" si="737"/>
        <v>-</v>
      </c>
      <c r="P126" s="65" t="str">
        <f t="shared" ref="P126:Q126" si="764">IFERROR(P124/P125,"-")</f>
        <v>-</v>
      </c>
      <c r="Q126" s="66" t="str">
        <f t="shared" si="764"/>
        <v>-</v>
      </c>
      <c r="R126" s="67" t="str">
        <f t="shared" si="738"/>
        <v>-</v>
      </c>
      <c r="S126" s="70" t="str">
        <f t="shared" si="739"/>
        <v>-</v>
      </c>
      <c r="T126" s="65" t="str">
        <f t="shared" ref="T126:U126" si="765">IFERROR(T124/T125,"-")</f>
        <v>-</v>
      </c>
      <c r="U126" s="66" t="str">
        <f t="shared" si="765"/>
        <v>-</v>
      </c>
      <c r="V126" s="67" t="str">
        <f t="shared" si="740"/>
        <v>-</v>
      </c>
      <c r="W126" s="68" t="str">
        <f t="shared" si="741"/>
        <v>-</v>
      </c>
      <c r="X126" s="65" t="str">
        <f t="shared" ref="X126:Y126" si="766">IFERROR(X124/X125,"-")</f>
        <v>-</v>
      </c>
      <c r="Y126" s="66" t="str">
        <f t="shared" si="766"/>
        <v>-</v>
      </c>
      <c r="Z126" s="67" t="str">
        <f t="shared" si="742"/>
        <v>-</v>
      </c>
      <c r="AA126" s="68" t="str">
        <f t="shared" si="743"/>
        <v>-</v>
      </c>
      <c r="AB126" s="65" t="str">
        <f t="shared" ref="AB126:AC126" si="767">IFERROR(AB124/AB125,"-")</f>
        <v>-</v>
      </c>
      <c r="AC126" s="66" t="str">
        <f t="shared" si="767"/>
        <v>-</v>
      </c>
      <c r="AD126" s="67" t="str">
        <f t="shared" si="744"/>
        <v>-</v>
      </c>
      <c r="AE126" s="68" t="str">
        <f t="shared" si="745"/>
        <v>-</v>
      </c>
      <c r="AF126" s="65" t="str">
        <f t="shared" ref="AF126:AG126" si="768">IFERROR(AF124/AF125,"-")</f>
        <v>-</v>
      </c>
      <c r="AG126" s="66" t="str">
        <f t="shared" si="768"/>
        <v>-</v>
      </c>
      <c r="AH126" s="67" t="str">
        <f t="shared" si="746"/>
        <v>-</v>
      </c>
      <c r="AI126" s="68" t="str">
        <f t="shared" si="747"/>
        <v>-</v>
      </c>
      <c r="AJ126" s="65" t="str">
        <f t="shared" ref="AJ126:AK126" si="769">IFERROR(AJ124/AJ125,"-")</f>
        <v>-</v>
      </c>
      <c r="AK126" s="66" t="str">
        <f t="shared" si="769"/>
        <v>-</v>
      </c>
      <c r="AL126" s="67" t="str">
        <f t="shared" si="748"/>
        <v>-</v>
      </c>
      <c r="AM126" s="68" t="str">
        <f t="shared" si="749"/>
        <v>-</v>
      </c>
      <c r="AN126" s="65" t="str">
        <f t="shared" ref="AN126:AO126" si="770">IFERROR(AN124/AN125,"-")</f>
        <v>-</v>
      </c>
      <c r="AO126" s="66" t="str">
        <f t="shared" si="770"/>
        <v>-</v>
      </c>
      <c r="AP126" s="67" t="str">
        <f t="shared" si="750"/>
        <v>-</v>
      </c>
      <c r="AQ126" s="68" t="str">
        <f t="shared" si="751"/>
        <v>-</v>
      </c>
      <c r="AR126" s="65" t="str">
        <f t="shared" ref="AR126:AS126" si="771">IFERROR(AR124/AR125,"-")</f>
        <v>-</v>
      </c>
      <c r="AS126" s="66" t="str">
        <f t="shared" si="771"/>
        <v>-</v>
      </c>
      <c r="AT126" s="67" t="str">
        <f t="shared" si="752"/>
        <v>-</v>
      </c>
      <c r="AU126" s="68" t="str">
        <f t="shared" si="753"/>
        <v>-</v>
      </c>
      <c r="AV126" s="232">
        <f>AV124/AV125</f>
        <v>101</v>
      </c>
      <c r="AW126" s="66" t="str">
        <f>IFERROR(AW124/AW125,"-")</f>
        <v>-</v>
      </c>
      <c r="AX126" s="67" t="str">
        <f t="shared" si="754"/>
        <v>-</v>
      </c>
      <c r="AY126" s="68" t="str">
        <f t="shared" si="755"/>
        <v>-</v>
      </c>
      <c r="AZ126" s="232">
        <f>AZ124/AZ125</f>
        <v>101</v>
      </c>
      <c r="BA126" s="66" t="str">
        <f>IFERROR(BA124/BA125,"-")</f>
        <v>-</v>
      </c>
      <c r="BB126" s="67" t="str">
        <f t="shared" si="756"/>
        <v>-</v>
      </c>
      <c r="BC126" s="68" t="str">
        <f t="shared" si="757"/>
        <v>-</v>
      </c>
      <c r="BD126" s="233">
        <f>BD124/BD125</f>
        <v>101</v>
      </c>
      <c r="BE126" s="66" t="str">
        <f>IFERROR(BE124/BE125,"-")</f>
        <v>-</v>
      </c>
      <c r="BF126" s="67" t="str">
        <f t="shared" si="758"/>
        <v>-</v>
      </c>
      <c r="BG126" s="70" t="str">
        <f t="shared" si="759"/>
        <v>-</v>
      </c>
      <c r="BH126" s="86">
        <f>BH124/BH125</f>
        <v>53.47694759</v>
      </c>
      <c r="BI126" s="66" t="str">
        <f>IFERROR(BI124/BI125,"-")</f>
        <v>-</v>
      </c>
      <c r="BJ126" s="76" t="str">
        <f t="shared" si="761"/>
        <v>-</v>
      </c>
      <c r="BK126" s="88">
        <f>BK124/BK125</f>
        <v>31.60780713</v>
      </c>
      <c r="BL126" s="78"/>
      <c r="BM126" s="3"/>
      <c r="BN126" s="3"/>
      <c r="BO126" s="3"/>
      <c r="BP126" s="3"/>
      <c r="BQ126" s="3"/>
    </row>
    <row r="127" ht="15.75" customHeight="1">
      <c r="J127" s="234" t="s">
        <v>66</v>
      </c>
      <c r="K127" s="235" t="s">
        <v>60</v>
      </c>
      <c r="L127" s="236">
        <f t="shared" ref="L127:M127" si="772">IF(L125=0, 0,
  MIN(L125, 10000) * 4 +
  MAX(0, MIN(L125, 20000) - 10000) * 3 +
  MAX(0, MIN(L125, 40000) - 20000) * 2 +
  MAX(0, MIN(L125, 80000) - 40000) * 1 +
  MAX(0, MIN(L125, 100000) - 80000) * 0.5 +
  MAX(0, L125 - 100000) * 0.25
)</f>
        <v>0</v>
      </c>
      <c r="M127" s="237">
        <f t="shared" si="772"/>
        <v>0</v>
      </c>
      <c r="N127" s="95">
        <f t="shared" si="736"/>
        <v>0</v>
      </c>
      <c r="O127" s="96" t="str">
        <f t="shared" si="737"/>
        <v>-</v>
      </c>
      <c r="P127" s="236">
        <f t="shared" ref="P127:Q127" si="773">IF(P125=0, 0,
  MIN(P125, 10000) * 4 +
  MAX(0, MIN(P125, 20000) - 10000) * 3 +
  MAX(0, MIN(P125, 40000) - 20000) * 2 +
  MAX(0, MIN(P125, 80000) - 40000) * 1 +
  MAX(0, MIN(P125, 100000) - 80000) * 0.5 +
  MAX(0, P125 - 100000) * 0.25
)</f>
        <v>0</v>
      </c>
      <c r="Q127" s="237">
        <f t="shared" si="773"/>
        <v>0</v>
      </c>
      <c r="R127" s="95">
        <f t="shared" si="738"/>
        <v>0</v>
      </c>
      <c r="S127" s="98" t="str">
        <f t="shared" si="739"/>
        <v>-</v>
      </c>
      <c r="T127" s="236">
        <f t="shared" ref="T127:U127" si="774">IF(T125=0, 0,
  MIN(T125, 10000) * 4 +
  MAX(0, MIN(T125, 20000) - 10000) * 3 +
  MAX(0, MIN(T125, 40000) - 20000) * 2 +
  MAX(0, MIN(T125, 80000) - 40000) * 1 +
  MAX(0, MIN(T125, 100000) - 80000) * 0.5 +
  MAX(0, T125 - 100000) * 0.25
)</f>
        <v>0</v>
      </c>
      <c r="U127" s="237">
        <f t="shared" si="774"/>
        <v>0</v>
      </c>
      <c r="V127" s="95">
        <f t="shared" si="740"/>
        <v>0</v>
      </c>
      <c r="W127" s="96" t="str">
        <f t="shared" si="741"/>
        <v>-</v>
      </c>
      <c r="X127" s="236">
        <f t="shared" ref="X127:Y127" si="775">IF(X125=0, 0,
  MIN(X125, 10000) * 4 +
  MAX(0, MIN(X125, 20000) - 10000) * 3 +
  MAX(0, MIN(X125, 40000) - 20000) * 2 +
  MAX(0, MIN(X125, 80000) - 40000) * 1 +
  MAX(0, MIN(X125, 100000) - 80000) * 0.5 +
  MAX(0, X125 - 100000) * 0.25
)</f>
        <v>0</v>
      </c>
      <c r="Y127" s="237">
        <f t="shared" si="775"/>
        <v>0</v>
      </c>
      <c r="Z127" s="95">
        <f t="shared" si="742"/>
        <v>0</v>
      </c>
      <c r="AA127" s="96" t="str">
        <f t="shared" si="743"/>
        <v>-</v>
      </c>
      <c r="AB127" s="236">
        <f t="shared" ref="AB127:AC127" si="776">IF(AB125=0, 0,
  MIN(AB125, 10000) * 4 +
  MAX(0, MIN(AB125, 20000) - 10000) * 3 +
  MAX(0, MIN(AB125, 40000) - 20000) * 2 +
  MAX(0, MIN(AB125, 80000) - 40000) * 1 +
  MAX(0, MIN(AB125, 100000) - 80000) * 0.5 +
  MAX(0, AB125 - 100000) * 0.25
)</f>
        <v>0</v>
      </c>
      <c r="AC127" s="237">
        <f t="shared" si="776"/>
        <v>0</v>
      </c>
      <c r="AD127" s="95">
        <f t="shared" si="744"/>
        <v>0</v>
      </c>
      <c r="AE127" s="96" t="str">
        <f t="shared" si="745"/>
        <v>-</v>
      </c>
      <c r="AF127" s="236">
        <f t="shared" ref="AF127:AG127" si="777">IF(AF125=0, 0,
  MIN(AF125, 10000) * 4 +
  MAX(0, MIN(AF125, 20000) - 10000) * 3 +
  MAX(0, MIN(AF125, 40000) - 20000) * 2 +
  MAX(0, MIN(AF125, 80000) - 40000) * 1 +
  MAX(0, MIN(AF125, 100000) - 80000) * 0.5 +
  MAX(0, AF125 - 100000) * 0.25
)</f>
        <v>0</v>
      </c>
      <c r="AG127" s="94">
        <f t="shared" si="777"/>
        <v>0</v>
      </c>
      <c r="AH127" s="95">
        <f t="shared" si="746"/>
        <v>0</v>
      </c>
      <c r="AI127" s="96" t="str">
        <f t="shared" si="747"/>
        <v>-</v>
      </c>
      <c r="AJ127" s="236">
        <f t="shared" ref="AJ127:AK127" si="778">IF(AJ125=0, 0,
  MIN(AJ125, 10000) * 4 +
  MAX(0, MIN(AJ125, 20000) - 10000) * 3 +
  MAX(0, MIN(AJ125, 40000) - 20000) * 2 +
  MAX(0, MIN(AJ125, 80000) - 40000) * 1 +
  MAX(0, MIN(AJ125, 100000) - 80000) * 0.5 +
  MAX(0, AJ125 - 100000) * 0.25
)</f>
        <v>0</v>
      </c>
      <c r="AK127" s="94">
        <f t="shared" si="778"/>
        <v>0</v>
      </c>
      <c r="AL127" s="95">
        <f t="shared" si="748"/>
        <v>0</v>
      </c>
      <c r="AM127" s="96" t="str">
        <f t="shared" si="749"/>
        <v>-</v>
      </c>
      <c r="AN127" s="236">
        <f t="shared" ref="AN127:AO127" si="779">IF(AN125=0, 0,
  MIN(AN125, 10000) * 4 +
  MAX(0, MIN(AN125, 20000) - 10000) * 3 +
  MAX(0, MIN(AN125, 40000) - 20000) * 2 +
  MAX(0, MIN(AN125, 80000) - 40000) * 1 +
  MAX(0, MIN(AN125, 100000) - 80000) * 0.5 +
  MAX(0, AN125 - 100000) * 0.25
)</f>
        <v>0</v>
      </c>
      <c r="AO127" s="94">
        <f t="shared" si="779"/>
        <v>0</v>
      </c>
      <c r="AP127" s="95">
        <f t="shared" si="750"/>
        <v>0</v>
      </c>
      <c r="AQ127" s="96" t="str">
        <f t="shared" si="751"/>
        <v>-</v>
      </c>
      <c r="AR127" s="236">
        <f t="shared" ref="AR127:AS127" si="780">IF(AR125=0, 0,
  MIN(AR125, 10000) * 4 +
  MAX(0, MIN(AR125, 20000) - 10000) * 3 +
  MAX(0, MIN(AR125, 40000) - 20000) * 2 +
  MAX(0, MIN(AR125, 80000) - 40000) * 1 +
  MAX(0, MIN(AR125, 100000) - 80000) * 0.5 +
  MAX(0, AR125 - 100000) * 0.25
)</f>
        <v>0</v>
      </c>
      <c r="AS127" s="237">
        <f t="shared" si="780"/>
        <v>0</v>
      </c>
      <c r="AT127" s="95">
        <f t="shared" si="752"/>
        <v>0</v>
      </c>
      <c r="AU127" s="96" t="str">
        <f t="shared" si="753"/>
        <v>-</v>
      </c>
      <c r="AV127" s="236">
        <f t="shared" ref="AV127:AW127" si="781">IF(AV125=0, 0,
  MIN(AV125, 10000) * 4 +
  MAX(0, MIN(AV125, 20000) - 10000) * 3 +
  MAX(0, MIN(AV125, 40000) - 20000) * 2 +
  MAX(0, MIN(AV125, 80000) - 40000) * 1 +
  MAX(0, MIN(AV125, 100000) - 80000) * 0.5 +
  MAX(0, AV125 - 100000) * 0.25
)</f>
        <v>712.8712871</v>
      </c>
      <c r="AW127" s="94">
        <f t="shared" si="781"/>
        <v>0</v>
      </c>
      <c r="AX127" s="95">
        <f t="shared" si="754"/>
        <v>-712.8712871</v>
      </c>
      <c r="AY127" s="96">
        <f t="shared" si="755"/>
        <v>-1</v>
      </c>
      <c r="AZ127" s="236">
        <f t="shared" ref="AZ127:BA127" si="782">IF(AZ125=0, 0,
  MIN(AZ125, 10000) * 4 +
  MAX(0, MIN(AZ125, 20000) - 10000) * 3 +
  MAX(0, MIN(AZ125, 40000) - 20000) * 2 +
  MAX(0, MIN(AZ125, 80000) - 40000) * 1 +
  MAX(0, MIN(AZ125, 100000) - 80000) * 0.5 +
  MAX(0, AZ125 - 100000) * 0.25
)</f>
        <v>4236.823129</v>
      </c>
      <c r="BA127" s="94">
        <f t="shared" si="782"/>
        <v>0</v>
      </c>
      <c r="BB127" s="95">
        <f t="shared" si="756"/>
        <v>-4236.823129</v>
      </c>
      <c r="BC127" s="96">
        <f t="shared" si="757"/>
        <v>-1</v>
      </c>
      <c r="BD127" s="237">
        <f t="shared" ref="BD127:BE127" si="783">IF(BD125=0, 0,
  MIN(BD125, 10000) * 4 +
  MAX(0, MIN(BD125, 20000) - 10000) * 3 +
  MAX(0, MIN(BD125, 40000) - 20000) * 2 +
  MAX(0, MIN(BD125, 80000) - 40000) * 1 +
  MAX(0, MIN(BD125, 100000) - 80000) * 0.5 +
  MAX(0, BD125 - 100000) * 0.25
)</f>
        <v>1782.178218</v>
      </c>
      <c r="BE127" s="94">
        <f t="shared" si="783"/>
        <v>0</v>
      </c>
      <c r="BF127" s="95">
        <f t="shared" si="758"/>
        <v>-1782.178218</v>
      </c>
      <c r="BG127" s="98">
        <f t="shared" si="759"/>
        <v>-1</v>
      </c>
      <c r="BH127" s="100">
        <f t="shared" ref="BH127:BI127" si="784">SUM(L127,P127,T127,X127,AB127,AF127,AJ127,AN127,AR127,AV127,AZ127,BD127)</f>
        <v>6731.872634</v>
      </c>
      <c r="BI127" s="101">
        <f t="shared" si="784"/>
        <v>0</v>
      </c>
      <c r="BJ127" s="102">
        <f t="shared" si="761"/>
        <v>-1</v>
      </c>
      <c r="BK127" s="103">
        <f>BK124*0.04</f>
        <v>14263.9712</v>
      </c>
      <c r="BL127" s="104">
        <f>BH127/BK127</f>
        <v>0.4719493989</v>
      </c>
      <c r="BM127" s="3"/>
      <c r="BN127" s="3"/>
      <c r="BO127" s="3"/>
      <c r="BP127" s="3"/>
      <c r="BQ127" s="3"/>
    </row>
    <row r="128" ht="15.75" customHeight="1">
      <c r="J128" s="3"/>
      <c r="K128" s="3"/>
      <c r="L128" s="3"/>
      <c r="M128" s="3"/>
      <c r="N128" s="3"/>
      <c r="O128" s="3"/>
      <c r="P128" s="3"/>
      <c r="Q128" s="3"/>
      <c r="R128" s="3"/>
      <c r="S128" s="3"/>
      <c r="T128" s="3"/>
      <c r="U128" s="3"/>
      <c r="V128" s="3"/>
      <c r="W128" s="3"/>
      <c r="X128" s="3"/>
      <c r="Y128" s="3"/>
      <c r="Z128" s="3"/>
      <c r="AA128" s="3"/>
      <c r="AB128" s="3"/>
      <c r="AC128" s="3"/>
      <c r="AD128" s="3"/>
      <c r="AE128" s="3"/>
    </row>
    <row r="129" ht="15.75" customHeight="1">
      <c r="J129" s="3"/>
      <c r="K129" s="3"/>
      <c r="L129" s="3"/>
      <c r="M129" s="3"/>
      <c r="N129" s="3"/>
      <c r="O129" s="3"/>
      <c r="P129" s="3"/>
      <c r="Q129" s="3"/>
      <c r="R129" s="3"/>
      <c r="S129" s="3"/>
      <c r="T129" s="3"/>
      <c r="U129" s="3"/>
      <c r="V129" s="3"/>
      <c r="W129" s="3"/>
      <c r="X129" s="3"/>
      <c r="Y129" s="3"/>
      <c r="Z129" s="3"/>
      <c r="AA129" s="3"/>
      <c r="AB129" s="3"/>
      <c r="AC129" s="3"/>
      <c r="AD129" s="3"/>
      <c r="AE129" s="3"/>
      <c r="AF129" s="3"/>
    </row>
    <row r="130" ht="15.75" customHeight="1">
      <c r="J130" s="15"/>
      <c r="K130" s="188"/>
      <c r="L130" s="114"/>
      <c r="M130" s="15"/>
      <c r="N130" s="15"/>
      <c r="O130" s="15"/>
      <c r="P130" s="15"/>
      <c r="Q130" s="15"/>
      <c r="R130" s="15"/>
      <c r="S130" s="15"/>
      <c r="T130" s="15"/>
      <c r="U130" s="15"/>
      <c r="V130" s="15"/>
      <c r="W130" s="238" t="s">
        <v>102</v>
      </c>
      <c r="X130" s="239">
        <v>2026.0</v>
      </c>
      <c r="Y130" s="239" t="s">
        <v>103</v>
      </c>
      <c r="Z130" s="240">
        <v>2025.0</v>
      </c>
      <c r="AA130" s="241" t="s">
        <v>104</v>
      </c>
      <c r="AB130" s="242" t="s">
        <v>105</v>
      </c>
      <c r="AC130" s="241" t="s">
        <v>106</v>
      </c>
      <c r="AE130" s="3"/>
      <c r="AF130" s="3"/>
      <c r="AG130" s="3"/>
      <c r="AH130" s="3"/>
      <c r="AI130" s="3"/>
    </row>
    <row r="131" ht="15.75" customHeight="1">
      <c r="J131" s="15"/>
      <c r="K131" s="188"/>
      <c r="L131" s="15"/>
      <c r="M131" s="15"/>
      <c r="N131" s="15"/>
      <c r="O131" s="15"/>
      <c r="P131" s="15"/>
      <c r="Q131" s="243"/>
      <c r="R131" s="15"/>
      <c r="S131" s="15"/>
      <c r="T131" s="15"/>
      <c r="U131" s="15"/>
      <c r="V131" s="15"/>
      <c r="W131" s="244" t="s">
        <v>63</v>
      </c>
      <c r="X131" s="245">
        <f>SUMIF(J5:J127, "gmv", BH5:BH127)</f>
        <v>136053076.2</v>
      </c>
      <c r="Y131" s="245">
        <f>SUMIF(J5:J127, "gmv", BI5:BI127)</f>
        <v>31550605.72</v>
      </c>
      <c r="Z131" s="246">
        <f>SUMIF(J5:J127, "gmv", BK5:BK127)</f>
        <v>57499735.7</v>
      </c>
      <c r="AA131" s="247">
        <f t="shared" ref="AA131:AA134" si="785">IFERROR(Y131-X131,"-")</f>
        <v>-104502470.5</v>
      </c>
      <c r="AB131" s="248">
        <f t="shared" ref="AB131:AB134" si="786">IFERROR(X131/Z131-1,"-")</f>
        <v>1.366151332</v>
      </c>
      <c r="AC131" s="249">
        <f t="shared" ref="AC131:AC134" si="787">IFERROR(Y131/X131-1,"-")</f>
        <v>-0.7681007545</v>
      </c>
      <c r="AE131" s="3"/>
      <c r="AF131" s="3"/>
      <c r="AG131" s="3"/>
      <c r="AH131" s="3"/>
      <c r="AI131" s="3"/>
    </row>
    <row r="132" ht="15.75" customHeight="1">
      <c r="J132" s="15"/>
      <c r="K132" s="188"/>
      <c r="L132" s="15"/>
      <c r="M132" s="15"/>
      <c r="N132" s="15"/>
      <c r="O132" s="15"/>
      <c r="P132" s="15"/>
      <c r="Q132" s="250"/>
      <c r="R132" s="15"/>
      <c r="S132" s="15"/>
      <c r="T132" s="15"/>
      <c r="U132" s="15"/>
      <c r="V132" s="15"/>
      <c r="W132" s="251" t="s">
        <v>64</v>
      </c>
      <c r="X132" s="252">
        <f>SUMIF(J5:J127,"Pedidos",BH5:BH127)</f>
        <v>1858535.541</v>
      </c>
      <c r="Y132" s="252">
        <f>SUMIF(J6:J127, "Pedidos", BI6:BI127)</f>
        <v>348493.1539</v>
      </c>
      <c r="Z132" s="253">
        <f>SUMIF(J6:J127,"pedidos", BK6:BK127)</f>
        <v>629966</v>
      </c>
      <c r="AA132" s="254">
        <f t="shared" si="785"/>
        <v>-1510042.387</v>
      </c>
      <c r="AB132" s="248">
        <f t="shared" si="786"/>
        <v>1.950215632</v>
      </c>
      <c r="AC132" s="249">
        <f t="shared" si="787"/>
        <v>-0.8124904548</v>
      </c>
      <c r="AE132" s="3"/>
      <c r="AF132" s="3"/>
      <c r="AG132" s="3"/>
      <c r="AH132" s="3"/>
      <c r="AI132" s="3"/>
    </row>
    <row r="133" ht="15.75" customHeight="1">
      <c r="J133" s="15"/>
      <c r="K133" s="188"/>
      <c r="L133" s="15"/>
      <c r="M133" s="15"/>
      <c r="N133" s="15"/>
      <c r="O133" s="15"/>
      <c r="P133" s="15"/>
      <c r="Q133" s="250"/>
      <c r="R133" s="15"/>
      <c r="S133" s="15"/>
      <c r="T133" s="15"/>
      <c r="U133" s="15"/>
      <c r="V133" s="15"/>
      <c r="W133" s="251" t="s">
        <v>65</v>
      </c>
      <c r="X133" s="255">
        <f t="shared" ref="X133:Z133" si="788">IFERROR(X131/X132,"-")</f>
        <v>73.20445222</v>
      </c>
      <c r="Y133" s="256">
        <f t="shared" si="788"/>
        <v>90.53436306</v>
      </c>
      <c r="Z133" s="257">
        <f t="shared" si="788"/>
        <v>91.27434766</v>
      </c>
      <c r="AA133" s="247">
        <f t="shared" si="785"/>
        <v>17.32991083</v>
      </c>
      <c r="AB133" s="248">
        <f t="shared" si="786"/>
        <v>-0.1979734274</v>
      </c>
      <c r="AC133" s="249">
        <f t="shared" si="787"/>
        <v>0.236733017</v>
      </c>
      <c r="AE133" s="3"/>
      <c r="AF133" s="3"/>
      <c r="AG133" s="3"/>
      <c r="AH133" s="3"/>
      <c r="AI133" s="3"/>
    </row>
    <row r="134" ht="15.75" customHeight="1">
      <c r="J134" s="15"/>
      <c r="K134" s="188"/>
      <c r="L134" s="15"/>
      <c r="M134" s="15"/>
      <c r="N134" s="15"/>
      <c r="O134" s="15"/>
      <c r="P134" s="15"/>
      <c r="Q134" s="250"/>
      <c r="R134" s="15"/>
      <c r="S134" s="15"/>
      <c r="T134" s="15"/>
      <c r="U134" s="15"/>
      <c r="V134" s="15"/>
      <c r="W134" s="258" t="s">
        <v>66</v>
      </c>
      <c r="X134" s="259">
        <f>SUMIF(J5:J127, "Receita Hanzo", BH5:BH127)</f>
        <v>5775051.392</v>
      </c>
      <c r="Y134" s="259">
        <f>SUMIF(J5:J127, "Receita Hanzo", BI5:BI127)</f>
        <v>2353027.558</v>
      </c>
      <c r="Z134" s="260">
        <f>SUMIF(J5:J127, "Receita Hanzo", BK5:BK127)</f>
        <v>2474003.6</v>
      </c>
      <c r="AA134" s="247">
        <f t="shared" si="785"/>
        <v>-3422023.833</v>
      </c>
      <c r="AB134" s="248">
        <f t="shared" si="786"/>
        <v>1.334293851</v>
      </c>
      <c r="AC134" s="249">
        <f t="shared" si="787"/>
        <v>-0.5925529664</v>
      </c>
      <c r="AE134" s="3"/>
      <c r="AF134" s="3"/>
      <c r="AG134" s="3"/>
      <c r="AH134" s="3"/>
      <c r="AI134" s="3"/>
    </row>
    <row r="135" ht="15.75" customHeight="1">
      <c r="J135" s="15"/>
      <c r="K135" s="188"/>
      <c r="L135" s="15"/>
      <c r="M135" s="15"/>
      <c r="N135" s="15"/>
      <c r="O135" s="15"/>
      <c r="P135" s="15"/>
      <c r="Q135" s="15"/>
      <c r="R135" s="15"/>
      <c r="S135" s="15"/>
      <c r="T135" s="15"/>
      <c r="U135" s="15"/>
      <c r="V135" s="15"/>
      <c r="W135" s="15"/>
      <c r="X135" s="14"/>
      <c r="Y135" s="14"/>
      <c r="Z135" s="15"/>
      <c r="AA135" s="3"/>
      <c r="AB135" s="3"/>
      <c r="AC135" s="3"/>
      <c r="AD135" s="3"/>
      <c r="AE135" s="3"/>
      <c r="AF135" s="3"/>
    </row>
    <row r="136" ht="15.75" customHeight="1">
      <c r="J136" s="15"/>
      <c r="K136" s="188"/>
      <c r="L136" s="15"/>
      <c r="M136" s="15"/>
      <c r="N136" s="15"/>
      <c r="O136" s="15"/>
      <c r="P136" s="15"/>
      <c r="Q136" s="15"/>
      <c r="R136" s="15"/>
      <c r="S136" s="15"/>
      <c r="T136" s="15"/>
      <c r="U136" s="15"/>
      <c r="V136" s="15"/>
      <c r="W136" s="15"/>
      <c r="X136" s="25"/>
      <c r="Y136" s="14"/>
      <c r="Z136" s="15"/>
      <c r="AA136" s="3"/>
      <c r="AB136" s="3"/>
      <c r="AC136" s="3"/>
      <c r="AD136" s="3"/>
      <c r="AE136" s="3"/>
      <c r="AF136" s="3"/>
    </row>
    <row r="137" ht="15.75" customHeight="1">
      <c r="J137" s="15"/>
      <c r="K137" s="188"/>
      <c r="L137" s="15"/>
      <c r="M137" s="15"/>
      <c r="N137" s="15"/>
      <c r="O137" s="15"/>
      <c r="P137" s="15"/>
      <c r="Q137" s="15"/>
      <c r="R137" s="15"/>
      <c r="S137" s="15"/>
      <c r="T137" s="15"/>
      <c r="U137" s="15"/>
      <c r="V137" s="15"/>
      <c r="W137" s="15"/>
      <c r="X137" s="14"/>
      <c r="Y137" s="14"/>
      <c r="Z137" s="15"/>
      <c r="AA137" s="3"/>
      <c r="AB137" s="3"/>
      <c r="AC137" s="3"/>
      <c r="AD137" s="3"/>
      <c r="AE137" s="3"/>
      <c r="AF137" s="3"/>
    </row>
    <row r="138" ht="15.75" customHeight="1">
      <c r="J138" s="15"/>
      <c r="K138" s="188"/>
      <c r="L138" s="15"/>
      <c r="M138" s="15"/>
      <c r="N138" s="15"/>
      <c r="O138" s="15"/>
      <c r="P138" s="15"/>
      <c r="Q138" s="15"/>
      <c r="R138" s="15"/>
      <c r="S138" s="15"/>
      <c r="T138" s="15"/>
      <c r="U138" s="15"/>
      <c r="V138" s="15"/>
      <c r="W138" s="15"/>
      <c r="X138" s="14"/>
      <c r="Y138" s="14"/>
      <c r="Z138" s="15"/>
      <c r="AA138" s="3"/>
      <c r="AB138" s="3"/>
      <c r="AC138" s="3"/>
      <c r="AD138" s="3"/>
      <c r="AE138" s="3"/>
      <c r="AF138" s="3"/>
    </row>
    <row r="139" ht="15.75" customHeight="1">
      <c r="J139" s="15"/>
      <c r="K139" s="188"/>
      <c r="L139" s="15"/>
      <c r="M139" s="15"/>
      <c r="N139" s="15"/>
      <c r="O139" s="15"/>
      <c r="P139" s="15"/>
      <c r="Q139" s="15"/>
      <c r="R139" s="15"/>
      <c r="S139" s="15"/>
      <c r="T139" s="15"/>
      <c r="U139" s="15"/>
      <c r="V139" s="15"/>
      <c r="W139" s="15"/>
      <c r="X139" s="14"/>
      <c r="Y139" s="14"/>
      <c r="Z139" s="15"/>
      <c r="AA139" s="3"/>
      <c r="AB139" s="3"/>
      <c r="AC139" s="3"/>
      <c r="AD139" s="3"/>
      <c r="AE139" s="3"/>
      <c r="AF139" s="3"/>
    </row>
    <row r="140" ht="15.75" customHeight="1">
      <c r="J140" s="15"/>
      <c r="K140" s="188"/>
      <c r="L140" s="15"/>
      <c r="M140" s="15"/>
      <c r="N140" s="15"/>
      <c r="O140" s="15"/>
      <c r="P140" s="15"/>
      <c r="Q140" s="15"/>
      <c r="R140" s="15"/>
      <c r="S140" s="15"/>
      <c r="T140" s="15"/>
      <c r="U140" s="15"/>
      <c r="V140" s="15"/>
      <c r="W140" s="15"/>
      <c r="X140" s="14"/>
      <c r="Y140" s="14"/>
      <c r="Z140" s="15"/>
      <c r="AA140" s="3"/>
      <c r="AB140" s="3"/>
      <c r="AC140" s="3"/>
      <c r="AD140" s="3"/>
      <c r="AE140" s="3"/>
      <c r="AF140" s="3"/>
    </row>
    <row r="141" ht="15.75" customHeight="1">
      <c r="J141" s="15"/>
      <c r="K141" s="188"/>
      <c r="L141" s="15"/>
      <c r="M141" s="15"/>
      <c r="N141" s="15"/>
      <c r="O141" s="15"/>
      <c r="P141" s="15"/>
      <c r="Q141" s="15"/>
      <c r="R141" s="15"/>
      <c r="S141" s="15"/>
      <c r="T141" s="15"/>
      <c r="U141" s="15"/>
      <c r="V141" s="15"/>
      <c r="W141" s="15"/>
      <c r="X141" s="14"/>
      <c r="Y141" s="14"/>
      <c r="Z141" s="15"/>
      <c r="AA141" s="3"/>
      <c r="AB141" s="3"/>
      <c r="AC141" s="3"/>
      <c r="AD141" s="3"/>
      <c r="AE141" s="3"/>
      <c r="AF141" s="3"/>
    </row>
    <row r="142" ht="15.75" customHeight="1">
      <c r="J142" s="15"/>
      <c r="K142" s="188"/>
      <c r="L142" s="15"/>
      <c r="M142" s="15"/>
      <c r="N142" s="15"/>
      <c r="O142" s="15"/>
      <c r="P142" s="15"/>
      <c r="Q142" s="15"/>
      <c r="R142" s="15"/>
      <c r="S142" s="15"/>
      <c r="T142" s="15"/>
      <c r="U142" s="15"/>
      <c r="V142" s="15"/>
      <c r="W142" s="15"/>
      <c r="X142" s="14"/>
      <c r="Y142" s="14"/>
      <c r="Z142" s="15"/>
      <c r="AA142" s="3"/>
      <c r="AB142" s="3"/>
      <c r="AC142" s="3"/>
      <c r="AD142" s="3"/>
      <c r="AE142" s="3"/>
      <c r="AF142" s="3"/>
    </row>
    <row r="143" ht="15.75" customHeight="1">
      <c r="J143" s="15"/>
      <c r="K143" s="188"/>
      <c r="L143" s="15"/>
      <c r="M143" s="15"/>
      <c r="N143" s="15"/>
      <c r="O143" s="15"/>
      <c r="P143" s="15"/>
      <c r="Q143" s="15"/>
      <c r="R143" s="15"/>
      <c r="S143" s="15"/>
      <c r="T143" s="15"/>
      <c r="U143" s="15"/>
      <c r="V143" s="15"/>
      <c r="W143" s="15"/>
      <c r="X143" s="14"/>
      <c r="Y143" s="14"/>
      <c r="Z143" s="15"/>
      <c r="AA143" s="3"/>
      <c r="AB143" s="3"/>
      <c r="AC143" s="3"/>
      <c r="AD143" s="3"/>
      <c r="AE143" s="3"/>
      <c r="AF143" s="3"/>
    </row>
    <row r="144" ht="15.75" customHeight="1">
      <c r="J144" s="15"/>
      <c r="K144" s="188"/>
      <c r="L144" s="15"/>
      <c r="M144" s="15"/>
      <c r="N144" s="15"/>
      <c r="O144" s="15"/>
      <c r="P144" s="15"/>
      <c r="Q144" s="15"/>
      <c r="R144" s="15"/>
      <c r="S144" s="15"/>
      <c r="T144" s="15"/>
      <c r="U144" s="15"/>
      <c r="V144" s="15"/>
      <c r="W144" s="15"/>
      <c r="X144" s="14"/>
      <c r="Y144" s="14"/>
      <c r="Z144" s="15"/>
      <c r="AA144" s="3"/>
      <c r="AB144" s="3"/>
      <c r="AC144" s="3"/>
      <c r="AD144" s="3"/>
      <c r="AE144" s="3"/>
      <c r="AF144" s="3"/>
    </row>
    <row r="145" ht="15.75" customHeight="1">
      <c r="J145" s="15"/>
      <c r="K145" s="188"/>
      <c r="L145" s="15"/>
      <c r="M145" s="15"/>
      <c r="N145" s="15"/>
      <c r="O145" s="15"/>
      <c r="P145" s="15"/>
      <c r="Q145" s="15"/>
      <c r="R145" s="15"/>
      <c r="S145" s="15"/>
      <c r="T145" s="15"/>
      <c r="U145" s="15"/>
      <c r="V145" s="15"/>
      <c r="W145" s="15"/>
      <c r="X145" s="14"/>
      <c r="Y145" s="14"/>
      <c r="Z145" s="15"/>
      <c r="AA145" s="3"/>
      <c r="AB145" s="3"/>
      <c r="AC145" s="3"/>
      <c r="AD145" s="3"/>
      <c r="AE145" s="3"/>
      <c r="AF145" s="3"/>
    </row>
    <row r="146" ht="15.75" customHeight="1">
      <c r="J146" s="15"/>
      <c r="K146" s="188"/>
      <c r="L146" s="15"/>
      <c r="M146" s="15"/>
      <c r="N146" s="15"/>
      <c r="O146" s="15"/>
      <c r="P146" s="15"/>
      <c r="Q146" s="15"/>
      <c r="R146" s="15"/>
      <c r="S146" s="15"/>
      <c r="T146" s="15"/>
      <c r="U146" s="15"/>
      <c r="V146" s="15"/>
      <c r="W146" s="15"/>
      <c r="X146" s="14"/>
      <c r="Y146" s="14"/>
      <c r="Z146" s="15"/>
      <c r="AA146" s="3"/>
      <c r="AB146" s="3"/>
      <c r="AC146" s="3"/>
      <c r="AD146" s="3"/>
      <c r="AE146" s="3"/>
      <c r="AF146" s="3"/>
    </row>
    <row r="147" ht="15.75" customHeight="1">
      <c r="J147" s="15"/>
      <c r="K147" s="188"/>
      <c r="L147" s="15"/>
      <c r="M147" s="15"/>
      <c r="N147" s="15"/>
      <c r="O147" s="15"/>
      <c r="P147" s="15"/>
      <c r="Q147" s="15"/>
      <c r="R147" s="15"/>
      <c r="S147" s="15"/>
      <c r="T147" s="15"/>
      <c r="U147" s="15"/>
      <c r="V147" s="15"/>
      <c r="W147" s="15"/>
      <c r="X147" s="14"/>
      <c r="Y147" s="14"/>
      <c r="Z147" s="15"/>
      <c r="AA147" s="3"/>
      <c r="AB147" s="3"/>
      <c r="AC147" s="3"/>
      <c r="AD147" s="3"/>
      <c r="AE147" s="3"/>
      <c r="AF147" s="3"/>
    </row>
    <row r="148" ht="15.75" customHeight="1">
      <c r="J148" s="15"/>
      <c r="K148" s="188"/>
      <c r="L148" s="15"/>
      <c r="M148" s="15"/>
      <c r="N148" s="15"/>
      <c r="O148" s="15"/>
      <c r="P148" s="15"/>
      <c r="Q148" s="15"/>
      <c r="R148" s="15"/>
      <c r="S148" s="15"/>
      <c r="T148" s="15"/>
      <c r="U148" s="15"/>
      <c r="V148" s="15"/>
      <c r="W148" s="15"/>
      <c r="X148" s="14"/>
      <c r="Y148" s="14"/>
      <c r="Z148" s="15"/>
      <c r="AA148" s="3"/>
      <c r="AB148" s="3"/>
      <c r="AC148" s="3"/>
      <c r="AD148" s="3"/>
      <c r="AE148" s="3"/>
      <c r="AF148" s="3"/>
    </row>
    <row r="149" ht="15.75" customHeight="1">
      <c r="J149" s="15"/>
      <c r="K149" s="188"/>
      <c r="L149" s="15"/>
      <c r="M149" s="15"/>
      <c r="N149" s="15"/>
      <c r="O149" s="15"/>
      <c r="P149" s="15"/>
      <c r="Q149" s="15"/>
      <c r="R149" s="15"/>
      <c r="S149" s="15"/>
      <c r="T149" s="15"/>
      <c r="U149" s="15"/>
      <c r="V149" s="15"/>
      <c r="W149" s="15"/>
      <c r="X149" s="14"/>
      <c r="Y149" s="14"/>
      <c r="Z149" s="15"/>
      <c r="AA149" s="3"/>
      <c r="AB149" s="3"/>
      <c r="AC149" s="3"/>
      <c r="AD149" s="3"/>
      <c r="AE149" s="3"/>
      <c r="AF149" s="3"/>
    </row>
    <row r="150" ht="15.75" customHeight="1">
      <c r="J150" s="15"/>
      <c r="K150" s="188"/>
      <c r="L150" s="15"/>
      <c r="M150" s="15"/>
      <c r="N150" s="15"/>
      <c r="O150" s="15"/>
      <c r="P150" s="15"/>
      <c r="Q150" s="15"/>
      <c r="R150" s="15"/>
      <c r="S150" s="15"/>
      <c r="T150" s="15"/>
      <c r="U150" s="15"/>
      <c r="V150" s="15"/>
      <c r="W150" s="15"/>
      <c r="X150" s="14"/>
      <c r="Y150" s="14"/>
      <c r="Z150" s="15"/>
      <c r="AA150" s="3"/>
      <c r="AB150" s="3"/>
      <c r="AC150" s="3"/>
      <c r="AD150" s="3"/>
      <c r="AE150" s="3"/>
      <c r="AF150" s="3"/>
    </row>
    <row r="151" ht="15.75" customHeight="1">
      <c r="J151" s="15"/>
      <c r="K151" s="188"/>
      <c r="L151" s="15"/>
      <c r="M151" s="15"/>
      <c r="N151" s="15"/>
      <c r="O151" s="15"/>
      <c r="P151" s="15"/>
      <c r="Q151" s="15"/>
      <c r="R151" s="15"/>
      <c r="S151" s="15"/>
      <c r="T151" s="15"/>
      <c r="U151" s="15"/>
      <c r="V151" s="15"/>
      <c r="W151" s="15"/>
      <c r="X151" s="14"/>
      <c r="Y151" s="14"/>
      <c r="Z151" s="15"/>
      <c r="AA151" s="3"/>
      <c r="AB151" s="3"/>
      <c r="AC151" s="3"/>
      <c r="AD151" s="3"/>
      <c r="AE151" s="3"/>
      <c r="AF151" s="3"/>
    </row>
    <row r="152" ht="15.75" customHeight="1">
      <c r="J152" s="15"/>
      <c r="K152" s="188"/>
      <c r="L152" s="15"/>
      <c r="M152" s="15"/>
      <c r="N152" s="15"/>
      <c r="O152" s="15"/>
      <c r="P152" s="15"/>
      <c r="Q152" s="15"/>
      <c r="R152" s="15"/>
      <c r="S152" s="15"/>
      <c r="T152" s="15"/>
      <c r="U152" s="15"/>
      <c r="V152" s="15"/>
      <c r="W152" s="15"/>
      <c r="X152" s="14"/>
      <c r="Y152" s="14"/>
      <c r="Z152" s="15"/>
      <c r="AA152" s="3"/>
      <c r="AB152" s="3"/>
      <c r="AC152" s="3"/>
      <c r="AD152" s="3"/>
      <c r="AE152" s="3"/>
      <c r="AF152" s="3"/>
    </row>
    <row r="153" ht="15.75" customHeight="1">
      <c r="J153" s="15"/>
      <c r="K153" s="188"/>
      <c r="L153" s="15"/>
      <c r="M153" s="15"/>
      <c r="N153" s="15"/>
      <c r="O153" s="15"/>
      <c r="P153" s="15"/>
      <c r="Q153" s="15"/>
      <c r="R153" s="15"/>
      <c r="S153" s="15"/>
      <c r="T153" s="15"/>
      <c r="U153" s="15"/>
      <c r="V153" s="15"/>
      <c r="W153" s="15"/>
      <c r="X153" s="14"/>
      <c r="Y153" s="14"/>
      <c r="Z153" s="15"/>
      <c r="AA153" s="3"/>
      <c r="AB153" s="3"/>
      <c r="AC153" s="3"/>
      <c r="AD153" s="3"/>
      <c r="AE153" s="3"/>
      <c r="AF153" s="3"/>
    </row>
    <row r="154" ht="15.75" customHeight="1">
      <c r="J154" s="15"/>
      <c r="K154" s="188"/>
      <c r="L154" s="15"/>
      <c r="M154" s="15"/>
      <c r="N154" s="15"/>
      <c r="O154" s="15"/>
      <c r="P154" s="15"/>
      <c r="Q154" s="15"/>
      <c r="R154" s="15"/>
      <c r="S154" s="15"/>
      <c r="T154" s="15"/>
      <c r="U154" s="15"/>
      <c r="V154" s="15"/>
      <c r="W154" s="15"/>
      <c r="X154" s="14"/>
      <c r="Y154" s="14"/>
      <c r="Z154" s="15"/>
      <c r="AA154" s="3"/>
      <c r="AB154" s="3"/>
      <c r="AC154" s="3"/>
      <c r="AD154" s="3"/>
      <c r="AE154" s="3"/>
      <c r="AF154" s="3"/>
    </row>
    <row r="155" ht="15.75" customHeight="1">
      <c r="J155" s="15"/>
      <c r="K155" s="188"/>
      <c r="L155" s="15"/>
      <c r="M155" s="15"/>
      <c r="N155" s="15"/>
      <c r="O155" s="15"/>
      <c r="P155" s="15"/>
      <c r="Q155" s="15"/>
      <c r="R155" s="15"/>
      <c r="S155" s="15"/>
      <c r="T155" s="15"/>
      <c r="U155" s="15"/>
      <c r="V155" s="15"/>
      <c r="W155" s="15"/>
      <c r="X155" s="14"/>
      <c r="Y155" s="14"/>
      <c r="Z155" s="15"/>
      <c r="AA155" s="3"/>
      <c r="AB155" s="3"/>
      <c r="AC155" s="3"/>
      <c r="AD155" s="3"/>
      <c r="AE155" s="3"/>
      <c r="AF155" s="3"/>
    </row>
    <row r="156" ht="15.75" customHeight="1">
      <c r="J156" s="15"/>
      <c r="K156" s="188"/>
      <c r="L156" s="15"/>
      <c r="M156" s="15"/>
      <c r="N156" s="15"/>
      <c r="O156" s="15"/>
      <c r="P156" s="15"/>
      <c r="Q156" s="15"/>
      <c r="R156" s="15"/>
      <c r="S156" s="15"/>
      <c r="T156" s="15"/>
      <c r="U156" s="15"/>
      <c r="V156" s="15"/>
      <c r="W156" s="15"/>
      <c r="X156" s="14"/>
      <c r="Y156" s="14"/>
      <c r="Z156" s="15"/>
      <c r="AA156" s="3"/>
      <c r="AB156" s="3"/>
      <c r="AC156" s="3"/>
      <c r="AD156" s="3"/>
      <c r="AE156" s="3"/>
      <c r="AF156" s="3"/>
    </row>
    <row r="157" ht="15.75" customHeight="1">
      <c r="J157" s="15"/>
      <c r="K157" s="188"/>
      <c r="L157" s="15"/>
      <c r="M157" s="15"/>
      <c r="N157" s="15"/>
      <c r="O157" s="15"/>
      <c r="P157" s="15"/>
      <c r="Q157" s="15"/>
      <c r="R157" s="15"/>
      <c r="S157" s="15"/>
      <c r="T157" s="15"/>
      <c r="U157" s="15"/>
      <c r="V157" s="15"/>
      <c r="W157" s="15"/>
      <c r="X157" s="14"/>
      <c r="Y157" s="14"/>
      <c r="Z157" s="15"/>
      <c r="AA157" s="3"/>
      <c r="AB157" s="3"/>
      <c r="AC157" s="3"/>
      <c r="AD157" s="3"/>
      <c r="AE157" s="3"/>
      <c r="AF157" s="3"/>
    </row>
    <row r="158" ht="15.75" customHeight="1">
      <c r="J158" s="15"/>
      <c r="K158" s="188"/>
      <c r="L158" s="15"/>
      <c r="M158" s="15"/>
      <c r="N158" s="15"/>
      <c r="O158" s="15"/>
      <c r="P158" s="15"/>
      <c r="Q158" s="15"/>
      <c r="R158" s="15"/>
      <c r="S158" s="15"/>
      <c r="T158" s="15"/>
      <c r="U158" s="15"/>
      <c r="V158" s="15"/>
      <c r="W158" s="15"/>
      <c r="X158" s="14"/>
      <c r="Y158" s="14"/>
      <c r="Z158" s="15"/>
      <c r="AA158" s="3"/>
      <c r="AB158" s="3"/>
      <c r="AC158" s="3"/>
      <c r="AD158" s="3"/>
      <c r="AE158" s="3"/>
      <c r="AF158" s="3"/>
    </row>
    <row r="159" ht="15.75" customHeight="1">
      <c r="J159" s="15"/>
      <c r="K159" s="188"/>
      <c r="L159" s="15"/>
      <c r="M159" s="15"/>
      <c r="N159" s="15"/>
      <c r="O159" s="15"/>
      <c r="P159" s="15"/>
      <c r="Q159" s="15"/>
      <c r="R159" s="15"/>
      <c r="S159" s="15"/>
      <c r="T159" s="15"/>
      <c r="U159" s="15"/>
      <c r="V159" s="15"/>
      <c r="W159" s="15"/>
      <c r="X159" s="14"/>
      <c r="Y159" s="14"/>
      <c r="Z159" s="15"/>
      <c r="AA159" s="3"/>
      <c r="AB159" s="3"/>
      <c r="AC159" s="3"/>
      <c r="AD159" s="3"/>
      <c r="AE159" s="3"/>
      <c r="AF159" s="3"/>
    </row>
    <row r="160" ht="15.75" customHeight="1">
      <c r="J160" s="15"/>
      <c r="K160" s="188"/>
      <c r="L160" s="15"/>
      <c r="M160" s="15"/>
      <c r="N160" s="15"/>
      <c r="O160" s="15"/>
      <c r="P160" s="15"/>
      <c r="Q160" s="15"/>
      <c r="R160" s="15"/>
      <c r="S160" s="15"/>
      <c r="T160" s="15"/>
      <c r="U160" s="15"/>
      <c r="V160" s="15"/>
      <c r="W160" s="15"/>
      <c r="X160" s="14"/>
      <c r="Y160" s="14"/>
      <c r="Z160" s="15"/>
      <c r="AA160" s="3"/>
      <c r="AB160" s="3"/>
      <c r="AC160" s="3"/>
      <c r="AD160" s="3"/>
      <c r="AE160" s="3"/>
      <c r="AF160" s="3"/>
    </row>
    <row r="161" ht="15.75" customHeight="1">
      <c r="J161" s="15"/>
      <c r="K161" s="188"/>
      <c r="L161" s="15"/>
      <c r="M161" s="15"/>
      <c r="N161" s="15"/>
      <c r="O161" s="15"/>
      <c r="P161" s="15"/>
      <c r="Q161" s="15"/>
      <c r="R161" s="15"/>
      <c r="S161" s="15"/>
      <c r="T161" s="15"/>
      <c r="U161" s="15"/>
      <c r="V161" s="15"/>
      <c r="W161" s="15"/>
      <c r="X161" s="14"/>
      <c r="Y161" s="14"/>
      <c r="Z161" s="15"/>
      <c r="AA161" s="3"/>
      <c r="AB161" s="3"/>
      <c r="AC161" s="3"/>
      <c r="AD161" s="3"/>
      <c r="AE161" s="3"/>
      <c r="AF161" s="3"/>
    </row>
    <row r="162" ht="15.75" customHeight="1">
      <c r="J162" s="15"/>
      <c r="K162" s="188"/>
      <c r="L162" s="15"/>
      <c r="M162" s="15"/>
      <c r="N162" s="15"/>
      <c r="O162" s="15"/>
      <c r="P162" s="15"/>
      <c r="Q162" s="15"/>
      <c r="R162" s="15"/>
      <c r="S162" s="15"/>
      <c r="T162" s="15"/>
      <c r="U162" s="15"/>
      <c r="V162" s="15"/>
      <c r="W162" s="15"/>
      <c r="X162" s="14"/>
      <c r="Y162" s="14"/>
      <c r="Z162" s="15"/>
      <c r="AA162" s="3"/>
      <c r="AB162" s="3"/>
      <c r="AC162" s="3"/>
      <c r="AD162" s="3"/>
      <c r="AE162" s="3"/>
      <c r="AF162" s="3"/>
    </row>
    <row r="163" ht="15.75" customHeight="1">
      <c r="J163" s="15"/>
      <c r="K163" s="188"/>
      <c r="L163" s="15"/>
      <c r="M163" s="15"/>
      <c r="N163" s="15"/>
      <c r="O163" s="15"/>
      <c r="P163" s="15"/>
      <c r="Q163" s="15"/>
      <c r="R163" s="15"/>
      <c r="S163" s="15"/>
      <c r="T163" s="15"/>
      <c r="U163" s="15"/>
      <c r="V163" s="15"/>
      <c r="W163" s="15"/>
      <c r="X163" s="14"/>
      <c r="Y163" s="14"/>
      <c r="Z163" s="15"/>
      <c r="AA163" s="3"/>
      <c r="AB163" s="3"/>
      <c r="AC163" s="3"/>
      <c r="AD163" s="3"/>
      <c r="AE163" s="3"/>
      <c r="AF163" s="3"/>
    </row>
    <row r="164" ht="15.75" customHeight="1">
      <c r="J164" s="15"/>
      <c r="K164" s="188"/>
      <c r="L164" s="15"/>
      <c r="M164" s="15"/>
      <c r="N164" s="15"/>
      <c r="O164" s="15"/>
      <c r="P164" s="15"/>
      <c r="Q164" s="15"/>
      <c r="R164" s="15"/>
      <c r="S164" s="15"/>
      <c r="T164" s="15"/>
      <c r="U164" s="15"/>
      <c r="V164" s="15"/>
      <c r="W164" s="15"/>
      <c r="X164" s="14"/>
      <c r="Y164" s="14"/>
      <c r="Z164" s="15"/>
      <c r="AA164" s="3"/>
      <c r="AB164" s="3"/>
      <c r="AC164" s="3"/>
      <c r="AD164" s="3"/>
      <c r="AE164" s="3"/>
      <c r="AF164" s="3"/>
    </row>
    <row r="165" ht="15.75" customHeight="1">
      <c r="J165" s="15"/>
      <c r="K165" s="188"/>
      <c r="L165" s="15"/>
      <c r="M165" s="15"/>
      <c r="N165" s="15"/>
      <c r="O165" s="15"/>
      <c r="P165" s="15"/>
      <c r="Q165" s="15"/>
      <c r="R165" s="15"/>
      <c r="S165" s="15"/>
      <c r="T165" s="15"/>
      <c r="U165" s="15"/>
      <c r="V165" s="15"/>
      <c r="W165" s="15"/>
      <c r="X165" s="14"/>
      <c r="Y165" s="14"/>
      <c r="Z165" s="15"/>
      <c r="AA165" s="3"/>
      <c r="AB165" s="3"/>
      <c r="AC165" s="3"/>
      <c r="AD165" s="3"/>
      <c r="AE165" s="3"/>
      <c r="AF165" s="3"/>
    </row>
    <row r="166" ht="15.75" customHeight="1">
      <c r="J166" s="15"/>
      <c r="K166" s="188"/>
      <c r="L166" s="15"/>
      <c r="M166" s="15"/>
      <c r="N166" s="15"/>
      <c r="O166" s="15"/>
      <c r="P166" s="15"/>
      <c r="Q166" s="15"/>
      <c r="R166" s="15"/>
      <c r="S166" s="15"/>
      <c r="T166" s="15"/>
      <c r="U166" s="15"/>
      <c r="V166" s="15"/>
      <c r="W166" s="15"/>
      <c r="X166" s="14"/>
      <c r="Y166" s="14"/>
      <c r="Z166" s="15"/>
      <c r="AA166" s="3"/>
      <c r="AB166" s="3"/>
      <c r="AC166" s="3"/>
      <c r="AD166" s="3"/>
      <c r="AE166" s="3"/>
      <c r="AF166" s="3"/>
    </row>
    <row r="167" ht="15.75" customHeight="1">
      <c r="J167" s="15"/>
      <c r="K167" s="188"/>
      <c r="L167" s="15"/>
      <c r="M167" s="15"/>
      <c r="N167" s="15"/>
      <c r="O167" s="15"/>
      <c r="P167" s="15"/>
      <c r="Q167" s="15"/>
      <c r="R167" s="15"/>
      <c r="S167" s="15"/>
      <c r="T167" s="15"/>
      <c r="U167" s="15"/>
      <c r="V167" s="15"/>
      <c r="W167" s="15"/>
      <c r="X167" s="14"/>
      <c r="Y167" s="14"/>
      <c r="Z167" s="15"/>
      <c r="AA167" s="3"/>
      <c r="AB167" s="3"/>
      <c r="AC167" s="3"/>
      <c r="AD167" s="3"/>
      <c r="AE167" s="3"/>
      <c r="AF167" s="3"/>
    </row>
    <row r="168" ht="15.75" customHeight="1">
      <c r="J168" s="15"/>
      <c r="K168" s="188"/>
      <c r="L168" s="15"/>
      <c r="M168" s="15"/>
      <c r="N168" s="15"/>
      <c r="O168" s="15"/>
      <c r="P168" s="15"/>
      <c r="Q168" s="15"/>
      <c r="R168" s="15"/>
      <c r="S168" s="15"/>
      <c r="T168" s="15"/>
      <c r="U168" s="15"/>
      <c r="V168" s="15"/>
      <c r="W168" s="15"/>
      <c r="X168" s="14"/>
      <c r="Y168" s="14"/>
      <c r="Z168" s="15"/>
      <c r="AA168" s="3"/>
      <c r="AB168" s="3"/>
      <c r="AC168" s="3"/>
      <c r="AD168" s="3"/>
      <c r="AE168" s="3"/>
      <c r="AF168" s="3"/>
    </row>
    <row r="169" ht="15.75" customHeight="1">
      <c r="J169" s="15"/>
      <c r="K169" s="188"/>
      <c r="L169" s="15"/>
      <c r="M169" s="15"/>
      <c r="N169" s="15"/>
      <c r="O169" s="15"/>
      <c r="P169" s="15"/>
      <c r="Q169" s="15"/>
      <c r="R169" s="15"/>
      <c r="S169" s="15"/>
      <c r="T169" s="15"/>
      <c r="U169" s="15"/>
      <c r="V169" s="15"/>
      <c r="W169" s="15"/>
      <c r="X169" s="14"/>
      <c r="Y169" s="14"/>
      <c r="Z169" s="15"/>
      <c r="AA169" s="3"/>
      <c r="AB169" s="3"/>
      <c r="AC169" s="3"/>
      <c r="AD169" s="3"/>
      <c r="AE169" s="3"/>
      <c r="AF169" s="3"/>
    </row>
    <row r="170" ht="15.75" customHeight="1">
      <c r="J170" s="15"/>
      <c r="K170" s="188"/>
      <c r="L170" s="15"/>
      <c r="M170" s="15"/>
      <c r="N170" s="15"/>
      <c r="O170" s="15"/>
      <c r="P170" s="15"/>
      <c r="Q170" s="15"/>
      <c r="R170" s="15"/>
      <c r="S170" s="15"/>
      <c r="T170" s="15"/>
      <c r="U170" s="15"/>
      <c r="V170" s="15"/>
      <c r="W170" s="15"/>
      <c r="X170" s="14"/>
      <c r="Y170" s="14"/>
      <c r="Z170" s="15"/>
      <c r="AA170" s="3"/>
      <c r="AB170" s="3"/>
      <c r="AC170" s="3"/>
      <c r="AD170" s="3"/>
      <c r="AE170" s="3"/>
      <c r="AF170" s="3"/>
    </row>
    <row r="171" ht="15.75" customHeight="1">
      <c r="J171" s="15"/>
      <c r="K171" s="188"/>
      <c r="L171" s="15"/>
      <c r="M171" s="15"/>
      <c r="N171" s="15"/>
      <c r="O171" s="15"/>
      <c r="P171" s="15"/>
      <c r="Q171" s="15"/>
      <c r="R171" s="15"/>
      <c r="S171" s="15"/>
      <c r="T171" s="15"/>
      <c r="U171" s="15"/>
      <c r="V171" s="15"/>
      <c r="W171" s="15"/>
      <c r="X171" s="14"/>
      <c r="Y171" s="14"/>
      <c r="Z171" s="15"/>
      <c r="AA171" s="3"/>
      <c r="AB171" s="3"/>
      <c r="AC171" s="3"/>
      <c r="AD171" s="3"/>
      <c r="AE171" s="3"/>
      <c r="AF171" s="3"/>
    </row>
    <row r="172" ht="15.75" customHeight="1">
      <c r="J172" s="15"/>
      <c r="K172" s="188"/>
      <c r="L172" s="15"/>
      <c r="M172" s="15"/>
      <c r="N172" s="15"/>
      <c r="O172" s="15"/>
      <c r="P172" s="15"/>
      <c r="Q172" s="15"/>
      <c r="R172" s="15"/>
      <c r="S172" s="15"/>
      <c r="T172" s="15"/>
      <c r="U172" s="15"/>
      <c r="V172" s="15"/>
      <c r="W172" s="15"/>
      <c r="X172" s="14"/>
      <c r="Y172" s="14"/>
      <c r="Z172" s="15"/>
      <c r="AA172" s="3"/>
      <c r="AB172" s="3"/>
      <c r="AC172" s="3"/>
      <c r="AD172" s="3"/>
      <c r="AE172" s="3"/>
      <c r="AF172" s="3"/>
    </row>
    <row r="173" ht="15.75" customHeight="1">
      <c r="J173" s="15"/>
      <c r="K173" s="188"/>
      <c r="L173" s="15"/>
      <c r="M173" s="15"/>
      <c r="N173" s="15"/>
      <c r="O173" s="15"/>
      <c r="P173" s="15"/>
      <c r="Q173" s="15"/>
      <c r="R173" s="15"/>
      <c r="S173" s="15"/>
      <c r="T173" s="15"/>
      <c r="U173" s="15"/>
      <c r="V173" s="15"/>
      <c r="W173" s="15"/>
      <c r="X173" s="14"/>
      <c r="Y173" s="14"/>
      <c r="Z173" s="15"/>
      <c r="AA173" s="3"/>
      <c r="AB173" s="3"/>
      <c r="AC173" s="3"/>
      <c r="AD173" s="3"/>
      <c r="AE173" s="3"/>
      <c r="AF173" s="3"/>
    </row>
    <row r="174" ht="15.75" customHeight="1">
      <c r="J174" s="15"/>
      <c r="K174" s="188"/>
      <c r="L174" s="15"/>
      <c r="M174" s="15"/>
      <c r="N174" s="15"/>
      <c r="O174" s="15"/>
      <c r="P174" s="15"/>
      <c r="Q174" s="15"/>
      <c r="R174" s="15"/>
      <c r="S174" s="15"/>
      <c r="T174" s="15"/>
      <c r="U174" s="15"/>
      <c r="V174" s="15"/>
      <c r="W174" s="15"/>
      <c r="X174" s="14"/>
      <c r="Y174" s="14"/>
      <c r="Z174" s="15"/>
      <c r="AA174" s="3"/>
      <c r="AB174" s="3"/>
      <c r="AC174" s="3"/>
      <c r="AD174" s="3"/>
      <c r="AE174" s="3"/>
      <c r="AF174" s="3"/>
    </row>
    <row r="175" ht="15.75" customHeight="1">
      <c r="J175" s="15"/>
      <c r="K175" s="188"/>
      <c r="L175" s="15"/>
      <c r="M175" s="15"/>
      <c r="N175" s="15"/>
      <c r="O175" s="15"/>
      <c r="P175" s="15"/>
      <c r="Q175" s="15"/>
      <c r="R175" s="15"/>
      <c r="S175" s="15"/>
      <c r="T175" s="15"/>
      <c r="U175" s="15"/>
      <c r="V175" s="15"/>
      <c r="W175" s="15"/>
      <c r="X175" s="14"/>
      <c r="Y175" s="14"/>
      <c r="Z175" s="15"/>
      <c r="AA175" s="3"/>
      <c r="AB175" s="3"/>
      <c r="AC175" s="3"/>
      <c r="AD175" s="3"/>
      <c r="AE175" s="3"/>
      <c r="AF175" s="3"/>
    </row>
    <row r="176" ht="15.75" customHeight="1">
      <c r="J176" s="15"/>
      <c r="K176" s="188"/>
      <c r="L176" s="15"/>
      <c r="M176" s="15"/>
      <c r="N176" s="15"/>
      <c r="O176" s="15"/>
      <c r="P176" s="15"/>
      <c r="Q176" s="15"/>
      <c r="R176" s="15"/>
      <c r="S176" s="15"/>
      <c r="T176" s="15"/>
      <c r="U176" s="15"/>
      <c r="V176" s="15"/>
      <c r="W176" s="15"/>
      <c r="X176" s="14"/>
      <c r="Y176" s="14"/>
      <c r="Z176" s="15"/>
      <c r="AA176" s="3"/>
      <c r="AB176" s="3"/>
      <c r="AC176" s="3"/>
      <c r="AD176" s="3"/>
      <c r="AE176" s="3"/>
      <c r="AF176" s="3"/>
    </row>
    <row r="177" ht="15.75" customHeight="1">
      <c r="J177" s="15"/>
      <c r="K177" s="188"/>
      <c r="L177" s="15"/>
      <c r="M177" s="15"/>
      <c r="N177" s="15"/>
      <c r="O177" s="15"/>
      <c r="P177" s="15"/>
      <c r="Q177" s="15"/>
      <c r="R177" s="15"/>
      <c r="S177" s="15"/>
      <c r="T177" s="15"/>
      <c r="U177" s="15"/>
      <c r="V177" s="15"/>
      <c r="W177" s="15"/>
      <c r="X177" s="14"/>
      <c r="Y177" s="14"/>
      <c r="Z177" s="15"/>
      <c r="AA177" s="3"/>
      <c r="AB177" s="3"/>
      <c r="AC177" s="3"/>
      <c r="AD177" s="3"/>
      <c r="AE177" s="3"/>
      <c r="AF177" s="3"/>
    </row>
    <row r="178" ht="15.75" customHeight="1">
      <c r="J178" s="15"/>
      <c r="K178" s="188"/>
      <c r="L178" s="15"/>
      <c r="M178" s="15"/>
      <c r="N178" s="15"/>
      <c r="O178" s="15"/>
      <c r="P178" s="15"/>
      <c r="Q178" s="15"/>
      <c r="R178" s="15"/>
      <c r="S178" s="15"/>
      <c r="T178" s="15"/>
      <c r="U178" s="15"/>
      <c r="V178" s="15"/>
      <c r="W178" s="15"/>
      <c r="X178" s="14"/>
      <c r="Y178" s="14"/>
      <c r="Z178" s="15"/>
      <c r="AA178" s="3"/>
      <c r="AB178" s="3"/>
      <c r="AC178" s="3"/>
      <c r="AD178" s="3"/>
      <c r="AE178" s="3"/>
      <c r="AF178" s="3"/>
    </row>
    <row r="179" ht="15.75" customHeight="1">
      <c r="J179" s="15"/>
      <c r="K179" s="188"/>
      <c r="L179" s="15"/>
      <c r="M179" s="15"/>
      <c r="N179" s="15"/>
      <c r="O179" s="15"/>
      <c r="P179" s="15"/>
      <c r="Q179" s="15"/>
      <c r="R179" s="15"/>
      <c r="S179" s="15"/>
      <c r="T179" s="15"/>
      <c r="U179" s="15"/>
      <c r="V179" s="15"/>
      <c r="W179" s="15"/>
      <c r="X179" s="14"/>
      <c r="Y179" s="14"/>
      <c r="Z179" s="15"/>
      <c r="AA179" s="3"/>
      <c r="AB179" s="3"/>
      <c r="AC179" s="3"/>
      <c r="AD179" s="3"/>
      <c r="AE179" s="3"/>
      <c r="AF179" s="3"/>
    </row>
    <row r="180" ht="15.75" customHeight="1">
      <c r="J180" s="15"/>
      <c r="K180" s="188"/>
      <c r="L180" s="15"/>
      <c r="M180" s="15"/>
      <c r="N180" s="15"/>
      <c r="O180" s="15"/>
      <c r="P180" s="15"/>
      <c r="Q180" s="15"/>
      <c r="R180" s="15"/>
      <c r="S180" s="15"/>
      <c r="T180" s="15"/>
      <c r="U180" s="15"/>
      <c r="V180" s="15"/>
      <c r="W180" s="15"/>
      <c r="X180" s="14"/>
      <c r="Y180" s="14"/>
      <c r="Z180" s="15"/>
      <c r="AA180" s="3"/>
      <c r="AB180" s="3"/>
      <c r="AC180" s="3"/>
      <c r="AD180" s="3"/>
      <c r="AE180" s="3"/>
      <c r="AF180" s="3"/>
    </row>
    <row r="181" ht="15.75" customHeight="1">
      <c r="J181" s="15"/>
      <c r="K181" s="188"/>
      <c r="L181" s="15"/>
      <c r="M181" s="15"/>
      <c r="N181" s="15"/>
      <c r="O181" s="15"/>
      <c r="P181" s="15"/>
      <c r="Q181" s="15"/>
      <c r="R181" s="15"/>
      <c r="S181" s="15"/>
      <c r="T181" s="15"/>
      <c r="U181" s="15"/>
      <c r="V181" s="15"/>
      <c r="W181" s="15"/>
      <c r="X181" s="14"/>
      <c r="Y181" s="14"/>
      <c r="Z181" s="15"/>
      <c r="AA181" s="3"/>
      <c r="AB181" s="3"/>
      <c r="AC181" s="3"/>
      <c r="AD181" s="3"/>
      <c r="AE181" s="3"/>
      <c r="AF181" s="3"/>
    </row>
    <row r="182" ht="15.75" customHeight="1">
      <c r="J182" s="15"/>
      <c r="K182" s="188"/>
      <c r="L182" s="15"/>
      <c r="M182" s="15"/>
      <c r="N182" s="15"/>
      <c r="O182" s="15"/>
      <c r="P182" s="15"/>
      <c r="Q182" s="15"/>
      <c r="R182" s="15"/>
      <c r="S182" s="15"/>
      <c r="T182" s="15"/>
      <c r="U182" s="15"/>
      <c r="V182" s="15"/>
      <c r="W182" s="15"/>
      <c r="X182" s="14"/>
      <c r="Y182" s="14"/>
      <c r="Z182" s="15"/>
      <c r="AA182" s="3"/>
      <c r="AB182" s="3"/>
      <c r="AC182" s="3"/>
      <c r="AD182" s="3"/>
      <c r="AE182" s="3"/>
      <c r="AF182" s="3"/>
    </row>
    <row r="183" ht="15.75" customHeight="1">
      <c r="J183" s="15"/>
      <c r="K183" s="188"/>
      <c r="L183" s="15"/>
      <c r="M183" s="15"/>
      <c r="N183" s="15"/>
      <c r="O183" s="15"/>
      <c r="P183" s="15"/>
      <c r="Q183" s="15"/>
      <c r="R183" s="15"/>
      <c r="S183" s="15"/>
      <c r="T183" s="15"/>
      <c r="U183" s="15"/>
      <c r="V183" s="15"/>
      <c r="W183" s="15"/>
      <c r="X183" s="14"/>
      <c r="Y183" s="14"/>
      <c r="Z183" s="15"/>
      <c r="AA183" s="3"/>
      <c r="AB183" s="3"/>
      <c r="AC183" s="3"/>
      <c r="AD183" s="3"/>
      <c r="AE183" s="3"/>
      <c r="AF183" s="3"/>
    </row>
    <row r="184" ht="15.75" customHeight="1">
      <c r="J184" s="15"/>
      <c r="K184" s="188"/>
      <c r="L184" s="15"/>
      <c r="M184" s="15"/>
      <c r="N184" s="15"/>
      <c r="O184" s="15"/>
      <c r="P184" s="15"/>
      <c r="Q184" s="15"/>
      <c r="R184" s="15"/>
      <c r="S184" s="15"/>
      <c r="T184" s="15"/>
      <c r="U184" s="15"/>
      <c r="V184" s="15"/>
      <c r="W184" s="15"/>
      <c r="X184" s="14"/>
      <c r="Y184" s="14"/>
      <c r="Z184" s="15"/>
      <c r="AA184" s="3"/>
      <c r="AB184" s="3"/>
      <c r="AC184" s="3"/>
      <c r="AD184" s="3"/>
      <c r="AE184" s="3"/>
      <c r="AF184" s="3"/>
    </row>
    <row r="185" ht="15.75" customHeight="1">
      <c r="J185" s="15"/>
      <c r="K185" s="188"/>
      <c r="L185" s="15"/>
      <c r="M185" s="15"/>
      <c r="N185" s="15"/>
      <c r="O185" s="15"/>
      <c r="P185" s="15"/>
      <c r="Q185" s="15"/>
      <c r="R185" s="15"/>
      <c r="S185" s="15"/>
      <c r="T185" s="15"/>
      <c r="U185" s="15"/>
      <c r="V185" s="15"/>
      <c r="W185" s="15"/>
      <c r="X185" s="14"/>
      <c r="Y185" s="14"/>
      <c r="Z185" s="15"/>
      <c r="AA185" s="3"/>
      <c r="AB185" s="3"/>
      <c r="AC185" s="3"/>
      <c r="AD185" s="3"/>
      <c r="AE185" s="3"/>
      <c r="AF185" s="3"/>
    </row>
    <row r="186" ht="15.75" customHeight="1">
      <c r="J186" s="15"/>
      <c r="K186" s="188"/>
      <c r="L186" s="15"/>
      <c r="M186" s="15"/>
      <c r="N186" s="15"/>
      <c r="O186" s="15"/>
      <c r="P186" s="15"/>
      <c r="Q186" s="15"/>
      <c r="R186" s="15"/>
      <c r="S186" s="15"/>
      <c r="T186" s="15"/>
      <c r="U186" s="15"/>
      <c r="V186" s="15"/>
      <c r="W186" s="15"/>
      <c r="X186" s="14"/>
      <c r="Y186" s="14"/>
      <c r="Z186" s="15"/>
      <c r="AA186" s="3"/>
      <c r="AB186" s="3"/>
      <c r="AC186" s="3"/>
      <c r="AD186" s="3"/>
      <c r="AE186" s="3"/>
      <c r="AF186" s="3"/>
    </row>
    <row r="187" ht="15.75" customHeight="1">
      <c r="J187" s="15"/>
      <c r="K187" s="188"/>
      <c r="L187" s="15"/>
      <c r="M187" s="15"/>
      <c r="N187" s="15"/>
      <c r="O187" s="15"/>
      <c r="P187" s="15"/>
      <c r="Q187" s="15"/>
      <c r="R187" s="15"/>
      <c r="S187" s="15"/>
      <c r="T187" s="15"/>
      <c r="U187" s="15"/>
      <c r="V187" s="15"/>
      <c r="W187" s="15"/>
      <c r="X187" s="14"/>
      <c r="Y187" s="14"/>
      <c r="Z187" s="15"/>
      <c r="AA187" s="3"/>
      <c r="AB187" s="3"/>
      <c r="AC187" s="3"/>
      <c r="AD187" s="3"/>
      <c r="AE187" s="3"/>
      <c r="AF187" s="3"/>
    </row>
    <row r="188" ht="15.75" customHeight="1">
      <c r="J188" s="15"/>
      <c r="K188" s="188"/>
      <c r="L188" s="15"/>
      <c r="M188" s="15"/>
      <c r="N188" s="15"/>
      <c r="O188" s="15"/>
      <c r="P188" s="15"/>
      <c r="Q188" s="15"/>
      <c r="R188" s="15"/>
      <c r="S188" s="15"/>
      <c r="T188" s="15"/>
      <c r="U188" s="15"/>
      <c r="V188" s="15"/>
      <c r="W188" s="15"/>
      <c r="X188" s="14"/>
      <c r="Y188" s="14"/>
      <c r="Z188" s="15"/>
      <c r="AA188" s="3"/>
      <c r="AB188" s="3"/>
      <c r="AC188" s="3"/>
      <c r="AD188" s="3"/>
      <c r="AE188" s="3"/>
      <c r="AF188" s="3"/>
    </row>
    <row r="189" ht="15.75" customHeight="1">
      <c r="J189" s="15"/>
      <c r="K189" s="188"/>
      <c r="L189" s="15"/>
      <c r="M189" s="15"/>
      <c r="N189" s="15"/>
      <c r="O189" s="15"/>
      <c r="P189" s="15"/>
      <c r="Q189" s="15"/>
      <c r="R189" s="15"/>
      <c r="S189" s="15"/>
      <c r="T189" s="15"/>
      <c r="U189" s="15"/>
      <c r="V189" s="15"/>
      <c r="W189" s="15"/>
      <c r="X189" s="14"/>
      <c r="Y189" s="14"/>
      <c r="Z189" s="15"/>
      <c r="AA189" s="3"/>
      <c r="AB189" s="3"/>
      <c r="AC189" s="3"/>
      <c r="AD189" s="3"/>
      <c r="AE189" s="3"/>
      <c r="AF189" s="3"/>
    </row>
    <row r="190" ht="15.75" customHeight="1">
      <c r="J190" s="15"/>
      <c r="K190" s="188"/>
      <c r="L190" s="15"/>
      <c r="M190" s="15"/>
      <c r="N190" s="15"/>
      <c r="O190" s="15"/>
      <c r="P190" s="15"/>
      <c r="Q190" s="15"/>
      <c r="R190" s="15"/>
      <c r="S190" s="15"/>
      <c r="T190" s="15"/>
      <c r="U190" s="15"/>
      <c r="V190" s="15"/>
      <c r="W190" s="15"/>
      <c r="X190" s="14"/>
      <c r="Y190" s="14"/>
      <c r="Z190" s="15"/>
      <c r="AA190" s="3"/>
      <c r="AB190" s="3"/>
      <c r="AC190" s="3"/>
      <c r="AD190" s="3"/>
      <c r="AE190" s="3"/>
      <c r="AF190" s="3"/>
    </row>
    <row r="191" ht="15.75" customHeight="1">
      <c r="J191" s="15"/>
      <c r="K191" s="188"/>
      <c r="L191" s="15"/>
      <c r="M191" s="15"/>
      <c r="N191" s="15"/>
      <c r="O191" s="15"/>
      <c r="P191" s="15"/>
      <c r="Q191" s="15"/>
      <c r="R191" s="15"/>
      <c r="S191" s="15"/>
      <c r="T191" s="15"/>
      <c r="U191" s="15"/>
      <c r="V191" s="15"/>
      <c r="W191" s="15"/>
      <c r="X191" s="14"/>
      <c r="Y191" s="14"/>
      <c r="Z191" s="15"/>
      <c r="AA191" s="3"/>
      <c r="AB191" s="3"/>
      <c r="AC191" s="3"/>
      <c r="AD191" s="3"/>
      <c r="AE191" s="3"/>
      <c r="AF191" s="3"/>
    </row>
    <row r="192" ht="15.75" customHeight="1">
      <c r="J192" s="15"/>
      <c r="K192" s="188"/>
      <c r="L192" s="15"/>
      <c r="M192" s="15"/>
      <c r="N192" s="15"/>
      <c r="O192" s="15"/>
      <c r="P192" s="15"/>
      <c r="Q192" s="15"/>
      <c r="R192" s="15"/>
      <c r="S192" s="15"/>
      <c r="T192" s="15"/>
      <c r="U192" s="15"/>
      <c r="V192" s="15"/>
      <c r="W192" s="15"/>
      <c r="X192" s="14"/>
      <c r="Y192" s="14"/>
      <c r="Z192" s="15"/>
      <c r="AA192" s="3"/>
      <c r="AB192" s="3"/>
      <c r="AC192" s="3"/>
      <c r="AD192" s="3"/>
      <c r="AE192" s="3"/>
      <c r="AF192" s="3"/>
    </row>
    <row r="193" ht="15.75" customHeight="1">
      <c r="J193" s="15"/>
      <c r="K193" s="188"/>
      <c r="L193" s="15"/>
      <c r="M193" s="15"/>
      <c r="N193" s="15"/>
      <c r="O193" s="15"/>
      <c r="P193" s="15"/>
      <c r="Q193" s="15"/>
      <c r="R193" s="15"/>
      <c r="S193" s="15"/>
      <c r="T193" s="15"/>
      <c r="U193" s="15"/>
      <c r="V193" s="15"/>
      <c r="W193" s="15"/>
      <c r="X193" s="14"/>
      <c r="Y193" s="14"/>
      <c r="Z193" s="15"/>
      <c r="AA193" s="3"/>
      <c r="AB193" s="3"/>
      <c r="AC193" s="3"/>
      <c r="AD193" s="3"/>
      <c r="AE193" s="3"/>
      <c r="AF193" s="3"/>
    </row>
    <row r="194" ht="15.75" customHeight="1">
      <c r="J194" s="15"/>
      <c r="K194" s="188"/>
      <c r="L194" s="15"/>
      <c r="M194" s="15"/>
      <c r="N194" s="15"/>
      <c r="O194" s="15"/>
      <c r="P194" s="15"/>
      <c r="Q194" s="15"/>
      <c r="R194" s="15"/>
      <c r="S194" s="15"/>
      <c r="T194" s="15"/>
      <c r="U194" s="15"/>
      <c r="V194" s="15"/>
      <c r="W194" s="15"/>
      <c r="X194" s="14"/>
      <c r="Y194" s="14"/>
      <c r="Z194" s="15"/>
      <c r="AA194" s="3"/>
      <c r="AB194" s="3"/>
      <c r="AC194" s="3"/>
      <c r="AD194" s="3"/>
      <c r="AE194" s="3"/>
      <c r="AF194" s="3"/>
    </row>
    <row r="195" ht="15.75" customHeight="1">
      <c r="J195" s="15"/>
      <c r="K195" s="188"/>
      <c r="L195" s="15"/>
      <c r="M195" s="15"/>
      <c r="N195" s="15"/>
      <c r="O195" s="15"/>
      <c r="P195" s="15"/>
      <c r="Q195" s="15"/>
      <c r="R195" s="15"/>
      <c r="S195" s="15"/>
      <c r="T195" s="15"/>
      <c r="U195" s="15"/>
      <c r="V195" s="15"/>
      <c r="W195" s="15"/>
      <c r="X195" s="14"/>
      <c r="Y195" s="14"/>
      <c r="Z195" s="15"/>
      <c r="AA195" s="3"/>
      <c r="AB195" s="3"/>
      <c r="AC195" s="3"/>
      <c r="AD195" s="3"/>
      <c r="AE195" s="3"/>
      <c r="AF195" s="3"/>
    </row>
    <row r="196" ht="15.75" customHeight="1">
      <c r="J196" s="15"/>
      <c r="K196" s="188"/>
      <c r="L196" s="15"/>
      <c r="M196" s="15"/>
      <c r="N196" s="15"/>
      <c r="O196" s="15"/>
      <c r="P196" s="15"/>
      <c r="Q196" s="15"/>
      <c r="R196" s="15"/>
      <c r="S196" s="15"/>
      <c r="T196" s="15"/>
      <c r="U196" s="15"/>
      <c r="V196" s="15"/>
      <c r="W196" s="15"/>
      <c r="X196" s="14"/>
      <c r="Y196" s="14"/>
      <c r="Z196" s="15"/>
      <c r="AA196" s="3"/>
      <c r="AB196" s="3"/>
      <c r="AC196" s="3"/>
      <c r="AD196" s="3"/>
      <c r="AE196" s="3"/>
      <c r="AF196" s="3"/>
    </row>
    <row r="197" ht="15.75" customHeight="1">
      <c r="J197" s="15"/>
      <c r="K197" s="188"/>
      <c r="L197" s="15"/>
      <c r="M197" s="15"/>
      <c r="N197" s="15"/>
      <c r="O197" s="15"/>
      <c r="P197" s="15"/>
      <c r="Q197" s="15"/>
      <c r="R197" s="15"/>
      <c r="S197" s="15"/>
      <c r="T197" s="15"/>
      <c r="U197" s="15"/>
      <c r="V197" s="15"/>
      <c r="W197" s="15"/>
      <c r="X197" s="14"/>
      <c r="Y197" s="14"/>
      <c r="Z197" s="15"/>
      <c r="AA197" s="3"/>
      <c r="AB197" s="3"/>
      <c r="AC197" s="3"/>
      <c r="AD197" s="3"/>
      <c r="AE197" s="3"/>
      <c r="AF197" s="3"/>
    </row>
    <row r="198" ht="15.75" customHeight="1">
      <c r="J198" s="15"/>
      <c r="K198" s="188"/>
      <c r="L198" s="15"/>
      <c r="M198" s="15"/>
      <c r="N198" s="15"/>
      <c r="O198" s="15"/>
      <c r="P198" s="15"/>
      <c r="Q198" s="15"/>
      <c r="R198" s="15"/>
      <c r="S198" s="15"/>
      <c r="T198" s="15"/>
      <c r="U198" s="15"/>
      <c r="V198" s="15"/>
      <c r="W198" s="15"/>
      <c r="X198" s="14"/>
      <c r="Y198" s="14"/>
      <c r="Z198" s="15"/>
      <c r="AA198" s="3"/>
      <c r="AB198" s="3"/>
      <c r="AC198" s="3"/>
      <c r="AD198" s="3"/>
      <c r="AE198" s="3"/>
      <c r="AF198" s="3"/>
    </row>
    <row r="199" ht="15.75" customHeight="1">
      <c r="J199" s="15"/>
      <c r="K199" s="188"/>
      <c r="L199" s="15"/>
      <c r="M199" s="15"/>
      <c r="N199" s="15"/>
      <c r="O199" s="15"/>
      <c r="P199" s="15"/>
      <c r="Q199" s="15"/>
      <c r="R199" s="15"/>
      <c r="S199" s="15"/>
      <c r="T199" s="15"/>
      <c r="U199" s="15"/>
      <c r="V199" s="15"/>
      <c r="W199" s="15"/>
      <c r="X199" s="14"/>
      <c r="Y199" s="14"/>
      <c r="Z199" s="15"/>
      <c r="AA199" s="3"/>
      <c r="AB199" s="3"/>
      <c r="AC199" s="3"/>
      <c r="AD199" s="3"/>
      <c r="AE199" s="3"/>
      <c r="AF199" s="3"/>
    </row>
    <row r="200" ht="15.75" customHeight="1">
      <c r="J200" s="15"/>
      <c r="K200" s="188"/>
      <c r="L200" s="15"/>
      <c r="M200" s="15"/>
      <c r="N200" s="15"/>
      <c r="O200" s="15"/>
      <c r="P200" s="15"/>
      <c r="Q200" s="15"/>
      <c r="R200" s="15"/>
      <c r="S200" s="15"/>
      <c r="T200" s="15"/>
      <c r="U200" s="15"/>
      <c r="V200" s="15"/>
      <c r="W200" s="15"/>
      <c r="X200" s="14"/>
      <c r="Y200" s="14"/>
      <c r="Z200" s="15"/>
      <c r="AA200" s="3"/>
      <c r="AB200" s="3"/>
      <c r="AC200" s="3"/>
      <c r="AD200" s="3"/>
      <c r="AE200" s="3"/>
      <c r="AF200" s="3"/>
    </row>
    <row r="201" ht="15.75" customHeight="1">
      <c r="J201" s="15"/>
      <c r="K201" s="188"/>
      <c r="L201" s="15"/>
      <c r="M201" s="15"/>
      <c r="N201" s="15"/>
      <c r="O201" s="15"/>
      <c r="P201" s="15"/>
      <c r="Q201" s="15"/>
      <c r="R201" s="15"/>
      <c r="S201" s="15"/>
      <c r="T201" s="15"/>
      <c r="U201" s="15"/>
      <c r="V201" s="15"/>
      <c r="W201" s="15"/>
      <c r="X201" s="14"/>
      <c r="Y201" s="14"/>
      <c r="Z201" s="15"/>
      <c r="AA201" s="3"/>
      <c r="AB201" s="3"/>
      <c r="AC201" s="3"/>
      <c r="AD201" s="3"/>
      <c r="AE201" s="3"/>
      <c r="AF201" s="3"/>
    </row>
    <row r="202" ht="15.75" customHeight="1">
      <c r="J202" s="15"/>
      <c r="K202" s="188"/>
      <c r="L202" s="15"/>
      <c r="M202" s="15"/>
      <c r="N202" s="15"/>
      <c r="O202" s="15"/>
      <c r="P202" s="15"/>
      <c r="Q202" s="15"/>
      <c r="R202" s="15"/>
      <c r="S202" s="15"/>
      <c r="T202" s="15"/>
      <c r="U202" s="15"/>
      <c r="V202" s="15"/>
      <c r="W202" s="15"/>
      <c r="X202" s="14"/>
      <c r="Y202" s="14"/>
      <c r="Z202" s="15"/>
      <c r="AA202" s="3"/>
      <c r="AB202" s="3"/>
      <c r="AC202" s="3"/>
      <c r="AD202" s="3"/>
      <c r="AE202" s="3"/>
      <c r="AF202" s="3"/>
    </row>
    <row r="203" ht="15.75" customHeight="1">
      <c r="J203" s="15"/>
      <c r="K203" s="188"/>
      <c r="L203" s="15"/>
      <c r="M203" s="15"/>
      <c r="N203" s="15"/>
      <c r="O203" s="15"/>
      <c r="P203" s="15"/>
      <c r="Q203" s="15"/>
      <c r="R203" s="15"/>
      <c r="S203" s="15"/>
      <c r="T203" s="15"/>
      <c r="U203" s="15"/>
      <c r="V203" s="15"/>
      <c r="W203" s="15"/>
      <c r="X203" s="14"/>
      <c r="Y203" s="14"/>
      <c r="Z203" s="15"/>
      <c r="AA203" s="3"/>
      <c r="AB203" s="3"/>
      <c r="AC203" s="3"/>
      <c r="AD203" s="3"/>
      <c r="AE203" s="3"/>
      <c r="AF203" s="3"/>
    </row>
    <row r="204" ht="15.75" customHeight="1">
      <c r="J204" s="15"/>
      <c r="K204" s="188"/>
      <c r="L204" s="15"/>
      <c r="M204" s="15"/>
      <c r="N204" s="15"/>
      <c r="O204" s="15"/>
      <c r="P204" s="15"/>
      <c r="Q204" s="15"/>
      <c r="R204" s="15"/>
      <c r="S204" s="15"/>
      <c r="T204" s="15"/>
      <c r="U204" s="15"/>
      <c r="V204" s="15"/>
      <c r="W204" s="15"/>
      <c r="X204" s="14"/>
      <c r="Y204" s="14"/>
      <c r="Z204" s="15"/>
      <c r="AA204" s="3"/>
      <c r="AB204" s="3"/>
      <c r="AC204" s="3"/>
      <c r="AD204" s="3"/>
      <c r="AE204" s="3"/>
      <c r="AF204" s="3"/>
    </row>
    <row r="205" ht="15.75" customHeight="1">
      <c r="J205" s="15"/>
      <c r="K205" s="188"/>
      <c r="L205" s="15"/>
      <c r="M205" s="15"/>
      <c r="N205" s="15"/>
      <c r="O205" s="15"/>
      <c r="P205" s="15"/>
      <c r="Q205" s="15"/>
      <c r="R205" s="15"/>
      <c r="S205" s="15"/>
      <c r="T205" s="15"/>
      <c r="U205" s="15"/>
      <c r="V205" s="15"/>
      <c r="W205" s="15"/>
      <c r="X205" s="14"/>
      <c r="Y205" s="14"/>
      <c r="Z205" s="15"/>
      <c r="AA205" s="3"/>
      <c r="AB205" s="3"/>
      <c r="AC205" s="3"/>
      <c r="AD205" s="3"/>
      <c r="AE205" s="3"/>
      <c r="AF205" s="3"/>
    </row>
    <row r="206" ht="15.75" customHeight="1">
      <c r="J206" s="15"/>
      <c r="K206" s="188"/>
      <c r="L206" s="15"/>
      <c r="M206" s="15"/>
      <c r="N206" s="15"/>
      <c r="O206" s="15"/>
      <c r="P206" s="15"/>
      <c r="Q206" s="15"/>
      <c r="R206" s="15"/>
      <c r="S206" s="15"/>
      <c r="T206" s="15"/>
      <c r="U206" s="15"/>
      <c r="V206" s="15"/>
      <c r="W206" s="15"/>
      <c r="X206" s="14"/>
      <c r="Y206" s="14"/>
      <c r="Z206" s="15"/>
      <c r="AA206" s="3"/>
      <c r="AB206" s="3"/>
      <c r="AC206" s="3"/>
      <c r="AD206" s="3"/>
      <c r="AE206" s="3"/>
      <c r="AF206" s="3"/>
    </row>
    <row r="207" ht="15.75" customHeight="1">
      <c r="J207" s="15"/>
      <c r="K207" s="188"/>
      <c r="L207" s="15"/>
      <c r="M207" s="15"/>
      <c r="N207" s="15"/>
      <c r="O207" s="15"/>
      <c r="P207" s="15"/>
      <c r="Q207" s="15"/>
      <c r="R207" s="15"/>
      <c r="S207" s="15"/>
      <c r="T207" s="15"/>
      <c r="U207" s="15"/>
      <c r="V207" s="15"/>
      <c r="W207" s="15"/>
      <c r="X207" s="14"/>
      <c r="Y207" s="14"/>
      <c r="Z207" s="15"/>
      <c r="AA207" s="3"/>
      <c r="AB207" s="3"/>
      <c r="AC207" s="3"/>
      <c r="AD207" s="3"/>
      <c r="AE207" s="3"/>
      <c r="AF207" s="3"/>
    </row>
    <row r="208" ht="15.75" customHeight="1">
      <c r="J208" s="15"/>
      <c r="K208" s="188"/>
      <c r="L208" s="15"/>
      <c r="M208" s="15"/>
      <c r="N208" s="15"/>
      <c r="O208" s="15"/>
      <c r="P208" s="15"/>
      <c r="Q208" s="15"/>
      <c r="R208" s="15"/>
      <c r="S208" s="15"/>
      <c r="T208" s="15"/>
      <c r="U208" s="15"/>
      <c r="V208" s="15"/>
      <c r="W208" s="15"/>
      <c r="X208" s="14"/>
      <c r="Y208" s="14"/>
      <c r="Z208" s="15"/>
      <c r="AA208" s="3"/>
      <c r="AB208" s="3"/>
      <c r="AC208" s="3"/>
      <c r="AD208" s="3"/>
      <c r="AE208" s="3"/>
      <c r="AF208" s="3"/>
    </row>
    <row r="209" ht="15.75" customHeight="1">
      <c r="J209" s="15"/>
      <c r="K209" s="188"/>
      <c r="L209" s="15"/>
      <c r="M209" s="15"/>
      <c r="N209" s="15"/>
      <c r="O209" s="15"/>
      <c r="P209" s="15"/>
      <c r="Q209" s="15"/>
      <c r="R209" s="15"/>
      <c r="S209" s="15"/>
      <c r="T209" s="15"/>
      <c r="U209" s="15"/>
      <c r="V209" s="15"/>
      <c r="W209" s="15"/>
      <c r="X209" s="14"/>
      <c r="Y209" s="14"/>
      <c r="Z209" s="15"/>
      <c r="AA209" s="3"/>
      <c r="AB209" s="3"/>
      <c r="AC209" s="3"/>
      <c r="AD209" s="3"/>
      <c r="AE209" s="3"/>
      <c r="AF209" s="3"/>
    </row>
    <row r="210" ht="15.75" customHeight="1">
      <c r="J210" s="15"/>
      <c r="K210" s="188"/>
      <c r="L210" s="15"/>
      <c r="M210" s="15"/>
      <c r="N210" s="15"/>
      <c r="O210" s="15"/>
      <c r="P210" s="15"/>
      <c r="Q210" s="15"/>
      <c r="R210" s="15"/>
      <c r="S210" s="15"/>
      <c r="T210" s="15"/>
      <c r="U210" s="15"/>
      <c r="V210" s="15"/>
      <c r="W210" s="15"/>
      <c r="X210" s="14"/>
      <c r="Y210" s="14"/>
      <c r="Z210" s="15"/>
      <c r="AA210" s="3"/>
      <c r="AB210" s="3"/>
      <c r="AC210" s="3"/>
      <c r="AD210" s="3"/>
      <c r="AE210" s="3"/>
      <c r="AF210" s="3"/>
    </row>
    <row r="211" ht="15.75" customHeight="1">
      <c r="J211" s="15"/>
      <c r="K211" s="188"/>
      <c r="L211" s="15"/>
      <c r="M211" s="15"/>
      <c r="N211" s="15"/>
      <c r="O211" s="15"/>
      <c r="P211" s="15"/>
      <c r="Q211" s="15"/>
      <c r="R211" s="15"/>
      <c r="S211" s="15"/>
      <c r="T211" s="15"/>
      <c r="U211" s="15"/>
      <c r="V211" s="15"/>
      <c r="W211" s="15"/>
      <c r="X211" s="14"/>
      <c r="Y211" s="14"/>
      <c r="Z211" s="15"/>
      <c r="AA211" s="3"/>
      <c r="AB211" s="3"/>
      <c r="AC211" s="3"/>
      <c r="AD211" s="3"/>
      <c r="AE211" s="3"/>
      <c r="AF211" s="3"/>
    </row>
    <row r="212" ht="15.75" customHeight="1">
      <c r="J212" s="15"/>
      <c r="K212" s="188"/>
      <c r="L212" s="15"/>
      <c r="M212" s="15"/>
      <c r="N212" s="15"/>
      <c r="O212" s="15"/>
      <c r="P212" s="15"/>
      <c r="Q212" s="15"/>
      <c r="R212" s="15"/>
      <c r="S212" s="15"/>
      <c r="T212" s="15"/>
      <c r="U212" s="15"/>
      <c r="V212" s="15"/>
      <c r="W212" s="15"/>
      <c r="X212" s="14"/>
      <c r="Y212" s="14"/>
      <c r="Z212" s="15"/>
      <c r="AA212" s="3"/>
      <c r="AB212" s="3"/>
      <c r="AC212" s="3"/>
      <c r="AD212" s="3"/>
      <c r="AE212" s="3"/>
      <c r="AF212" s="3"/>
    </row>
    <row r="213" ht="15.75" customHeight="1">
      <c r="J213" s="15"/>
      <c r="K213" s="188"/>
      <c r="L213" s="15"/>
      <c r="M213" s="15"/>
      <c r="N213" s="15"/>
      <c r="O213" s="15"/>
      <c r="P213" s="15"/>
      <c r="Q213" s="15"/>
      <c r="R213" s="15"/>
      <c r="S213" s="15"/>
      <c r="T213" s="15"/>
      <c r="U213" s="15"/>
      <c r="V213" s="15"/>
      <c r="W213" s="15"/>
      <c r="X213" s="14"/>
      <c r="Y213" s="14"/>
      <c r="Z213" s="15"/>
      <c r="AA213" s="3"/>
      <c r="AB213" s="3"/>
      <c r="AC213" s="3"/>
      <c r="AD213" s="3"/>
      <c r="AE213" s="3"/>
      <c r="AF213" s="3"/>
    </row>
    <row r="214" ht="15.75" customHeight="1">
      <c r="J214" s="15"/>
      <c r="K214" s="188"/>
      <c r="L214" s="15"/>
      <c r="M214" s="15"/>
      <c r="N214" s="15"/>
      <c r="O214" s="15"/>
      <c r="P214" s="15"/>
      <c r="Q214" s="15"/>
      <c r="R214" s="15"/>
      <c r="S214" s="15"/>
      <c r="T214" s="15"/>
      <c r="U214" s="15"/>
      <c r="V214" s="15"/>
      <c r="W214" s="15"/>
      <c r="X214" s="14"/>
      <c r="Y214" s="14"/>
      <c r="Z214" s="15"/>
      <c r="AA214" s="3"/>
      <c r="AB214" s="3"/>
      <c r="AC214" s="3"/>
      <c r="AD214" s="3"/>
      <c r="AE214" s="3"/>
      <c r="AF214" s="3"/>
    </row>
    <row r="215" ht="15.75" customHeight="1">
      <c r="J215" s="15"/>
      <c r="K215" s="188"/>
      <c r="L215" s="15"/>
      <c r="M215" s="15"/>
      <c r="N215" s="15"/>
      <c r="O215" s="15"/>
      <c r="P215" s="15"/>
      <c r="Q215" s="15"/>
      <c r="R215" s="15"/>
      <c r="S215" s="15"/>
      <c r="T215" s="15"/>
      <c r="U215" s="15"/>
      <c r="V215" s="15"/>
      <c r="W215" s="15"/>
      <c r="X215" s="14"/>
      <c r="Y215" s="14"/>
      <c r="Z215" s="15"/>
      <c r="AA215" s="3"/>
      <c r="AB215" s="3"/>
      <c r="AC215" s="3"/>
      <c r="AD215" s="3"/>
      <c r="AE215" s="3"/>
      <c r="AF215" s="3"/>
    </row>
    <row r="216" ht="15.75" customHeight="1">
      <c r="J216" s="15"/>
      <c r="K216" s="188"/>
      <c r="L216" s="15"/>
      <c r="M216" s="15"/>
      <c r="N216" s="15"/>
      <c r="O216" s="15"/>
      <c r="P216" s="15"/>
      <c r="Q216" s="15"/>
      <c r="R216" s="15"/>
      <c r="S216" s="15"/>
      <c r="T216" s="15"/>
      <c r="U216" s="15"/>
      <c r="V216" s="15"/>
      <c r="W216" s="15"/>
      <c r="X216" s="14"/>
      <c r="Y216" s="14"/>
      <c r="Z216" s="15"/>
      <c r="AA216" s="3"/>
      <c r="AB216" s="3"/>
      <c r="AC216" s="3"/>
      <c r="AD216" s="3"/>
      <c r="AE216" s="3"/>
      <c r="AF216" s="3"/>
    </row>
    <row r="217" ht="15.75" customHeight="1">
      <c r="J217" s="15"/>
      <c r="K217" s="188"/>
      <c r="L217" s="15"/>
      <c r="M217" s="15"/>
      <c r="N217" s="15"/>
      <c r="O217" s="15"/>
      <c r="P217" s="15"/>
      <c r="Q217" s="15"/>
      <c r="R217" s="15"/>
      <c r="S217" s="15"/>
      <c r="T217" s="15"/>
      <c r="U217" s="15"/>
      <c r="V217" s="15"/>
      <c r="W217" s="15"/>
      <c r="X217" s="14"/>
      <c r="Y217" s="14"/>
      <c r="Z217" s="15"/>
      <c r="AA217" s="3"/>
      <c r="AB217" s="3"/>
      <c r="AC217" s="3"/>
      <c r="AD217" s="3"/>
      <c r="AE217" s="3"/>
      <c r="AF217" s="3"/>
    </row>
    <row r="218" ht="15.75" customHeight="1">
      <c r="J218" s="15"/>
      <c r="K218" s="188"/>
      <c r="L218" s="15"/>
      <c r="M218" s="15"/>
      <c r="N218" s="15"/>
      <c r="O218" s="15"/>
      <c r="P218" s="15"/>
      <c r="Q218" s="15"/>
      <c r="R218" s="15"/>
      <c r="S218" s="15"/>
      <c r="T218" s="15"/>
      <c r="U218" s="15"/>
      <c r="V218" s="15"/>
      <c r="W218" s="15"/>
      <c r="X218" s="14"/>
      <c r="Y218" s="14"/>
      <c r="Z218" s="15"/>
      <c r="AA218" s="3"/>
      <c r="AB218" s="3"/>
      <c r="AC218" s="3"/>
      <c r="AD218" s="3"/>
      <c r="AE218" s="3"/>
      <c r="AF218" s="3"/>
    </row>
    <row r="219" ht="15.75" customHeight="1">
      <c r="J219" s="15"/>
      <c r="K219" s="188"/>
      <c r="L219" s="15"/>
      <c r="M219" s="15"/>
      <c r="N219" s="15"/>
      <c r="O219" s="15"/>
      <c r="P219" s="15"/>
      <c r="Q219" s="15"/>
      <c r="R219" s="15"/>
      <c r="S219" s="15"/>
      <c r="T219" s="15"/>
      <c r="U219" s="15"/>
      <c r="V219" s="15"/>
      <c r="W219" s="15"/>
      <c r="X219" s="14"/>
      <c r="Y219" s="14"/>
      <c r="Z219" s="15"/>
      <c r="AA219" s="3"/>
      <c r="AB219" s="3"/>
      <c r="AC219" s="3"/>
      <c r="AD219" s="3"/>
      <c r="AE219" s="3"/>
      <c r="AF219" s="3"/>
    </row>
    <row r="220" ht="15.75" customHeight="1">
      <c r="J220" s="15"/>
      <c r="K220" s="188"/>
      <c r="L220" s="15"/>
      <c r="M220" s="15"/>
      <c r="N220" s="15"/>
      <c r="O220" s="15"/>
      <c r="P220" s="15"/>
      <c r="Q220" s="15"/>
      <c r="R220" s="15"/>
      <c r="S220" s="15"/>
      <c r="T220" s="15"/>
      <c r="U220" s="15"/>
      <c r="V220" s="15"/>
      <c r="W220" s="15"/>
      <c r="X220" s="14"/>
      <c r="Y220" s="14"/>
      <c r="Z220" s="15"/>
      <c r="AA220" s="3"/>
      <c r="AB220" s="3"/>
      <c r="AC220" s="3"/>
      <c r="AD220" s="3"/>
      <c r="AE220" s="3"/>
      <c r="AF220" s="3"/>
    </row>
    <row r="221" ht="15.75" customHeight="1">
      <c r="J221" s="15"/>
      <c r="K221" s="188"/>
      <c r="L221" s="15"/>
      <c r="M221" s="15"/>
      <c r="N221" s="15"/>
      <c r="O221" s="15"/>
      <c r="P221" s="15"/>
      <c r="Q221" s="15"/>
      <c r="R221" s="15"/>
      <c r="S221" s="15"/>
      <c r="T221" s="15"/>
      <c r="U221" s="15"/>
      <c r="V221" s="15"/>
      <c r="W221" s="15"/>
      <c r="X221" s="14"/>
      <c r="Y221" s="14"/>
      <c r="Z221" s="15"/>
      <c r="AA221" s="3"/>
      <c r="AB221" s="3"/>
      <c r="AC221" s="3"/>
      <c r="AD221" s="3"/>
      <c r="AE221" s="3"/>
      <c r="AF221" s="3"/>
    </row>
    <row r="222" ht="15.75" customHeight="1">
      <c r="J222" s="15"/>
      <c r="K222" s="188"/>
      <c r="L222" s="15"/>
      <c r="M222" s="15"/>
      <c r="N222" s="15"/>
      <c r="O222" s="15"/>
      <c r="P222" s="15"/>
      <c r="Q222" s="15"/>
      <c r="R222" s="15"/>
      <c r="S222" s="15"/>
      <c r="T222" s="15"/>
      <c r="U222" s="15"/>
      <c r="V222" s="15"/>
      <c r="W222" s="15"/>
      <c r="X222" s="14"/>
      <c r="Y222" s="14"/>
      <c r="Z222" s="15"/>
      <c r="AA222" s="3"/>
      <c r="AB222" s="3"/>
      <c r="AC222" s="3"/>
      <c r="AD222" s="3"/>
      <c r="AE222" s="3"/>
      <c r="AF222" s="3"/>
    </row>
    <row r="223" ht="15.75" customHeight="1">
      <c r="J223" s="15"/>
      <c r="K223" s="188"/>
      <c r="L223" s="15"/>
      <c r="M223" s="15"/>
      <c r="N223" s="15"/>
      <c r="O223" s="15"/>
      <c r="P223" s="15"/>
      <c r="Q223" s="15"/>
      <c r="R223" s="15"/>
      <c r="S223" s="15"/>
      <c r="T223" s="15"/>
      <c r="U223" s="15"/>
      <c r="V223" s="15"/>
      <c r="W223" s="15"/>
      <c r="X223" s="14"/>
      <c r="Y223" s="14"/>
      <c r="Z223" s="15"/>
      <c r="AA223" s="3"/>
      <c r="AB223" s="3"/>
      <c r="AC223" s="3"/>
      <c r="AD223" s="3"/>
      <c r="AE223" s="3"/>
      <c r="AF223" s="3"/>
    </row>
    <row r="224" ht="15.75" customHeight="1">
      <c r="J224" s="15"/>
      <c r="K224" s="188"/>
      <c r="L224" s="15"/>
      <c r="M224" s="15"/>
      <c r="N224" s="15"/>
      <c r="O224" s="15"/>
      <c r="P224" s="15"/>
      <c r="Q224" s="15"/>
      <c r="R224" s="15"/>
      <c r="S224" s="15"/>
      <c r="T224" s="15"/>
      <c r="U224" s="15"/>
      <c r="V224" s="15"/>
      <c r="W224" s="15"/>
      <c r="X224" s="14"/>
      <c r="Y224" s="14"/>
      <c r="Z224" s="15"/>
      <c r="AA224" s="3"/>
      <c r="AB224" s="3"/>
      <c r="AC224" s="3"/>
      <c r="AD224" s="3"/>
      <c r="AE224" s="3"/>
      <c r="AF224" s="3"/>
    </row>
    <row r="225" ht="15.75" customHeight="1">
      <c r="J225" s="15"/>
      <c r="K225" s="188"/>
      <c r="L225" s="15"/>
      <c r="M225" s="15"/>
      <c r="N225" s="15"/>
      <c r="O225" s="15"/>
      <c r="P225" s="15"/>
      <c r="Q225" s="15"/>
      <c r="R225" s="15"/>
      <c r="S225" s="15"/>
      <c r="T225" s="15"/>
      <c r="U225" s="15"/>
      <c r="V225" s="15"/>
      <c r="W225" s="15"/>
      <c r="X225" s="14"/>
      <c r="Y225" s="14"/>
      <c r="Z225" s="15"/>
      <c r="AA225" s="3"/>
      <c r="AB225" s="3"/>
      <c r="AC225" s="3"/>
      <c r="AD225" s="3"/>
      <c r="AE225" s="3"/>
      <c r="AF225" s="3"/>
    </row>
    <row r="226" ht="15.75" customHeight="1">
      <c r="J226" s="15"/>
      <c r="K226" s="188"/>
      <c r="L226" s="15"/>
      <c r="M226" s="15"/>
      <c r="N226" s="15"/>
      <c r="O226" s="15"/>
      <c r="P226" s="15"/>
      <c r="Q226" s="15"/>
      <c r="R226" s="15"/>
      <c r="S226" s="15"/>
      <c r="T226" s="15"/>
      <c r="U226" s="15"/>
      <c r="V226" s="15"/>
      <c r="W226" s="15"/>
      <c r="X226" s="14"/>
      <c r="Y226" s="14"/>
      <c r="Z226" s="15"/>
      <c r="AA226" s="3"/>
      <c r="AB226" s="3"/>
      <c r="AC226" s="3"/>
      <c r="AD226" s="3"/>
      <c r="AE226" s="3"/>
      <c r="AF226" s="3"/>
    </row>
    <row r="227" ht="15.75" customHeight="1">
      <c r="J227" s="15"/>
      <c r="K227" s="188"/>
      <c r="L227" s="15"/>
      <c r="M227" s="15"/>
      <c r="N227" s="15"/>
      <c r="O227" s="15"/>
      <c r="P227" s="15"/>
      <c r="Q227" s="15"/>
      <c r="R227" s="15"/>
      <c r="S227" s="15"/>
      <c r="T227" s="15"/>
      <c r="U227" s="15"/>
      <c r="V227" s="15"/>
      <c r="W227" s="15"/>
      <c r="X227" s="14"/>
      <c r="Y227" s="14"/>
      <c r="Z227" s="15"/>
      <c r="AA227" s="3"/>
      <c r="AB227" s="3"/>
      <c r="AC227" s="3"/>
      <c r="AD227" s="3"/>
      <c r="AE227" s="3"/>
      <c r="AF227" s="3"/>
    </row>
    <row r="228" ht="15.75" customHeight="1">
      <c r="J228" s="15"/>
      <c r="K228" s="188"/>
      <c r="L228" s="15"/>
      <c r="M228" s="15"/>
      <c r="N228" s="15"/>
      <c r="O228" s="15"/>
      <c r="P228" s="15"/>
      <c r="Q228" s="15"/>
      <c r="R228" s="15"/>
      <c r="S228" s="15"/>
      <c r="T228" s="15"/>
      <c r="U228" s="15"/>
      <c r="V228" s="15"/>
      <c r="W228" s="15"/>
      <c r="X228" s="14"/>
      <c r="Y228" s="14"/>
      <c r="Z228" s="15"/>
      <c r="AA228" s="3"/>
      <c r="AB228" s="3"/>
      <c r="AC228" s="3"/>
      <c r="AD228" s="3"/>
      <c r="AE228" s="3"/>
      <c r="AF228" s="3"/>
    </row>
    <row r="229" ht="15.75" customHeight="1">
      <c r="J229" s="15"/>
      <c r="K229" s="188"/>
      <c r="L229" s="15"/>
      <c r="M229" s="15"/>
      <c r="N229" s="15"/>
      <c r="O229" s="15"/>
      <c r="P229" s="15"/>
      <c r="Q229" s="15"/>
      <c r="R229" s="15"/>
      <c r="S229" s="15"/>
      <c r="T229" s="15"/>
      <c r="U229" s="15"/>
      <c r="V229" s="15"/>
      <c r="W229" s="15"/>
      <c r="X229" s="14"/>
      <c r="Y229" s="14"/>
      <c r="Z229" s="15"/>
      <c r="AA229" s="3"/>
      <c r="AB229" s="3"/>
      <c r="AC229" s="3"/>
      <c r="AD229" s="3"/>
      <c r="AE229" s="3"/>
      <c r="AF229" s="3"/>
    </row>
    <row r="230" ht="15.75" customHeight="1">
      <c r="J230" s="15"/>
      <c r="K230" s="188"/>
      <c r="L230" s="15"/>
      <c r="M230" s="15"/>
      <c r="N230" s="15"/>
      <c r="O230" s="15"/>
      <c r="P230" s="15"/>
      <c r="Q230" s="15"/>
      <c r="R230" s="15"/>
      <c r="S230" s="15"/>
      <c r="T230" s="15"/>
      <c r="U230" s="15"/>
      <c r="V230" s="15"/>
      <c r="W230" s="15"/>
      <c r="X230" s="14"/>
      <c r="Y230" s="14"/>
      <c r="Z230" s="15"/>
      <c r="AA230" s="3"/>
      <c r="AB230" s="3"/>
      <c r="AC230" s="3"/>
      <c r="AD230" s="3"/>
      <c r="AE230" s="3"/>
      <c r="AF230" s="3"/>
    </row>
    <row r="231" ht="15.75" customHeight="1">
      <c r="J231" s="15"/>
      <c r="K231" s="188"/>
      <c r="L231" s="15"/>
      <c r="M231" s="15"/>
      <c r="N231" s="15"/>
      <c r="O231" s="15"/>
      <c r="P231" s="15"/>
      <c r="Q231" s="15"/>
      <c r="R231" s="15"/>
      <c r="S231" s="15"/>
      <c r="T231" s="15"/>
      <c r="U231" s="15"/>
      <c r="V231" s="15"/>
      <c r="W231" s="15"/>
      <c r="X231" s="14"/>
      <c r="Y231" s="14"/>
      <c r="Z231" s="15"/>
      <c r="AA231" s="3"/>
      <c r="AB231" s="3"/>
      <c r="AC231" s="3"/>
      <c r="AD231" s="3"/>
      <c r="AE231" s="3"/>
      <c r="AF231" s="3"/>
    </row>
    <row r="232" ht="15.75" customHeight="1">
      <c r="J232" s="15"/>
      <c r="K232" s="188"/>
      <c r="L232" s="15"/>
      <c r="M232" s="15"/>
      <c r="N232" s="15"/>
      <c r="O232" s="15"/>
      <c r="P232" s="15"/>
      <c r="Q232" s="15"/>
      <c r="R232" s="15"/>
      <c r="S232" s="15"/>
      <c r="T232" s="15"/>
      <c r="U232" s="15"/>
      <c r="V232" s="15"/>
      <c r="W232" s="15"/>
      <c r="X232" s="14"/>
      <c r="Y232" s="14"/>
      <c r="Z232" s="15"/>
      <c r="AA232" s="3"/>
      <c r="AB232" s="3"/>
      <c r="AC232" s="3"/>
      <c r="AD232" s="3"/>
      <c r="AE232" s="3"/>
      <c r="AF232" s="3"/>
    </row>
    <row r="233" ht="15.75" customHeight="1">
      <c r="J233" s="15"/>
      <c r="K233" s="188"/>
      <c r="L233" s="15"/>
      <c r="M233" s="15"/>
      <c r="N233" s="15"/>
      <c r="O233" s="15"/>
      <c r="P233" s="15"/>
      <c r="Q233" s="15"/>
      <c r="R233" s="15"/>
      <c r="S233" s="15"/>
      <c r="T233" s="15"/>
      <c r="U233" s="15"/>
      <c r="V233" s="15"/>
      <c r="W233" s="15"/>
      <c r="X233" s="14"/>
      <c r="Y233" s="14"/>
      <c r="Z233" s="15"/>
      <c r="AA233" s="3"/>
      <c r="AB233" s="3"/>
      <c r="AC233" s="3"/>
      <c r="AD233" s="3"/>
      <c r="AE233" s="3"/>
      <c r="AF233" s="3"/>
    </row>
    <row r="234" ht="15.75" customHeight="1">
      <c r="J234" s="15"/>
      <c r="K234" s="188"/>
      <c r="L234" s="15"/>
      <c r="M234" s="15"/>
      <c r="N234" s="15"/>
      <c r="O234" s="15"/>
      <c r="P234" s="15"/>
      <c r="Q234" s="15"/>
      <c r="R234" s="15"/>
      <c r="S234" s="15"/>
      <c r="T234" s="15"/>
      <c r="U234" s="15"/>
      <c r="V234" s="15"/>
      <c r="W234" s="15"/>
      <c r="X234" s="14"/>
      <c r="Y234" s="14"/>
      <c r="Z234" s="15"/>
      <c r="AA234" s="3"/>
      <c r="AB234" s="3"/>
      <c r="AC234" s="3"/>
      <c r="AD234" s="3"/>
      <c r="AE234" s="3"/>
      <c r="AF234" s="3"/>
    </row>
    <row r="235" ht="15.75" customHeight="1">
      <c r="J235" s="15"/>
      <c r="K235" s="188"/>
      <c r="L235" s="15"/>
      <c r="M235" s="15"/>
      <c r="N235" s="15"/>
      <c r="O235" s="15"/>
      <c r="P235" s="15"/>
      <c r="Q235" s="15"/>
      <c r="R235" s="15"/>
      <c r="S235" s="15"/>
      <c r="T235" s="15"/>
      <c r="U235" s="15"/>
      <c r="V235" s="15"/>
      <c r="W235" s="15"/>
      <c r="X235" s="14"/>
      <c r="Y235" s="14"/>
      <c r="Z235" s="15"/>
      <c r="AA235" s="3"/>
      <c r="AB235" s="3"/>
      <c r="AC235" s="3"/>
      <c r="AD235" s="3"/>
      <c r="AE235" s="3"/>
      <c r="AF235" s="3"/>
    </row>
    <row r="236" ht="15.75" customHeight="1">
      <c r="J236" s="15"/>
      <c r="K236" s="188"/>
      <c r="L236" s="15"/>
      <c r="M236" s="15"/>
      <c r="N236" s="15"/>
      <c r="O236" s="15"/>
      <c r="P236" s="15"/>
      <c r="Q236" s="15"/>
      <c r="R236" s="15"/>
      <c r="S236" s="15"/>
      <c r="T236" s="15"/>
      <c r="U236" s="15"/>
      <c r="V236" s="15"/>
      <c r="W236" s="15"/>
      <c r="X236" s="14"/>
      <c r="Y236" s="14"/>
      <c r="Z236" s="15"/>
      <c r="AA236" s="3"/>
      <c r="AB236" s="3"/>
      <c r="AC236" s="3"/>
      <c r="AD236" s="3"/>
      <c r="AE236" s="3"/>
      <c r="AF236" s="3"/>
    </row>
    <row r="237" ht="15.75" customHeight="1">
      <c r="J237" s="15"/>
      <c r="K237" s="188"/>
      <c r="L237" s="15"/>
      <c r="M237" s="15"/>
      <c r="N237" s="15"/>
      <c r="O237" s="15"/>
      <c r="P237" s="15"/>
      <c r="Q237" s="15"/>
      <c r="R237" s="15"/>
      <c r="S237" s="15"/>
      <c r="T237" s="15"/>
      <c r="U237" s="15"/>
      <c r="V237" s="15"/>
      <c r="W237" s="15"/>
      <c r="X237" s="14"/>
      <c r="Y237" s="14"/>
      <c r="Z237" s="15"/>
      <c r="AA237" s="3"/>
      <c r="AB237" s="3"/>
      <c r="AC237" s="3"/>
      <c r="AD237" s="3"/>
      <c r="AE237" s="3"/>
      <c r="AF237" s="3"/>
    </row>
    <row r="238" ht="15.75" customHeight="1">
      <c r="J238" s="15"/>
      <c r="K238" s="188"/>
      <c r="L238" s="15"/>
      <c r="M238" s="15"/>
      <c r="N238" s="15"/>
      <c r="O238" s="15"/>
      <c r="P238" s="15"/>
      <c r="Q238" s="15"/>
      <c r="R238" s="15"/>
      <c r="S238" s="15"/>
      <c r="T238" s="15"/>
      <c r="U238" s="15"/>
      <c r="V238" s="15"/>
      <c r="W238" s="15"/>
      <c r="X238" s="14"/>
      <c r="Y238" s="14"/>
      <c r="Z238" s="15"/>
      <c r="AA238" s="3"/>
      <c r="AB238" s="3"/>
      <c r="AC238" s="3"/>
      <c r="AD238" s="3"/>
      <c r="AE238" s="3"/>
      <c r="AF238" s="3"/>
    </row>
    <row r="239" ht="15.75" customHeight="1">
      <c r="J239" s="15"/>
      <c r="K239" s="188"/>
      <c r="L239" s="15"/>
      <c r="M239" s="15"/>
      <c r="N239" s="15"/>
      <c r="O239" s="15"/>
      <c r="P239" s="15"/>
      <c r="Q239" s="15"/>
      <c r="R239" s="15"/>
      <c r="S239" s="15"/>
      <c r="T239" s="15"/>
      <c r="U239" s="15"/>
      <c r="V239" s="15"/>
      <c r="W239" s="15"/>
      <c r="X239" s="14"/>
      <c r="Y239" s="14"/>
      <c r="Z239" s="15"/>
      <c r="AA239" s="3"/>
      <c r="AB239" s="3"/>
      <c r="AC239" s="3"/>
      <c r="AD239" s="3"/>
      <c r="AE239" s="3"/>
      <c r="AF239" s="3"/>
    </row>
    <row r="240" ht="15.75" customHeight="1">
      <c r="J240" s="15"/>
      <c r="K240" s="188"/>
      <c r="L240" s="15"/>
      <c r="M240" s="15"/>
      <c r="N240" s="15"/>
      <c r="O240" s="15"/>
      <c r="P240" s="15"/>
      <c r="Q240" s="15"/>
      <c r="R240" s="15"/>
      <c r="S240" s="15"/>
      <c r="T240" s="15"/>
      <c r="U240" s="15"/>
      <c r="V240" s="15"/>
      <c r="W240" s="15"/>
      <c r="X240" s="14"/>
      <c r="Y240" s="14"/>
      <c r="Z240" s="15"/>
      <c r="AA240" s="3"/>
      <c r="AB240" s="3"/>
      <c r="AC240" s="3"/>
      <c r="AD240" s="3"/>
      <c r="AE240" s="3"/>
      <c r="AF240" s="3"/>
    </row>
    <row r="241" ht="15.75" customHeight="1">
      <c r="J241" s="15"/>
      <c r="K241" s="188"/>
      <c r="L241" s="15"/>
      <c r="M241" s="15"/>
      <c r="N241" s="15"/>
      <c r="O241" s="15"/>
      <c r="P241" s="15"/>
      <c r="Q241" s="15"/>
      <c r="R241" s="15"/>
      <c r="S241" s="15"/>
      <c r="T241" s="15"/>
      <c r="U241" s="15"/>
      <c r="V241" s="15"/>
      <c r="W241" s="15"/>
      <c r="X241" s="14"/>
      <c r="Y241" s="14"/>
      <c r="Z241" s="15"/>
      <c r="AA241" s="3"/>
      <c r="AB241" s="3"/>
      <c r="AC241" s="3"/>
      <c r="AD241" s="3"/>
      <c r="AE241" s="3"/>
      <c r="AF241" s="3"/>
    </row>
    <row r="242" ht="15.75" customHeight="1">
      <c r="J242" s="15"/>
      <c r="K242" s="188"/>
      <c r="L242" s="15"/>
      <c r="M242" s="15"/>
      <c r="N242" s="15"/>
      <c r="O242" s="15"/>
      <c r="P242" s="15"/>
      <c r="Q242" s="15"/>
      <c r="R242" s="15"/>
      <c r="S242" s="15"/>
      <c r="T242" s="15"/>
      <c r="U242" s="15"/>
      <c r="V242" s="15"/>
      <c r="W242" s="15"/>
      <c r="X242" s="14"/>
      <c r="Y242" s="14"/>
      <c r="Z242" s="15"/>
      <c r="AA242" s="3"/>
      <c r="AB242" s="3"/>
      <c r="AC242" s="3"/>
      <c r="AD242" s="3"/>
      <c r="AE242" s="3"/>
      <c r="AF242" s="3"/>
    </row>
    <row r="243" ht="15.75" customHeight="1">
      <c r="J243" s="15"/>
      <c r="K243" s="188"/>
      <c r="L243" s="15"/>
      <c r="M243" s="15"/>
      <c r="N243" s="15"/>
      <c r="O243" s="15"/>
      <c r="P243" s="15"/>
      <c r="Q243" s="15"/>
      <c r="R243" s="15"/>
      <c r="S243" s="15"/>
      <c r="T243" s="15"/>
      <c r="U243" s="15"/>
      <c r="V243" s="15"/>
      <c r="W243" s="15"/>
      <c r="X243" s="14"/>
      <c r="Y243" s="14"/>
      <c r="Z243" s="15"/>
      <c r="AA243" s="3"/>
      <c r="AB243" s="3"/>
      <c r="AC243" s="3"/>
      <c r="AD243" s="3"/>
      <c r="AE243" s="3"/>
      <c r="AF243" s="3"/>
    </row>
    <row r="244" ht="15.75" customHeight="1">
      <c r="J244" s="15"/>
      <c r="K244" s="188"/>
      <c r="L244" s="15"/>
      <c r="M244" s="15"/>
      <c r="N244" s="15"/>
      <c r="O244" s="15"/>
      <c r="P244" s="15"/>
      <c r="Q244" s="15"/>
      <c r="R244" s="15"/>
      <c r="S244" s="15"/>
      <c r="T244" s="15"/>
      <c r="U244" s="15"/>
      <c r="V244" s="15"/>
      <c r="W244" s="15"/>
      <c r="X244" s="14"/>
      <c r="Y244" s="14"/>
      <c r="Z244" s="15"/>
      <c r="AA244" s="3"/>
      <c r="AB244" s="3"/>
      <c r="AC244" s="3"/>
      <c r="AD244" s="3"/>
      <c r="AE244" s="3"/>
      <c r="AF244" s="3"/>
    </row>
    <row r="245" ht="15.75" customHeight="1">
      <c r="J245" s="15"/>
      <c r="K245" s="188"/>
      <c r="L245" s="15"/>
      <c r="M245" s="15"/>
      <c r="N245" s="15"/>
      <c r="O245" s="15"/>
      <c r="P245" s="15"/>
      <c r="Q245" s="15"/>
      <c r="R245" s="15"/>
      <c r="S245" s="15"/>
      <c r="T245" s="15"/>
      <c r="U245" s="15"/>
      <c r="V245" s="15"/>
      <c r="W245" s="15"/>
      <c r="X245" s="14"/>
      <c r="Y245" s="14"/>
      <c r="Z245" s="15"/>
      <c r="AA245" s="3"/>
      <c r="AB245" s="3"/>
      <c r="AC245" s="3"/>
      <c r="AD245" s="3"/>
      <c r="AE245" s="3"/>
      <c r="AF245" s="3"/>
    </row>
    <row r="246" ht="15.75" customHeight="1">
      <c r="J246" s="15"/>
      <c r="K246" s="188"/>
      <c r="L246" s="15"/>
      <c r="M246" s="15"/>
      <c r="N246" s="15"/>
      <c r="O246" s="15"/>
      <c r="P246" s="15"/>
      <c r="Q246" s="15"/>
      <c r="R246" s="15"/>
      <c r="S246" s="15"/>
      <c r="T246" s="15"/>
      <c r="U246" s="15"/>
      <c r="V246" s="15"/>
      <c r="W246" s="15"/>
      <c r="X246" s="14"/>
      <c r="Y246" s="14"/>
      <c r="Z246" s="15"/>
      <c r="AA246" s="3"/>
      <c r="AB246" s="3"/>
      <c r="AC246" s="3"/>
      <c r="AD246" s="3"/>
      <c r="AE246" s="3"/>
      <c r="AF246" s="3"/>
    </row>
    <row r="247" ht="15.75" customHeight="1">
      <c r="J247" s="15"/>
      <c r="K247" s="188"/>
      <c r="L247" s="15"/>
      <c r="M247" s="15"/>
      <c r="N247" s="15"/>
      <c r="O247" s="15"/>
      <c r="P247" s="15"/>
      <c r="Q247" s="15"/>
      <c r="R247" s="15"/>
      <c r="S247" s="15"/>
      <c r="T247" s="15"/>
      <c r="U247" s="15"/>
      <c r="V247" s="15"/>
      <c r="W247" s="15"/>
      <c r="X247" s="14"/>
      <c r="Y247" s="14"/>
      <c r="Z247" s="15"/>
      <c r="AA247" s="3"/>
      <c r="AB247" s="3"/>
      <c r="AC247" s="3"/>
      <c r="AD247" s="3"/>
      <c r="AE247" s="3"/>
      <c r="AF247" s="3"/>
    </row>
    <row r="248" ht="15.75" customHeight="1">
      <c r="J248" s="15"/>
      <c r="K248" s="188"/>
      <c r="L248" s="15"/>
      <c r="M248" s="15"/>
      <c r="N248" s="15"/>
      <c r="O248" s="15"/>
      <c r="P248" s="15"/>
      <c r="Q248" s="15"/>
      <c r="R248" s="15"/>
      <c r="S248" s="15"/>
      <c r="T248" s="15"/>
      <c r="U248" s="15"/>
      <c r="V248" s="15"/>
      <c r="W248" s="15"/>
      <c r="X248" s="14"/>
      <c r="Y248" s="14"/>
      <c r="Z248" s="15"/>
      <c r="AA248" s="3"/>
      <c r="AB248" s="3"/>
      <c r="AC248" s="3"/>
      <c r="AD248" s="3"/>
      <c r="AE248" s="3"/>
      <c r="AF248" s="3"/>
    </row>
    <row r="249" ht="15.75" customHeight="1">
      <c r="J249" s="15"/>
      <c r="K249" s="188"/>
      <c r="L249" s="15"/>
      <c r="M249" s="15"/>
      <c r="N249" s="15"/>
      <c r="O249" s="15"/>
      <c r="P249" s="15"/>
      <c r="Q249" s="15"/>
      <c r="R249" s="15"/>
      <c r="S249" s="15"/>
      <c r="T249" s="15"/>
      <c r="U249" s="15"/>
      <c r="V249" s="15"/>
      <c r="W249" s="15"/>
      <c r="X249" s="14"/>
      <c r="Y249" s="14"/>
      <c r="Z249" s="15"/>
      <c r="AA249" s="3"/>
      <c r="AB249" s="3"/>
      <c r="AC249" s="3"/>
      <c r="AD249" s="3"/>
      <c r="AE249" s="3"/>
      <c r="AF249" s="3"/>
    </row>
    <row r="250" ht="15.75" customHeight="1">
      <c r="J250" s="15"/>
      <c r="K250" s="188"/>
      <c r="L250" s="15"/>
      <c r="M250" s="15"/>
      <c r="N250" s="15"/>
      <c r="O250" s="15"/>
      <c r="P250" s="15"/>
      <c r="Q250" s="15"/>
      <c r="R250" s="15"/>
      <c r="S250" s="15"/>
      <c r="T250" s="15"/>
      <c r="U250" s="15"/>
      <c r="V250" s="15"/>
      <c r="W250" s="15"/>
      <c r="X250" s="14"/>
      <c r="Y250" s="14"/>
      <c r="Z250" s="15"/>
      <c r="AA250" s="3"/>
      <c r="AB250" s="3"/>
      <c r="AC250" s="3"/>
      <c r="AD250" s="3"/>
      <c r="AE250" s="3"/>
      <c r="AF250" s="3"/>
    </row>
    <row r="251" ht="15.75" customHeight="1">
      <c r="J251" s="15"/>
      <c r="K251" s="188"/>
      <c r="L251" s="15"/>
      <c r="M251" s="15"/>
      <c r="N251" s="15"/>
      <c r="O251" s="15"/>
      <c r="P251" s="15"/>
      <c r="Q251" s="15"/>
      <c r="R251" s="15"/>
      <c r="S251" s="15"/>
      <c r="T251" s="15"/>
      <c r="U251" s="15"/>
      <c r="V251" s="15"/>
      <c r="W251" s="15"/>
      <c r="X251" s="14"/>
      <c r="Y251" s="14"/>
      <c r="Z251" s="15"/>
      <c r="AA251" s="3"/>
      <c r="AB251" s="3"/>
      <c r="AC251" s="3"/>
      <c r="AD251" s="3"/>
      <c r="AE251" s="3"/>
      <c r="AF251" s="3"/>
    </row>
    <row r="252" ht="15.75" customHeight="1">
      <c r="J252" s="15"/>
      <c r="K252" s="188"/>
      <c r="L252" s="15"/>
      <c r="M252" s="15"/>
      <c r="N252" s="15"/>
      <c r="O252" s="15"/>
      <c r="P252" s="15"/>
      <c r="Q252" s="15"/>
      <c r="R252" s="15"/>
      <c r="S252" s="15"/>
      <c r="T252" s="15"/>
      <c r="U252" s="15"/>
      <c r="V252" s="15"/>
      <c r="W252" s="15"/>
      <c r="X252" s="14"/>
      <c r="Y252" s="14"/>
      <c r="Z252" s="15"/>
      <c r="AA252" s="3"/>
      <c r="AB252" s="3"/>
      <c r="AC252" s="3"/>
      <c r="AD252" s="3"/>
      <c r="AE252" s="3"/>
      <c r="AF252" s="3"/>
    </row>
    <row r="253" ht="15.75" customHeight="1">
      <c r="J253" s="15"/>
      <c r="K253" s="188"/>
      <c r="L253" s="15"/>
      <c r="M253" s="15"/>
      <c r="N253" s="15"/>
      <c r="O253" s="15"/>
      <c r="P253" s="15"/>
      <c r="Q253" s="15"/>
      <c r="R253" s="15"/>
      <c r="S253" s="15"/>
      <c r="T253" s="15"/>
      <c r="U253" s="15"/>
      <c r="V253" s="15"/>
      <c r="W253" s="15"/>
      <c r="X253" s="14"/>
      <c r="Y253" s="14"/>
      <c r="Z253" s="15"/>
      <c r="AA253" s="3"/>
      <c r="AB253" s="3"/>
      <c r="AC253" s="3"/>
      <c r="AD253" s="3"/>
      <c r="AE253" s="3"/>
      <c r="AF253" s="3"/>
    </row>
    <row r="254" ht="15.75" customHeight="1">
      <c r="J254" s="15"/>
      <c r="K254" s="188"/>
      <c r="L254" s="15"/>
      <c r="M254" s="15"/>
      <c r="N254" s="15"/>
      <c r="O254" s="15"/>
      <c r="P254" s="15"/>
      <c r="Q254" s="15"/>
      <c r="R254" s="15"/>
      <c r="S254" s="15"/>
      <c r="T254" s="15"/>
      <c r="U254" s="15"/>
      <c r="V254" s="15"/>
      <c r="W254" s="15"/>
      <c r="X254" s="14"/>
      <c r="Y254" s="14"/>
      <c r="Z254" s="15"/>
      <c r="AA254" s="3"/>
      <c r="AB254" s="3"/>
      <c r="AC254" s="3"/>
      <c r="AD254" s="3"/>
      <c r="AE254" s="3"/>
      <c r="AF254" s="3"/>
    </row>
    <row r="255" ht="15.75" customHeight="1">
      <c r="J255" s="15"/>
      <c r="K255" s="188"/>
      <c r="L255" s="15"/>
      <c r="M255" s="15"/>
      <c r="N255" s="15"/>
      <c r="O255" s="15"/>
      <c r="P255" s="15"/>
      <c r="Q255" s="15"/>
      <c r="R255" s="15"/>
      <c r="S255" s="15"/>
      <c r="T255" s="15"/>
      <c r="U255" s="15"/>
      <c r="V255" s="15"/>
      <c r="W255" s="15"/>
      <c r="X255" s="14"/>
      <c r="Y255" s="14"/>
      <c r="Z255" s="15"/>
      <c r="AA255" s="3"/>
      <c r="AB255" s="3"/>
      <c r="AC255" s="3"/>
      <c r="AD255" s="3"/>
      <c r="AE255" s="3"/>
      <c r="AF255" s="3"/>
    </row>
    <row r="256" ht="15.75" customHeight="1">
      <c r="J256" s="15"/>
      <c r="K256" s="188"/>
      <c r="L256" s="15"/>
      <c r="M256" s="15"/>
      <c r="N256" s="15"/>
      <c r="O256" s="15"/>
      <c r="P256" s="15"/>
      <c r="Q256" s="15"/>
      <c r="R256" s="15"/>
      <c r="S256" s="15"/>
      <c r="T256" s="15"/>
      <c r="U256" s="15"/>
      <c r="V256" s="15"/>
      <c r="W256" s="15"/>
      <c r="X256" s="14"/>
      <c r="Y256" s="14"/>
      <c r="Z256" s="15"/>
      <c r="AA256" s="3"/>
      <c r="AB256" s="3"/>
      <c r="AC256" s="3"/>
      <c r="AD256" s="3"/>
      <c r="AE256" s="3"/>
      <c r="AF256" s="3"/>
    </row>
    <row r="257" ht="15.75" customHeight="1">
      <c r="J257" s="15"/>
      <c r="K257" s="188"/>
      <c r="L257" s="15"/>
      <c r="M257" s="15"/>
      <c r="N257" s="15"/>
      <c r="O257" s="15"/>
      <c r="P257" s="15"/>
      <c r="Q257" s="15"/>
      <c r="R257" s="15"/>
      <c r="S257" s="15"/>
      <c r="T257" s="15"/>
      <c r="U257" s="15"/>
      <c r="V257" s="15"/>
      <c r="W257" s="15"/>
      <c r="X257" s="14"/>
      <c r="Y257" s="14"/>
      <c r="Z257" s="15"/>
      <c r="AA257" s="3"/>
      <c r="AB257" s="3"/>
      <c r="AC257" s="3"/>
      <c r="AD257" s="3"/>
      <c r="AE257" s="3"/>
      <c r="AF257" s="3"/>
    </row>
    <row r="258" ht="15.75" customHeight="1">
      <c r="J258" s="15"/>
      <c r="K258" s="188"/>
      <c r="L258" s="15"/>
      <c r="M258" s="15"/>
      <c r="N258" s="15"/>
      <c r="O258" s="15"/>
      <c r="P258" s="15"/>
      <c r="Q258" s="15"/>
      <c r="R258" s="15"/>
      <c r="S258" s="15"/>
      <c r="T258" s="15"/>
      <c r="U258" s="15"/>
      <c r="V258" s="15"/>
      <c r="W258" s="15"/>
      <c r="X258" s="14"/>
      <c r="Y258" s="14"/>
      <c r="Z258" s="15"/>
      <c r="AA258" s="3"/>
      <c r="AB258" s="3"/>
      <c r="AC258" s="3"/>
      <c r="AD258" s="3"/>
      <c r="AE258" s="3"/>
      <c r="AF258" s="3"/>
    </row>
    <row r="259" ht="15.75" customHeight="1">
      <c r="J259" s="15"/>
      <c r="K259" s="188"/>
      <c r="L259" s="15"/>
      <c r="M259" s="15"/>
      <c r="N259" s="15"/>
      <c r="O259" s="15"/>
      <c r="P259" s="15"/>
      <c r="Q259" s="15"/>
      <c r="R259" s="15"/>
      <c r="S259" s="15"/>
      <c r="T259" s="15"/>
      <c r="U259" s="15"/>
      <c r="V259" s="15"/>
      <c r="W259" s="15"/>
      <c r="X259" s="14"/>
      <c r="Y259" s="14"/>
      <c r="Z259" s="15"/>
      <c r="AA259" s="3"/>
      <c r="AB259" s="3"/>
      <c r="AC259" s="3"/>
      <c r="AD259" s="3"/>
      <c r="AE259" s="3"/>
      <c r="AF259" s="3"/>
    </row>
    <row r="260" ht="15.75" customHeight="1">
      <c r="J260" s="15"/>
      <c r="K260" s="188"/>
      <c r="L260" s="15"/>
      <c r="M260" s="15"/>
      <c r="N260" s="15"/>
      <c r="O260" s="15"/>
      <c r="P260" s="15"/>
      <c r="Q260" s="15"/>
      <c r="R260" s="15"/>
      <c r="S260" s="15"/>
      <c r="T260" s="15"/>
      <c r="U260" s="15"/>
      <c r="V260" s="15"/>
      <c r="W260" s="15"/>
      <c r="X260" s="14"/>
      <c r="Y260" s="14"/>
      <c r="Z260" s="15"/>
      <c r="AA260" s="3"/>
      <c r="AB260" s="3"/>
      <c r="AC260" s="3"/>
      <c r="AD260" s="3"/>
      <c r="AE260" s="3"/>
      <c r="AF260" s="3"/>
    </row>
    <row r="261" ht="15.75" customHeight="1">
      <c r="J261" s="15"/>
      <c r="K261" s="188"/>
      <c r="L261" s="15"/>
      <c r="M261" s="15"/>
      <c r="N261" s="15"/>
      <c r="O261" s="15"/>
      <c r="P261" s="15"/>
      <c r="Q261" s="15"/>
      <c r="R261" s="15"/>
      <c r="S261" s="15"/>
      <c r="T261" s="15"/>
      <c r="U261" s="15"/>
      <c r="V261" s="15"/>
      <c r="W261" s="15"/>
      <c r="X261" s="14"/>
      <c r="Y261" s="14"/>
      <c r="Z261" s="15"/>
      <c r="AA261" s="3"/>
      <c r="AB261" s="3"/>
      <c r="AC261" s="3"/>
      <c r="AD261" s="3"/>
      <c r="AE261" s="3"/>
      <c r="AF261" s="3"/>
    </row>
    <row r="262" ht="15.75" customHeight="1">
      <c r="J262" s="15"/>
      <c r="K262" s="188"/>
      <c r="L262" s="15"/>
      <c r="M262" s="15"/>
      <c r="N262" s="15"/>
      <c r="O262" s="15"/>
      <c r="P262" s="15"/>
      <c r="Q262" s="15"/>
      <c r="R262" s="15"/>
      <c r="S262" s="15"/>
      <c r="T262" s="15"/>
      <c r="U262" s="15"/>
      <c r="V262" s="15"/>
      <c r="W262" s="15"/>
      <c r="X262" s="14"/>
      <c r="Y262" s="14"/>
      <c r="Z262" s="15"/>
      <c r="AA262" s="3"/>
      <c r="AB262" s="3"/>
      <c r="AC262" s="3"/>
      <c r="AD262" s="3"/>
      <c r="AE262" s="3"/>
      <c r="AF262" s="3"/>
    </row>
    <row r="263" ht="15.75" customHeight="1">
      <c r="J263" s="15"/>
      <c r="K263" s="188"/>
      <c r="L263" s="15"/>
      <c r="M263" s="15"/>
      <c r="N263" s="15"/>
      <c r="O263" s="15"/>
      <c r="P263" s="15"/>
      <c r="Q263" s="15"/>
      <c r="R263" s="15"/>
      <c r="S263" s="15"/>
      <c r="T263" s="15"/>
      <c r="U263" s="15"/>
      <c r="V263" s="15"/>
      <c r="W263" s="15"/>
      <c r="X263" s="14"/>
      <c r="Y263" s="14"/>
      <c r="Z263" s="15"/>
      <c r="AA263" s="3"/>
      <c r="AB263" s="3"/>
      <c r="AC263" s="3"/>
      <c r="AD263" s="3"/>
      <c r="AE263" s="3"/>
      <c r="AF263" s="3"/>
    </row>
    <row r="264" ht="15.75" customHeight="1">
      <c r="J264" s="15"/>
      <c r="K264" s="188"/>
      <c r="L264" s="15"/>
      <c r="M264" s="15"/>
      <c r="N264" s="15"/>
      <c r="O264" s="15"/>
      <c r="P264" s="15"/>
      <c r="Q264" s="15"/>
      <c r="R264" s="15"/>
      <c r="S264" s="15"/>
      <c r="T264" s="15"/>
      <c r="U264" s="15"/>
      <c r="V264" s="15"/>
      <c r="W264" s="15"/>
      <c r="X264" s="14"/>
      <c r="Y264" s="14"/>
      <c r="Z264" s="15"/>
      <c r="AA264" s="3"/>
      <c r="AB264" s="3"/>
      <c r="AC264" s="3"/>
      <c r="AD264" s="3"/>
      <c r="AE264" s="3"/>
      <c r="AF264" s="3"/>
    </row>
    <row r="265" ht="15.75" customHeight="1">
      <c r="J265" s="15"/>
      <c r="K265" s="188"/>
      <c r="L265" s="15"/>
      <c r="M265" s="15"/>
      <c r="N265" s="15"/>
      <c r="O265" s="15"/>
      <c r="P265" s="15"/>
      <c r="Q265" s="15"/>
      <c r="R265" s="15"/>
      <c r="S265" s="15"/>
      <c r="T265" s="15"/>
      <c r="U265" s="15"/>
      <c r="V265" s="15"/>
      <c r="W265" s="15"/>
      <c r="X265" s="14"/>
      <c r="Y265" s="14"/>
      <c r="Z265" s="15"/>
      <c r="AA265" s="3"/>
      <c r="AB265" s="3"/>
      <c r="AC265" s="3"/>
      <c r="AD265" s="3"/>
      <c r="AE265" s="3"/>
      <c r="AF265" s="3"/>
    </row>
    <row r="266" ht="15.75" customHeight="1">
      <c r="J266" s="15"/>
      <c r="K266" s="188"/>
      <c r="L266" s="15"/>
      <c r="M266" s="15"/>
      <c r="N266" s="15"/>
      <c r="O266" s="15"/>
      <c r="P266" s="15"/>
      <c r="Q266" s="15"/>
      <c r="R266" s="15"/>
      <c r="S266" s="15"/>
      <c r="T266" s="15"/>
      <c r="U266" s="15"/>
      <c r="V266" s="15"/>
      <c r="W266" s="15"/>
      <c r="X266" s="14"/>
      <c r="Y266" s="14"/>
      <c r="Z266" s="15"/>
      <c r="AA266" s="3"/>
      <c r="AB266" s="3"/>
      <c r="AC266" s="3"/>
      <c r="AD266" s="3"/>
      <c r="AE266" s="3"/>
      <c r="AF266" s="3"/>
    </row>
    <row r="267" ht="15.75" customHeight="1">
      <c r="J267" s="15"/>
      <c r="K267" s="188"/>
      <c r="L267" s="15"/>
      <c r="M267" s="15"/>
      <c r="N267" s="15"/>
      <c r="O267" s="15"/>
      <c r="P267" s="15"/>
      <c r="Q267" s="15"/>
      <c r="R267" s="15"/>
      <c r="S267" s="15"/>
      <c r="T267" s="15"/>
      <c r="U267" s="15"/>
      <c r="V267" s="15"/>
      <c r="W267" s="15"/>
      <c r="X267" s="14"/>
      <c r="Y267" s="14"/>
      <c r="Z267" s="15"/>
      <c r="AA267" s="3"/>
      <c r="AB267" s="3"/>
      <c r="AC267" s="3"/>
      <c r="AD267" s="3"/>
      <c r="AE267" s="3"/>
      <c r="AF267" s="3"/>
    </row>
    <row r="268" ht="15.75" customHeight="1">
      <c r="J268" s="15"/>
      <c r="K268" s="188"/>
      <c r="L268" s="15"/>
      <c r="M268" s="15"/>
      <c r="N268" s="15"/>
      <c r="O268" s="15"/>
      <c r="P268" s="15"/>
      <c r="Q268" s="15"/>
      <c r="R268" s="15"/>
      <c r="S268" s="15"/>
      <c r="T268" s="15"/>
      <c r="U268" s="15"/>
      <c r="V268" s="15"/>
      <c r="W268" s="15"/>
      <c r="X268" s="14"/>
      <c r="Y268" s="14"/>
      <c r="Z268" s="15"/>
      <c r="AA268" s="3"/>
      <c r="AB268" s="3"/>
      <c r="AC268" s="3"/>
      <c r="AD268" s="3"/>
      <c r="AE268" s="3"/>
      <c r="AF268" s="3"/>
    </row>
    <row r="269" ht="15.75" customHeight="1">
      <c r="J269" s="15"/>
      <c r="K269" s="188"/>
      <c r="L269" s="15"/>
      <c r="M269" s="15"/>
      <c r="N269" s="15"/>
      <c r="O269" s="15"/>
      <c r="P269" s="15"/>
      <c r="Q269" s="15"/>
      <c r="R269" s="15"/>
      <c r="S269" s="15"/>
      <c r="T269" s="15"/>
      <c r="U269" s="15"/>
      <c r="V269" s="15"/>
      <c r="W269" s="15"/>
      <c r="X269" s="14"/>
      <c r="Y269" s="14"/>
      <c r="Z269" s="15"/>
      <c r="AA269" s="3"/>
      <c r="AB269" s="3"/>
      <c r="AC269" s="3"/>
      <c r="AD269" s="3"/>
      <c r="AE269" s="3"/>
      <c r="AF269" s="3"/>
    </row>
    <row r="270" ht="15.75" customHeight="1">
      <c r="J270" s="15"/>
      <c r="K270" s="188"/>
      <c r="L270" s="15"/>
      <c r="M270" s="15"/>
      <c r="N270" s="15"/>
      <c r="O270" s="15"/>
      <c r="P270" s="15"/>
      <c r="Q270" s="15"/>
      <c r="R270" s="15"/>
      <c r="S270" s="15"/>
      <c r="T270" s="15"/>
      <c r="U270" s="15"/>
      <c r="V270" s="15"/>
      <c r="W270" s="15"/>
      <c r="X270" s="14"/>
      <c r="Y270" s="14"/>
      <c r="Z270" s="15"/>
      <c r="AA270" s="3"/>
      <c r="AB270" s="3"/>
      <c r="AC270" s="3"/>
      <c r="AD270" s="3"/>
      <c r="AE270" s="3"/>
      <c r="AF270" s="3"/>
    </row>
    <row r="271" ht="15.75" customHeight="1">
      <c r="J271" s="15"/>
      <c r="K271" s="188"/>
      <c r="L271" s="15"/>
      <c r="M271" s="15"/>
      <c r="N271" s="15"/>
      <c r="O271" s="15"/>
      <c r="P271" s="15"/>
      <c r="Q271" s="15"/>
      <c r="R271" s="15"/>
      <c r="S271" s="15"/>
      <c r="T271" s="15"/>
      <c r="U271" s="15"/>
      <c r="V271" s="15"/>
      <c r="W271" s="15"/>
      <c r="X271" s="14"/>
      <c r="Y271" s="14"/>
      <c r="Z271" s="15"/>
      <c r="AA271" s="3"/>
      <c r="AB271" s="3"/>
      <c r="AC271" s="3"/>
      <c r="AD271" s="3"/>
      <c r="AE271" s="3"/>
      <c r="AF271" s="3"/>
    </row>
    <row r="272" ht="15.75" customHeight="1">
      <c r="J272" s="15"/>
      <c r="K272" s="188"/>
      <c r="L272" s="15"/>
      <c r="M272" s="15"/>
      <c r="N272" s="15"/>
      <c r="O272" s="15"/>
      <c r="P272" s="15"/>
      <c r="Q272" s="15"/>
      <c r="R272" s="15"/>
      <c r="S272" s="15"/>
      <c r="T272" s="15"/>
      <c r="U272" s="15"/>
      <c r="V272" s="15"/>
      <c r="W272" s="15"/>
      <c r="X272" s="14"/>
      <c r="Y272" s="14"/>
      <c r="Z272" s="15"/>
      <c r="AA272" s="3"/>
      <c r="AB272" s="3"/>
      <c r="AC272" s="3"/>
      <c r="AD272" s="3"/>
      <c r="AE272" s="3"/>
      <c r="AF272" s="3"/>
    </row>
    <row r="273" ht="15.75" customHeight="1">
      <c r="J273" s="15"/>
      <c r="K273" s="188"/>
      <c r="L273" s="15"/>
      <c r="M273" s="15"/>
      <c r="N273" s="15"/>
      <c r="O273" s="15"/>
      <c r="P273" s="15"/>
      <c r="Q273" s="15"/>
      <c r="R273" s="15"/>
      <c r="S273" s="15"/>
      <c r="T273" s="15"/>
      <c r="U273" s="15"/>
      <c r="V273" s="15"/>
      <c r="W273" s="15"/>
      <c r="X273" s="14"/>
      <c r="Y273" s="14"/>
      <c r="Z273" s="15"/>
      <c r="AA273" s="3"/>
      <c r="AB273" s="3"/>
      <c r="AC273" s="3"/>
      <c r="AD273" s="3"/>
      <c r="AE273" s="3"/>
      <c r="AF273" s="3"/>
    </row>
    <row r="274" ht="15.75" customHeight="1">
      <c r="J274" s="15"/>
      <c r="K274" s="188"/>
      <c r="L274" s="15"/>
      <c r="M274" s="15"/>
      <c r="N274" s="15"/>
      <c r="O274" s="15"/>
      <c r="P274" s="15"/>
      <c r="Q274" s="15"/>
      <c r="R274" s="15"/>
      <c r="S274" s="15"/>
      <c r="T274" s="15"/>
      <c r="U274" s="15"/>
      <c r="V274" s="15"/>
      <c r="W274" s="15"/>
      <c r="X274" s="14"/>
      <c r="Y274" s="14"/>
      <c r="Z274" s="15"/>
      <c r="AA274" s="3"/>
      <c r="AB274" s="3"/>
      <c r="AC274" s="3"/>
      <c r="AD274" s="3"/>
      <c r="AE274" s="3"/>
      <c r="AF274" s="3"/>
    </row>
    <row r="275" ht="15.75" customHeight="1">
      <c r="J275" s="15"/>
      <c r="K275" s="188"/>
      <c r="L275" s="15"/>
      <c r="M275" s="15"/>
      <c r="N275" s="15"/>
      <c r="O275" s="15"/>
      <c r="P275" s="15"/>
      <c r="Q275" s="15"/>
      <c r="R275" s="15"/>
      <c r="S275" s="15"/>
      <c r="T275" s="15"/>
      <c r="U275" s="15"/>
      <c r="V275" s="15"/>
      <c r="W275" s="15"/>
      <c r="X275" s="14"/>
      <c r="Y275" s="14"/>
      <c r="Z275" s="15"/>
      <c r="AA275" s="3"/>
      <c r="AB275" s="3"/>
      <c r="AC275" s="3"/>
      <c r="AD275" s="3"/>
      <c r="AE275" s="3"/>
      <c r="AF275" s="3"/>
    </row>
    <row r="276" ht="15.75" customHeight="1">
      <c r="J276" s="15"/>
      <c r="K276" s="188"/>
      <c r="L276" s="15"/>
      <c r="M276" s="15"/>
      <c r="N276" s="15"/>
      <c r="O276" s="15"/>
      <c r="P276" s="15"/>
      <c r="Q276" s="15"/>
      <c r="R276" s="15"/>
      <c r="S276" s="15"/>
      <c r="T276" s="15"/>
      <c r="U276" s="15"/>
      <c r="V276" s="15"/>
      <c r="W276" s="15"/>
      <c r="X276" s="14"/>
      <c r="Y276" s="14"/>
      <c r="Z276" s="15"/>
      <c r="AA276" s="3"/>
      <c r="AB276" s="3"/>
      <c r="AC276" s="3"/>
      <c r="AD276" s="3"/>
      <c r="AE276" s="3"/>
      <c r="AF276" s="3"/>
    </row>
    <row r="277" ht="15.75" customHeight="1">
      <c r="J277" s="15"/>
      <c r="K277" s="188"/>
      <c r="L277" s="15"/>
      <c r="M277" s="15"/>
      <c r="N277" s="15"/>
      <c r="O277" s="15"/>
      <c r="P277" s="15"/>
      <c r="Q277" s="15"/>
      <c r="R277" s="15"/>
      <c r="S277" s="15"/>
      <c r="T277" s="15"/>
      <c r="U277" s="15"/>
      <c r="V277" s="15"/>
      <c r="W277" s="15"/>
      <c r="X277" s="14"/>
      <c r="Y277" s="14"/>
      <c r="Z277" s="15"/>
      <c r="AA277" s="3"/>
      <c r="AB277" s="3"/>
      <c r="AC277" s="3"/>
      <c r="AD277" s="3"/>
      <c r="AE277" s="3"/>
      <c r="AF277" s="3"/>
    </row>
    <row r="278" ht="15.75" customHeight="1">
      <c r="J278" s="15"/>
      <c r="K278" s="188"/>
      <c r="L278" s="15"/>
      <c r="M278" s="15"/>
      <c r="N278" s="15"/>
      <c r="O278" s="15"/>
      <c r="P278" s="15"/>
      <c r="Q278" s="15"/>
      <c r="R278" s="15"/>
      <c r="S278" s="15"/>
      <c r="T278" s="15"/>
      <c r="U278" s="15"/>
      <c r="V278" s="15"/>
      <c r="W278" s="15"/>
      <c r="X278" s="14"/>
      <c r="Y278" s="14"/>
      <c r="Z278" s="15"/>
      <c r="AA278" s="3"/>
      <c r="AB278" s="3"/>
      <c r="AC278" s="3"/>
      <c r="AD278" s="3"/>
      <c r="AE278" s="3"/>
      <c r="AF278" s="3"/>
    </row>
    <row r="279" ht="15.75" customHeight="1">
      <c r="J279" s="15"/>
      <c r="K279" s="188"/>
      <c r="L279" s="15"/>
      <c r="M279" s="15"/>
      <c r="N279" s="15"/>
      <c r="O279" s="15"/>
      <c r="P279" s="15"/>
      <c r="Q279" s="15"/>
      <c r="R279" s="15"/>
      <c r="S279" s="15"/>
      <c r="T279" s="15"/>
      <c r="U279" s="15"/>
      <c r="V279" s="15"/>
      <c r="W279" s="15"/>
      <c r="X279" s="14"/>
      <c r="Y279" s="14"/>
      <c r="Z279" s="15"/>
      <c r="AA279" s="3"/>
      <c r="AB279" s="3"/>
      <c r="AC279" s="3"/>
      <c r="AD279" s="3"/>
      <c r="AE279" s="3"/>
      <c r="AF279" s="3"/>
    </row>
    <row r="280" ht="15.75" customHeight="1">
      <c r="J280" s="15"/>
      <c r="K280" s="188"/>
      <c r="L280" s="15"/>
      <c r="M280" s="15"/>
      <c r="N280" s="15"/>
      <c r="O280" s="15"/>
      <c r="P280" s="15"/>
      <c r="Q280" s="15"/>
      <c r="R280" s="15"/>
      <c r="S280" s="15"/>
      <c r="T280" s="15"/>
      <c r="U280" s="15"/>
      <c r="V280" s="15"/>
      <c r="W280" s="15"/>
      <c r="X280" s="14"/>
      <c r="Y280" s="14"/>
      <c r="Z280" s="15"/>
      <c r="AA280" s="3"/>
      <c r="AB280" s="3"/>
      <c r="AC280" s="3"/>
      <c r="AD280" s="3"/>
      <c r="AE280" s="3"/>
      <c r="AF280" s="3"/>
    </row>
    <row r="281" ht="15.75" customHeight="1">
      <c r="J281" s="15"/>
      <c r="K281" s="188"/>
      <c r="L281" s="15"/>
      <c r="M281" s="15"/>
      <c r="N281" s="15"/>
      <c r="O281" s="15"/>
      <c r="P281" s="15"/>
      <c r="Q281" s="15"/>
      <c r="R281" s="15"/>
      <c r="S281" s="15"/>
      <c r="T281" s="15"/>
      <c r="U281" s="15"/>
      <c r="V281" s="15"/>
      <c r="W281" s="15"/>
      <c r="X281" s="14"/>
      <c r="Y281" s="14"/>
      <c r="Z281" s="15"/>
      <c r="AA281" s="3"/>
      <c r="AB281" s="3"/>
      <c r="AC281" s="3"/>
      <c r="AD281" s="3"/>
      <c r="AE281" s="3"/>
      <c r="AF281" s="3"/>
    </row>
    <row r="282" ht="15.75" customHeight="1">
      <c r="J282" s="15"/>
      <c r="K282" s="188"/>
      <c r="L282" s="15"/>
      <c r="M282" s="15"/>
      <c r="N282" s="15"/>
      <c r="O282" s="15"/>
      <c r="P282" s="15"/>
      <c r="Q282" s="15"/>
      <c r="R282" s="15"/>
      <c r="S282" s="15"/>
      <c r="T282" s="15"/>
      <c r="U282" s="15"/>
      <c r="V282" s="15"/>
      <c r="W282" s="15"/>
      <c r="X282" s="14"/>
      <c r="Y282" s="14"/>
      <c r="Z282" s="15"/>
      <c r="AA282" s="3"/>
      <c r="AB282" s="3"/>
      <c r="AC282" s="3"/>
      <c r="AD282" s="3"/>
      <c r="AE282" s="3"/>
      <c r="AF282" s="3"/>
    </row>
    <row r="283" ht="15.75" customHeight="1">
      <c r="J283" s="15"/>
      <c r="K283" s="188"/>
      <c r="L283" s="15"/>
      <c r="M283" s="15"/>
      <c r="N283" s="15"/>
      <c r="O283" s="15"/>
      <c r="P283" s="15"/>
      <c r="Q283" s="15"/>
      <c r="R283" s="15"/>
      <c r="S283" s="15"/>
      <c r="T283" s="15"/>
      <c r="U283" s="15"/>
      <c r="V283" s="15"/>
      <c r="W283" s="15"/>
      <c r="X283" s="14"/>
      <c r="Y283" s="14"/>
      <c r="Z283" s="15"/>
      <c r="AA283" s="3"/>
      <c r="AB283" s="3"/>
      <c r="AC283" s="3"/>
      <c r="AD283" s="3"/>
      <c r="AE283" s="3"/>
      <c r="AF283" s="3"/>
    </row>
    <row r="284" ht="15.75" customHeight="1">
      <c r="J284" s="15"/>
      <c r="K284" s="188"/>
      <c r="L284" s="15"/>
      <c r="M284" s="15"/>
      <c r="N284" s="15"/>
      <c r="O284" s="15"/>
      <c r="P284" s="15"/>
      <c r="Q284" s="15"/>
      <c r="R284" s="15"/>
      <c r="S284" s="15"/>
      <c r="T284" s="15"/>
      <c r="U284" s="15"/>
      <c r="V284" s="15"/>
      <c r="W284" s="15"/>
      <c r="X284" s="14"/>
      <c r="Y284" s="14"/>
      <c r="Z284" s="15"/>
      <c r="AA284" s="3"/>
      <c r="AB284" s="3"/>
      <c r="AC284" s="3"/>
      <c r="AD284" s="3"/>
      <c r="AE284" s="3"/>
      <c r="AF284" s="3"/>
    </row>
    <row r="285" ht="15.75" customHeight="1">
      <c r="J285" s="15"/>
      <c r="K285" s="188"/>
      <c r="L285" s="15"/>
      <c r="M285" s="15"/>
      <c r="N285" s="15"/>
      <c r="O285" s="15"/>
      <c r="P285" s="15"/>
      <c r="Q285" s="15"/>
      <c r="R285" s="15"/>
      <c r="S285" s="15"/>
      <c r="T285" s="15"/>
      <c r="U285" s="15"/>
      <c r="V285" s="15"/>
      <c r="W285" s="15"/>
      <c r="X285" s="14"/>
      <c r="Y285" s="14"/>
      <c r="Z285" s="15"/>
      <c r="AA285" s="3"/>
      <c r="AB285" s="3"/>
      <c r="AC285" s="3"/>
      <c r="AD285" s="3"/>
      <c r="AE285" s="3"/>
      <c r="AF285" s="3"/>
    </row>
    <row r="286" ht="15.75" customHeight="1">
      <c r="J286" s="15"/>
      <c r="K286" s="188"/>
      <c r="L286" s="15"/>
      <c r="M286" s="15"/>
      <c r="N286" s="15"/>
      <c r="O286" s="15"/>
      <c r="P286" s="15"/>
      <c r="Q286" s="15"/>
      <c r="R286" s="15"/>
      <c r="S286" s="15"/>
      <c r="T286" s="15"/>
      <c r="U286" s="15"/>
      <c r="V286" s="15"/>
      <c r="W286" s="15"/>
      <c r="X286" s="14"/>
      <c r="Y286" s="14"/>
      <c r="Z286" s="15"/>
      <c r="AA286" s="3"/>
      <c r="AB286" s="3"/>
      <c r="AC286" s="3"/>
      <c r="AD286" s="3"/>
      <c r="AE286" s="3"/>
      <c r="AF286" s="3"/>
    </row>
    <row r="287" ht="15.75" customHeight="1">
      <c r="J287" s="15"/>
      <c r="K287" s="188"/>
      <c r="L287" s="15"/>
      <c r="M287" s="15"/>
      <c r="N287" s="15"/>
      <c r="O287" s="15"/>
      <c r="P287" s="15"/>
      <c r="Q287" s="15"/>
      <c r="R287" s="15"/>
      <c r="S287" s="15"/>
      <c r="T287" s="15"/>
      <c r="U287" s="15"/>
      <c r="V287" s="15"/>
      <c r="W287" s="15"/>
      <c r="X287" s="14"/>
      <c r="Y287" s="14"/>
      <c r="Z287" s="15"/>
      <c r="AA287" s="3"/>
      <c r="AB287" s="3"/>
      <c r="AC287" s="3"/>
      <c r="AD287" s="3"/>
      <c r="AE287" s="3"/>
      <c r="AF287" s="3"/>
    </row>
    <row r="288" ht="15.75" customHeight="1">
      <c r="J288" s="15"/>
      <c r="K288" s="188"/>
      <c r="L288" s="15"/>
      <c r="M288" s="15"/>
      <c r="N288" s="15"/>
      <c r="O288" s="15"/>
      <c r="P288" s="15"/>
      <c r="Q288" s="15"/>
      <c r="R288" s="15"/>
      <c r="S288" s="15"/>
      <c r="T288" s="15"/>
      <c r="U288" s="15"/>
      <c r="V288" s="15"/>
      <c r="W288" s="15"/>
      <c r="X288" s="14"/>
      <c r="Y288" s="14"/>
      <c r="Z288" s="15"/>
      <c r="AA288" s="3"/>
      <c r="AB288" s="3"/>
      <c r="AC288" s="3"/>
      <c r="AD288" s="3"/>
      <c r="AE288" s="3"/>
      <c r="AF288" s="3"/>
    </row>
    <row r="289" ht="15.75" customHeight="1">
      <c r="J289" s="15"/>
      <c r="K289" s="188"/>
      <c r="L289" s="15"/>
      <c r="M289" s="15"/>
      <c r="N289" s="15"/>
      <c r="O289" s="15"/>
      <c r="P289" s="15"/>
      <c r="Q289" s="15"/>
      <c r="R289" s="15"/>
      <c r="S289" s="15"/>
      <c r="T289" s="15"/>
      <c r="U289" s="15"/>
      <c r="V289" s="15"/>
      <c r="W289" s="15"/>
      <c r="X289" s="14"/>
      <c r="Y289" s="14"/>
      <c r="Z289" s="15"/>
      <c r="AA289" s="3"/>
      <c r="AB289" s="3"/>
      <c r="AC289" s="3"/>
      <c r="AD289" s="3"/>
      <c r="AE289" s="3"/>
      <c r="AF289" s="3"/>
    </row>
    <row r="290" ht="15.75" customHeight="1">
      <c r="J290" s="15"/>
      <c r="K290" s="188"/>
      <c r="L290" s="15"/>
      <c r="M290" s="15"/>
      <c r="N290" s="15"/>
      <c r="O290" s="15"/>
      <c r="P290" s="15"/>
      <c r="Q290" s="15"/>
      <c r="R290" s="15"/>
      <c r="S290" s="15"/>
      <c r="T290" s="15"/>
      <c r="U290" s="15"/>
      <c r="V290" s="15"/>
      <c r="W290" s="15"/>
      <c r="X290" s="14"/>
      <c r="Y290" s="14"/>
      <c r="Z290" s="15"/>
      <c r="AA290" s="3"/>
      <c r="AB290" s="3"/>
      <c r="AC290" s="3"/>
      <c r="AD290" s="3"/>
      <c r="AE290" s="3"/>
      <c r="AF290" s="3"/>
    </row>
    <row r="291" ht="15.75" customHeight="1">
      <c r="J291" s="15"/>
      <c r="K291" s="188"/>
      <c r="L291" s="15"/>
      <c r="M291" s="15"/>
      <c r="N291" s="15"/>
      <c r="O291" s="15"/>
      <c r="P291" s="15"/>
      <c r="Q291" s="15"/>
      <c r="R291" s="15"/>
      <c r="S291" s="15"/>
      <c r="T291" s="15"/>
      <c r="U291" s="15"/>
      <c r="V291" s="15"/>
      <c r="W291" s="15"/>
      <c r="X291" s="14"/>
      <c r="Y291" s="14"/>
      <c r="Z291" s="15"/>
      <c r="AA291" s="3"/>
      <c r="AB291" s="3"/>
      <c r="AC291" s="3"/>
      <c r="AD291" s="3"/>
      <c r="AE291" s="3"/>
      <c r="AF291" s="3"/>
    </row>
    <row r="292" ht="15.75" customHeight="1">
      <c r="J292" s="15"/>
      <c r="K292" s="188"/>
      <c r="L292" s="15"/>
      <c r="M292" s="15"/>
      <c r="N292" s="15"/>
      <c r="O292" s="15"/>
      <c r="P292" s="15"/>
      <c r="Q292" s="15"/>
      <c r="R292" s="15"/>
      <c r="S292" s="15"/>
      <c r="T292" s="15"/>
      <c r="U292" s="15"/>
      <c r="V292" s="15"/>
      <c r="W292" s="15"/>
      <c r="X292" s="14"/>
      <c r="Y292" s="14"/>
      <c r="Z292" s="15"/>
      <c r="AA292" s="3"/>
      <c r="AB292" s="3"/>
      <c r="AC292" s="3"/>
      <c r="AD292" s="3"/>
      <c r="AE292" s="3"/>
      <c r="AF292" s="3"/>
    </row>
    <row r="293" ht="15.75" customHeight="1">
      <c r="J293" s="15"/>
      <c r="K293" s="188"/>
      <c r="L293" s="15"/>
      <c r="M293" s="15"/>
      <c r="N293" s="15"/>
      <c r="O293" s="15"/>
      <c r="P293" s="15"/>
      <c r="Q293" s="15"/>
      <c r="R293" s="15"/>
      <c r="S293" s="15"/>
      <c r="T293" s="15"/>
      <c r="U293" s="15"/>
      <c r="V293" s="15"/>
      <c r="W293" s="15"/>
      <c r="X293" s="14"/>
      <c r="Y293" s="14"/>
      <c r="Z293" s="15"/>
      <c r="AA293" s="3"/>
      <c r="AB293" s="3"/>
      <c r="AC293" s="3"/>
      <c r="AD293" s="3"/>
      <c r="AE293" s="3"/>
      <c r="AF293" s="3"/>
    </row>
    <row r="294" ht="15.75" customHeight="1">
      <c r="J294" s="15"/>
      <c r="K294" s="188"/>
      <c r="L294" s="15"/>
      <c r="M294" s="15"/>
      <c r="N294" s="15"/>
      <c r="O294" s="15"/>
      <c r="P294" s="15"/>
      <c r="Q294" s="15"/>
      <c r="R294" s="15"/>
      <c r="S294" s="15"/>
      <c r="T294" s="15"/>
      <c r="U294" s="15"/>
      <c r="V294" s="15"/>
      <c r="W294" s="15"/>
      <c r="X294" s="14"/>
      <c r="Y294" s="14"/>
      <c r="Z294" s="15"/>
      <c r="AA294" s="3"/>
      <c r="AB294" s="3"/>
      <c r="AC294" s="3"/>
      <c r="AD294" s="3"/>
      <c r="AE294" s="3"/>
      <c r="AF294" s="3"/>
    </row>
    <row r="295" ht="15.75" customHeight="1">
      <c r="J295" s="15"/>
      <c r="K295" s="188"/>
      <c r="L295" s="15"/>
      <c r="M295" s="15"/>
      <c r="N295" s="15"/>
      <c r="O295" s="15"/>
      <c r="P295" s="15"/>
      <c r="Q295" s="15"/>
      <c r="R295" s="15"/>
      <c r="S295" s="15"/>
      <c r="T295" s="15"/>
      <c r="U295" s="15"/>
      <c r="V295" s="15"/>
      <c r="W295" s="15"/>
      <c r="X295" s="14"/>
      <c r="Y295" s="14"/>
      <c r="Z295" s="15"/>
      <c r="AA295" s="3"/>
      <c r="AB295" s="3"/>
      <c r="AC295" s="3"/>
      <c r="AD295" s="3"/>
      <c r="AE295" s="3"/>
      <c r="AF295" s="3"/>
    </row>
    <row r="296" ht="15.75" customHeight="1">
      <c r="J296" s="15"/>
      <c r="K296" s="188"/>
      <c r="L296" s="15"/>
      <c r="M296" s="15"/>
      <c r="N296" s="15"/>
      <c r="O296" s="15"/>
      <c r="P296" s="15"/>
      <c r="Q296" s="15"/>
      <c r="R296" s="15"/>
      <c r="S296" s="15"/>
      <c r="T296" s="15"/>
      <c r="U296" s="15"/>
      <c r="V296" s="15"/>
      <c r="W296" s="15"/>
      <c r="X296" s="14"/>
      <c r="Y296" s="14"/>
      <c r="Z296" s="15"/>
      <c r="AA296" s="3"/>
      <c r="AB296" s="3"/>
      <c r="AC296" s="3"/>
      <c r="AD296" s="3"/>
      <c r="AE296" s="3"/>
      <c r="AF296" s="3"/>
    </row>
    <row r="297" ht="15.75" customHeight="1">
      <c r="J297" s="15"/>
      <c r="K297" s="188"/>
      <c r="L297" s="15"/>
      <c r="M297" s="15"/>
      <c r="N297" s="15"/>
      <c r="O297" s="15"/>
      <c r="P297" s="15"/>
      <c r="Q297" s="15"/>
      <c r="R297" s="15"/>
      <c r="S297" s="15"/>
      <c r="T297" s="15"/>
      <c r="U297" s="15"/>
      <c r="V297" s="15"/>
      <c r="W297" s="15"/>
      <c r="X297" s="14"/>
      <c r="Y297" s="14"/>
      <c r="Z297" s="15"/>
      <c r="AA297" s="3"/>
      <c r="AB297" s="3"/>
      <c r="AC297" s="3"/>
      <c r="AD297" s="3"/>
      <c r="AE297" s="3"/>
      <c r="AF297" s="3"/>
    </row>
    <row r="298" ht="15.75" customHeight="1">
      <c r="J298" s="15"/>
      <c r="K298" s="188"/>
      <c r="L298" s="15"/>
      <c r="M298" s="15"/>
      <c r="N298" s="15"/>
      <c r="O298" s="15"/>
      <c r="P298" s="15"/>
      <c r="Q298" s="15"/>
      <c r="R298" s="15"/>
      <c r="S298" s="15"/>
      <c r="T298" s="15"/>
      <c r="U298" s="15"/>
      <c r="V298" s="15"/>
      <c r="W298" s="15"/>
      <c r="X298" s="14"/>
      <c r="Y298" s="14"/>
      <c r="Z298" s="15"/>
      <c r="AA298" s="3"/>
      <c r="AB298" s="3"/>
      <c r="AC298" s="3"/>
      <c r="AD298" s="3"/>
      <c r="AE298" s="3"/>
      <c r="AF298" s="3"/>
    </row>
    <row r="299" ht="15.75" customHeight="1">
      <c r="J299" s="15"/>
      <c r="K299" s="188"/>
      <c r="L299" s="15"/>
      <c r="M299" s="15"/>
      <c r="N299" s="15"/>
      <c r="O299" s="15"/>
      <c r="P299" s="15"/>
      <c r="Q299" s="15"/>
      <c r="R299" s="15"/>
      <c r="S299" s="15"/>
      <c r="T299" s="15"/>
      <c r="U299" s="15"/>
      <c r="V299" s="15"/>
      <c r="W299" s="15"/>
      <c r="X299" s="14"/>
      <c r="Y299" s="14"/>
      <c r="Z299" s="15"/>
      <c r="AA299" s="3"/>
      <c r="AB299" s="3"/>
      <c r="AC299" s="3"/>
      <c r="AD299" s="3"/>
      <c r="AE299" s="3"/>
      <c r="AF299" s="3"/>
    </row>
    <row r="300" ht="15.75" customHeight="1">
      <c r="J300" s="15"/>
      <c r="K300" s="188"/>
      <c r="L300" s="15"/>
      <c r="M300" s="15"/>
      <c r="N300" s="15"/>
      <c r="O300" s="15"/>
      <c r="P300" s="15"/>
      <c r="Q300" s="15"/>
      <c r="R300" s="15"/>
      <c r="S300" s="15"/>
      <c r="T300" s="15"/>
      <c r="U300" s="15"/>
      <c r="V300" s="15"/>
      <c r="W300" s="15"/>
      <c r="X300" s="14"/>
      <c r="Y300" s="14"/>
      <c r="Z300" s="15"/>
      <c r="AA300" s="3"/>
      <c r="AB300" s="3"/>
      <c r="AC300" s="3"/>
      <c r="AD300" s="3"/>
      <c r="AE300" s="3"/>
      <c r="AF300" s="3"/>
    </row>
    <row r="301" ht="15.75" customHeight="1">
      <c r="J301" s="15"/>
      <c r="K301" s="188"/>
      <c r="L301" s="15"/>
      <c r="M301" s="15"/>
      <c r="N301" s="15"/>
      <c r="O301" s="15"/>
      <c r="P301" s="15"/>
      <c r="Q301" s="15"/>
      <c r="R301" s="15"/>
      <c r="S301" s="15"/>
      <c r="T301" s="15"/>
      <c r="U301" s="15"/>
      <c r="V301" s="15"/>
      <c r="W301" s="15"/>
      <c r="X301" s="14"/>
      <c r="Y301" s="14"/>
      <c r="Z301" s="15"/>
      <c r="AA301" s="3"/>
      <c r="AB301" s="3"/>
      <c r="AC301" s="3"/>
      <c r="AD301" s="3"/>
      <c r="AE301" s="3"/>
      <c r="AF301" s="3"/>
    </row>
    <row r="302" ht="15.75" customHeight="1">
      <c r="J302" s="15"/>
      <c r="K302" s="188"/>
      <c r="L302" s="15"/>
      <c r="M302" s="15"/>
      <c r="N302" s="15"/>
      <c r="O302" s="15"/>
      <c r="P302" s="15"/>
      <c r="Q302" s="15"/>
      <c r="R302" s="15"/>
      <c r="S302" s="15"/>
      <c r="T302" s="15"/>
      <c r="U302" s="15"/>
      <c r="V302" s="15"/>
      <c r="W302" s="15"/>
      <c r="X302" s="14"/>
      <c r="Y302" s="14"/>
      <c r="Z302" s="15"/>
      <c r="AA302" s="3"/>
      <c r="AB302" s="3"/>
      <c r="AC302" s="3"/>
      <c r="AD302" s="3"/>
      <c r="AE302" s="3"/>
      <c r="AF302" s="3"/>
    </row>
    <row r="303" ht="15.75" customHeight="1">
      <c r="J303" s="15"/>
      <c r="K303" s="188"/>
      <c r="L303" s="15"/>
      <c r="M303" s="15"/>
      <c r="N303" s="15"/>
      <c r="O303" s="15"/>
      <c r="P303" s="15"/>
      <c r="Q303" s="15"/>
      <c r="R303" s="15"/>
      <c r="S303" s="15"/>
      <c r="T303" s="15"/>
      <c r="U303" s="15"/>
      <c r="V303" s="15"/>
      <c r="W303" s="15"/>
      <c r="X303" s="14"/>
      <c r="Y303" s="14"/>
      <c r="Z303" s="15"/>
      <c r="AA303" s="3"/>
      <c r="AB303" s="3"/>
      <c r="AC303" s="3"/>
      <c r="AD303" s="3"/>
      <c r="AE303" s="3"/>
      <c r="AF303" s="3"/>
    </row>
    <row r="304" ht="15.75" customHeight="1">
      <c r="J304" s="15"/>
      <c r="K304" s="188"/>
      <c r="L304" s="15"/>
      <c r="M304" s="15"/>
      <c r="N304" s="15"/>
      <c r="O304" s="15"/>
      <c r="P304" s="15"/>
      <c r="Q304" s="15"/>
      <c r="R304" s="15"/>
      <c r="S304" s="15"/>
      <c r="T304" s="15"/>
      <c r="U304" s="15"/>
      <c r="V304" s="15"/>
      <c r="W304" s="15"/>
      <c r="X304" s="14"/>
      <c r="Y304" s="14"/>
      <c r="Z304" s="15"/>
      <c r="AA304" s="3"/>
      <c r="AB304" s="3"/>
      <c r="AC304" s="3"/>
      <c r="AD304" s="3"/>
      <c r="AE304" s="3"/>
      <c r="AF304" s="3"/>
    </row>
    <row r="305" ht="15.75" customHeight="1">
      <c r="J305" s="15"/>
      <c r="K305" s="188"/>
      <c r="L305" s="15"/>
      <c r="M305" s="15"/>
      <c r="N305" s="15"/>
      <c r="O305" s="15"/>
      <c r="P305" s="15"/>
      <c r="Q305" s="15"/>
      <c r="R305" s="15"/>
      <c r="S305" s="15"/>
      <c r="T305" s="15"/>
      <c r="U305" s="15"/>
      <c r="V305" s="15"/>
      <c r="W305" s="15"/>
      <c r="X305" s="14"/>
      <c r="Y305" s="14"/>
      <c r="Z305" s="15"/>
      <c r="AA305" s="3"/>
      <c r="AB305" s="3"/>
      <c r="AC305" s="3"/>
      <c r="AD305" s="3"/>
      <c r="AE305" s="3"/>
      <c r="AF305" s="3"/>
    </row>
    <row r="306" ht="15.75" customHeight="1">
      <c r="J306" s="15"/>
      <c r="K306" s="188"/>
      <c r="L306" s="15"/>
      <c r="M306" s="15"/>
      <c r="N306" s="15"/>
      <c r="O306" s="15"/>
      <c r="P306" s="15"/>
      <c r="Q306" s="15"/>
      <c r="R306" s="15"/>
      <c r="S306" s="15"/>
      <c r="T306" s="15"/>
      <c r="U306" s="15"/>
      <c r="V306" s="15"/>
      <c r="W306" s="15"/>
      <c r="X306" s="14"/>
      <c r="Y306" s="14"/>
      <c r="Z306" s="15"/>
      <c r="AA306" s="3"/>
      <c r="AB306" s="3"/>
      <c r="AC306" s="3"/>
      <c r="AD306" s="3"/>
      <c r="AE306" s="3"/>
      <c r="AF306" s="3"/>
    </row>
    <row r="307" ht="15.75" customHeight="1">
      <c r="J307" s="15"/>
      <c r="K307" s="188"/>
      <c r="L307" s="15"/>
      <c r="M307" s="15"/>
      <c r="N307" s="15"/>
      <c r="O307" s="15"/>
      <c r="P307" s="15"/>
      <c r="Q307" s="15"/>
      <c r="R307" s="15"/>
      <c r="S307" s="15"/>
      <c r="T307" s="15"/>
      <c r="U307" s="15"/>
      <c r="V307" s="15"/>
      <c r="W307" s="15"/>
      <c r="X307" s="14"/>
      <c r="Y307" s="14"/>
      <c r="Z307" s="15"/>
      <c r="AA307" s="3"/>
      <c r="AB307" s="3"/>
      <c r="AC307" s="3"/>
      <c r="AD307" s="3"/>
      <c r="AE307" s="3"/>
      <c r="AF307" s="3"/>
    </row>
    <row r="308" ht="15.75" customHeight="1">
      <c r="J308" s="15"/>
      <c r="K308" s="188"/>
      <c r="L308" s="15"/>
      <c r="M308" s="15"/>
      <c r="N308" s="15"/>
      <c r="O308" s="15"/>
      <c r="P308" s="15"/>
      <c r="Q308" s="15"/>
      <c r="R308" s="15"/>
      <c r="S308" s="15"/>
      <c r="T308" s="15"/>
      <c r="U308" s="15"/>
      <c r="V308" s="15"/>
      <c r="W308" s="15"/>
      <c r="X308" s="14"/>
      <c r="Y308" s="14"/>
      <c r="Z308" s="15"/>
      <c r="AA308" s="3"/>
      <c r="AB308" s="3"/>
      <c r="AC308" s="3"/>
      <c r="AD308" s="3"/>
      <c r="AE308" s="3"/>
      <c r="AF308" s="3"/>
    </row>
    <row r="309" ht="15.75" customHeight="1">
      <c r="J309" s="15"/>
      <c r="K309" s="188"/>
      <c r="L309" s="15"/>
      <c r="M309" s="15"/>
      <c r="N309" s="15"/>
      <c r="O309" s="15"/>
      <c r="P309" s="15"/>
      <c r="Q309" s="15"/>
      <c r="R309" s="15"/>
      <c r="S309" s="15"/>
      <c r="T309" s="15"/>
      <c r="U309" s="15"/>
      <c r="V309" s="15"/>
      <c r="W309" s="15"/>
      <c r="X309" s="14"/>
      <c r="Y309" s="14"/>
      <c r="Z309" s="15"/>
      <c r="AA309" s="3"/>
      <c r="AB309" s="3"/>
      <c r="AC309" s="3"/>
      <c r="AD309" s="3"/>
      <c r="AE309" s="3"/>
      <c r="AF309" s="3"/>
    </row>
    <row r="310" ht="15.75" customHeight="1">
      <c r="J310" s="15"/>
      <c r="K310" s="188"/>
      <c r="L310" s="15"/>
      <c r="M310" s="15"/>
      <c r="N310" s="15"/>
      <c r="O310" s="15"/>
      <c r="P310" s="15"/>
      <c r="Q310" s="15"/>
      <c r="R310" s="15"/>
      <c r="S310" s="15"/>
      <c r="T310" s="15"/>
      <c r="U310" s="15"/>
      <c r="V310" s="15"/>
      <c r="W310" s="15"/>
      <c r="X310" s="14"/>
      <c r="Y310" s="14"/>
      <c r="Z310" s="15"/>
      <c r="AA310" s="3"/>
      <c r="AB310" s="3"/>
      <c r="AC310" s="3"/>
      <c r="AD310" s="3"/>
      <c r="AE310" s="3"/>
      <c r="AF310" s="3"/>
    </row>
    <row r="311" ht="15.75" customHeight="1">
      <c r="J311" s="15"/>
      <c r="K311" s="188"/>
      <c r="L311" s="15"/>
      <c r="M311" s="15"/>
      <c r="N311" s="15"/>
      <c r="O311" s="15"/>
      <c r="P311" s="15"/>
      <c r="Q311" s="15"/>
      <c r="R311" s="15"/>
      <c r="S311" s="15"/>
      <c r="T311" s="15"/>
      <c r="U311" s="15"/>
      <c r="V311" s="15"/>
      <c r="W311" s="15"/>
      <c r="X311" s="14"/>
      <c r="Y311" s="14"/>
      <c r="Z311" s="15"/>
      <c r="AA311" s="3"/>
      <c r="AB311" s="3"/>
      <c r="AC311" s="3"/>
      <c r="AD311" s="3"/>
      <c r="AE311" s="3"/>
      <c r="AF311" s="3"/>
    </row>
    <row r="312" ht="15.75" customHeight="1">
      <c r="J312" s="15"/>
      <c r="K312" s="188"/>
      <c r="L312" s="15"/>
      <c r="M312" s="15"/>
      <c r="N312" s="15"/>
      <c r="O312" s="15"/>
      <c r="P312" s="15"/>
      <c r="Q312" s="15"/>
      <c r="R312" s="15"/>
      <c r="S312" s="15"/>
      <c r="T312" s="15"/>
      <c r="U312" s="15"/>
      <c r="V312" s="15"/>
      <c r="W312" s="15"/>
      <c r="X312" s="14"/>
      <c r="Y312" s="14"/>
      <c r="Z312" s="15"/>
      <c r="AA312" s="3"/>
      <c r="AB312" s="3"/>
      <c r="AC312" s="3"/>
      <c r="AD312" s="3"/>
      <c r="AE312" s="3"/>
      <c r="AF312" s="3"/>
    </row>
    <row r="313" ht="15.75" customHeight="1">
      <c r="J313" s="15"/>
      <c r="K313" s="188"/>
      <c r="L313" s="15"/>
      <c r="M313" s="15"/>
      <c r="N313" s="15"/>
      <c r="O313" s="15"/>
      <c r="P313" s="15"/>
      <c r="Q313" s="15"/>
      <c r="R313" s="15"/>
      <c r="S313" s="15"/>
      <c r="T313" s="15"/>
      <c r="U313" s="15"/>
      <c r="V313" s="15"/>
      <c r="W313" s="15"/>
      <c r="X313" s="14"/>
      <c r="Y313" s="14"/>
      <c r="Z313" s="15"/>
      <c r="AA313" s="3"/>
      <c r="AB313" s="3"/>
      <c r="AC313" s="3"/>
      <c r="AD313" s="3"/>
      <c r="AE313" s="3"/>
      <c r="AF313" s="3"/>
    </row>
    <row r="314" ht="15.75" customHeight="1">
      <c r="J314" s="15"/>
      <c r="K314" s="188"/>
      <c r="L314" s="15"/>
      <c r="M314" s="15"/>
      <c r="N314" s="15"/>
      <c r="O314" s="15"/>
      <c r="P314" s="15"/>
      <c r="Q314" s="15"/>
      <c r="R314" s="15"/>
      <c r="S314" s="15"/>
      <c r="T314" s="15"/>
      <c r="U314" s="15"/>
      <c r="V314" s="15"/>
      <c r="W314" s="15"/>
      <c r="X314" s="14"/>
      <c r="Y314" s="14"/>
      <c r="Z314" s="15"/>
      <c r="AA314" s="3"/>
      <c r="AB314" s="3"/>
      <c r="AC314" s="3"/>
      <c r="AD314" s="3"/>
      <c r="AE314" s="3"/>
      <c r="AF314" s="3"/>
    </row>
    <row r="315" ht="15.75" customHeight="1">
      <c r="J315" s="15"/>
      <c r="K315" s="188"/>
      <c r="L315" s="15"/>
      <c r="M315" s="15"/>
      <c r="N315" s="15"/>
      <c r="O315" s="15"/>
      <c r="P315" s="15"/>
      <c r="Q315" s="15"/>
      <c r="R315" s="15"/>
      <c r="S315" s="15"/>
      <c r="T315" s="15"/>
      <c r="U315" s="15"/>
      <c r="V315" s="15"/>
      <c r="W315" s="15"/>
      <c r="X315" s="14"/>
      <c r="Y315" s="14"/>
      <c r="Z315" s="15"/>
      <c r="AA315" s="3"/>
      <c r="AB315" s="3"/>
      <c r="AC315" s="3"/>
      <c r="AD315" s="3"/>
      <c r="AE315" s="3"/>
      <c r="AF315" s="3"/>
    </row>
    <row r="316" ht="15.75" customHeight="1">
      <c r="J316" s="15"/>
      <c r="K316" s="188"/>
      <c r="L316" s="15"/>
      <c r="M316" s="15"/>
      <c r="N316" s="15"/>
      <c r="O316" s="15"/>
      <c r="P316" s="15"/>
      <c r="Q316" s="15"/>
      <c r="R316" s="15"/>
      <c r="S316" s="15"/>
      <c r="T316" s="15"/>
      <c r="U316" s="15"/>
      <c r="V316" s="15"/>
      <c r="W316" s="15"/>
      <c r="X316" s="14"/>
      <c r="Y316" s="14"/>
      <c r="Z316" s="15"/>
      <c r="AA316" s="3"/>
      <c r="AB316" s="3"/>
      <c r="AC316" s="3"/>
      <c r="AD316" s="3"/>
      <c r="AE316" s="3"/>
      <c r="AF316" s="3"/>
    </row>
    <row r="317" ht="15.75" customHeight="1">
      <c r="J317" s="15"/>
      <c r="K317" s="188"/>
      <c r="L317" s="15"/>
      <c r="M317" s="15"/>
      <c r="N317" s="15"/>
      <c r="O317" s="15"/>
      <c r="P317" s="15"/>
      <c r="Q317" s="15"/>
      <c r="R317" s="15"/>
      <c r="S317" s="15"/>
      <c r="T317" s="15"/>
      <c r="U317" s="15"/>
      <c r="V317" s="15"/>
      <c r="W317" s="15"/>
      <c r="X317" s="14"/>
      <c r="Y317" s="14"/>
      <c r="Z317" s="15"/>
      <c r="AA317" s="3"/>
      <c r="AB317" s="3"/>
      <c r="AC317" s="3"/>
      <c r="AD317" s="3"/>
      <c r="AE317" s="3"/>
      <c r="AF317" s="3"/>
    </row>
    <row r="318" ht="15.75" customHeight="1">
      <c r="J318" s="15"/>
      <c r="K318" s="188"/>
      <c r="L318" s="15"/>
      <c r="M318" s="15"/>
      <c r="N318" s="15"/>
      <c r="O318" s="15"/>
      <c r="P318" s="15"/>
      <c r="Q318" s="15"/>
      <c r="R318" s="15"/>
      <c r="S318" s="15"/>
      <c r="T318" s="15"/>
      <c r="U318" s="15"/>
      <c r="V318" s="15"/>
      <c r="W318" s="15"/>
      <c r="X318" s="14"/>
      <c r="Y318" s="14"/>
      <c r="Z318" s="15"/>
      <c r="AA318" s="3"/>
      <c r="AB318" s="3"/>
      <c r="AC318" s="3"/>
      <c r="AD318" s="3"/>
      <c r="AE318" s="3"/>
      <c r="AF318" s="3"/>
    </row>
    <row r="319" ht="15.75" customHeight="1">
      <c r="J319" s="15"/>
      <c r="K319" s="188"/>
      <c r="L319" s="15"/>
      <c r="M319" s="15"/>
      <c r="N319" s="15"/>
      <c r="O319" s="15"/>
      <c r="P319" s="15"/>
      <c r="Q319" s="15"/>
      <c r="R319" s="15"/>
      <c r="S319" s="15"/>
      <c r="T319" s="15"/>
      <c r="U319" s="15"/>
      <c r="V319" s="15"/>
      <c r="W319" s="15"/>
      <c r="X319" s="14"/>
      <c r="Y319" s="14"/>
      <c r="Z319" s="15"/>
      <c r="AA319" s="3"/>
      <c r="AB319" s="3"/>
      <c r="AC319" s="3"/>
      <c r="AD319" s="3"/>
      <c r="AE319" s="3"/>
      <c r="AF319" s="3"/>
    </row>
    <row r="320" ht="15.75" customHeight="1">
      <c r="J320" s="15"/>
      <c r="K320" s="188"/>
      <c r="L320" s="15"/>
      <c r="M320" s="15"/>
      <c r="N320" s="15"/>
      <c r="O320" s="15"/>
      <c r="P320" s="15"/>
      <c r="Q320" s="15"/>
      <c r="R320" s="15"/>
      <c r="S320" s="15"/>
      <c r="T320" s="15"/>
      <c r="U320" s="15"/>
      <c r="V320" s="15"/>
      <c r="W320" s="15"/>
      <c r="X320" s="14"/>
      <c r="Y320" s="14"/>
      <c r="Z320" s="15"/>
      <c r="AA320" s="3"/>
      <c r="AB320" s="3"/>
      <c r="AC320" s="3"/>
      <c r="AD320" s="3"/>
      <c r="AE320" s="3"/>
      <c r="AF320" s="3"/>
    </row>
    <row r="321" ht="15.75" customHeight="1">
      <c r="J321" s="15"/>
      <c r="K321" s="188"/>
      <c r="L321" s="15"/>
      <c r="M321" s="15"/>
      <c r="N321" s="15"/>
      <c r="O321" s="15"/>
      <c r="P321" s="15"/>
      <c r="Q321" s="15"/>
      <c r="R321" s="15"/>
      <c r="S321" s="15"/>
      <c r="T321" s="15"/>
      <c r="U321" s="15"/>
      <c r="V321" s="15"/>
      <c r="W321" s="15"/>
      <c r="X321" s="14"/>
      <c r="Y321" s="14"/>
      <c r="Z321" s="15"/>
      <c r="AA321" s="3"/>
      <c r="AB321" s="3"/>
      <c r="AC321" s="3"/>
      <c r="AD321" s="3"/>
      <c r="AE321" s="3"/>
      <c r="AF321" s="3"/>
    </row>
    <row r="322" ht="15.75" customHeight="1">
      <c r="J322" s="15"/>
      <c r="K322" s="188"/>
      <c r="L322" s="15"/>
      <c r="M322" s="15"/>
      <c r="N322" s="15"/>
      <c r="O322" s="15"/>
      <c r="P322" s="15"/>
      <c r="Q322" s="15"/>
      <c r="R322" s="15"/>
      <c r="S322" s="15"/>
      <c r="T322" s="15"/>
      <c r="U322" s="15"/>
      <c r="V322" s="15"/>
      <c r="W322" s="15"/>
      <c r="X322" s="14"/>
      <c r="Y322" s="14"/>
      <c r="Z322" s="15"/>
      <c r="AA322" s="3"/>
      <c r="AB322" s="3"/>
      <c r="AC322" s="3"/>
      <c r="AD322" s="3"/>
      <c r="AE322" s="3"/>
      <c r="AF322" s="3"/>
    </row>
    <row r="323" ht="15.75" customHeight="1">
      <c r="J323" s="15"/>
      <c r="K323" s="188"/>
      <c r="L323" s="15"/>
      <c r="M323" s="15"/>
      <c r="N323" s="15"/>
      <c r="O323" s="15"/>
      <c r="P323" s="15"/>
      <c r="Q323" s="15"/>
      <c r="R323" s="15"/>
      <c r="S323" s="15"/>
      <c r="T323" s="15"/>
      <c r="U323" s="15"/>
      <c r="V323" s="15"/>
      <c r="W323" s="15"/>
      <c r="X323" s="14"/>
      <c r="Y323" s="14"/>
      <c r="Z323" s="15"/>
      <c r="AA323" s="3"/>
      <c r="AB323" s="3"/>
      <c r="AC323" s="3"/>
      <c r="AD323" s="3"/>
      <c r="AE323" s="3"/>
      <c r="AF323" s="3"/>
    </row>
    <row r="324" ht="15.75" customHeight="1">
      <c r="J324" s="15"/>
      <c r="K324" s="188"/>
      <c r="L324" s="15"/>
      <c r="M324" s="15"/>
      <c r="N324" s="15"/>
      <c r="O324" s="15"/>
      <c r="P324" s="15"/>
      <c r="Q324" s="15"/>
      <c r="R324" s="15"/>
      <c r="S324" s="15"/>
      <c r="T324" s="15"/>
      <c r="U324" s="15"/>
      <c r="V324" s="15"/>
      <c r="W324" s="15"/>
      <c r="X324" s="14"/>
      <c r="Y324" s="14"/>
      <c r="Z324" s="15"/>
      <c r="AA324" s="3"/>
      <c r="AB324" s="3"/>
      <c r="AC324" s="3"/>
      <c r="AD324" s="3"/>
      <c r="AE324" s="3"/>
      <c r="AF324" s="3"/>
    </row>
    <row r="325" ht="15.75" customHeight="1">
      <c r="J325" s="15"/>
      <c r="K325" s="188"/>
      <c r="L325" s="15"/>
      <c r="M325" s="15"/>
      <c r="N325" s="15"/>
      <c r="O325" s="15"/>
      <c r="P325" s="15"/>
      <c r="Q325" s="15"/>
      <c r="R325" s="15"/>
      <c r="S325" s="15"/>
      <c r="T325" s="15"/>
      <c r="U325" s="15"/>
      <c r="V325" s="15"/>
      <c r="W325" s="15"/>
      <c r="X325" s="14"/>
      <c r="Y325" s="14"/>
      <c r="Z325" s="15"/>
      <c r="AA325" s="3"/>
      <c r="AB325" s="3"/>
      <c r="AC325" s="3"/>
      <c r="AD325" s="3"/>
      <c r="AE325" s="3"/>
      <c r="AF325" s="3"/>
    </row>
    <row r="326" ht="15.75" customHeight="1">
      <c r="J326" s="15"/>
      <c r="K326" s="188"/>
      <c r="L326" s="15"/>
      <c r="M326" s="15"/>
      <c r="N326" s="15"/>
      <c r="O326" s="15"/>
      <c r="P326" s="15"/>
      <c r="Q326" s="15"/>
      <c r="R326" s="15"/>
      <c r="S326" s="15"/>
      <c r="T326" s="15"/>
      <c r="U326" s="15"/>
      <c r="V326" s="15"/>
      <c r="W326" s="15"/>
      <c r="X326" s="14"/>
      <c r="Y326" s="14"/>
      <c r="Z326" s="15"/>
      <c r="AA326" s="3"/>
      <c r="AB326" s="3"/>
      <c r="AC326" s="3"/>
      <c r="AD326" s="3"/>
      <c r="AE326" s="3"/>
      <c r="AF326" s="3"/>
    </row>
    <row r="327" ht="15.75" customHeight="1">
      <c r="J327" s="15"/>
      <c r="K327" s="188"/>
      <c r="L327" s="15"/>
      <c r="M327" s="15"/>
      <c r="N327" s="15"/>
      <c r="O327" s="15"/>
      <c r="P327" s="15"/>
      <c r="Q327" s="15"/>
      <c r="R327" s="15"/>
      <c r="S327" s="15"/>
      <c r="T327" s="15"/>
      <c r="U327" s="15"/>
      <c r="V327" s="15"/>
      <c r="W327" s="15"/>
      <c r="X327" s="14"/>
      <c r="Y327" s="14"/>
      <c r="Z327" s="15"/>
      <c r="AA327" s="3"/>
      <c r="AB327" s="3"/>
      <c r="AC327" s="3"/>
      <c r="AD327" s="3"/>
      <c r="AE327" s="3"/>
      <c r="AF327" s="3"/>
    </row>
    <row r="328" ht="15.75" customHeight="1">
      <c r="J328" s="15"/>
      <c r="K328" s="188"/>
      <c r="L328" s="15"/>
      <c r="M328" s="15"/>
      <c r="N328" s="15"/>
      <c r="O328" s="15"/>
      <c r="P328" s="15"/>
      <c r="Q328" s="15"/>
      <c r="R328" s="15"/>
      <c r="S328" s="15"/>
      <c r="T328" s="15"/>
      <c r="U328" s="15"/>
      <c r="V328" s="15"/>
      <c r="W328" s="15"/>
      <c r="X328" s="14"/>
      <c r="Y328" s="14"/>
      <c r="Z328" s="15"/>
      <c r="AA328" s="3"/>
      <c r="AB328" s="3"/>
      <c r="AC328" s="3"/>
      <c r="AD328" s="3"/>
      <c r="AE328" s="3"/>
      <c r="AF328" s="3"/>
    </row>
    <row r="329" ht="15.75" customHeight="1">
      <c r="J329" s="15"/>
      <c r="K329" s="188"/>
      <c r="L329" s="15"/>
      <c r="M329" s="15"/>
      <c r="N329" s="15"/>
      <c r="O329" s="15"/>
      <c r="P329" s="15"/>
      <c r="Q329" s="15"/>
      <c r="R329" s="15"/>
      <c r="S329" s="15"/>
      <c r="T329" s="15"/>
      <c r="U329" s="15"/>
      <c r="V329" s="15"/>
      <c r="W329" s="15"/>
      <c r="X329" s="14"/>
      <c r="Y329" s="14"/>
      <c r="Z329" s="15"/>
      <c r="AA329" s="3"/>
      <c r="AB329" s="3"/>
      <c r="AC329" s="3"/>
      <c r="AD329" s="3"/>
      <c r="AE329" s="3"/>
      <c r="AF329" s="3"/>
    </row>
    <row r="330" ht="15.75" customHeight="1">
      <c r="J330" s="15"/>
      <c r="K330" s="188"/>
      <c r="L330" s="15"/>
      <c r="M330" s="15"/>
      <c r="N330" s="15"/>
      <c r="O330" s="15"/>
      <c r="P330" s="15"/>
      <c r="Q330" s="15"/>
      <c r="R330" s="15"/>
      <c r="S330" s="15"/>
      <c r="T330" s="15"/>
      <c r="U330" s="15"/>
      <c r="V330" s="15"/>
      <c r="W330" s="15"/>
      <c r="X330" s="14"/>
      <c r="Y330" s="14"/>
      <c r="Z330" s="15"/>
      <c r="AA330" s="3"/>
      <c r="AB330" s="3"/>
      <c r="AC330" s="3"/>
      <c r="AD330" s="3"/>
      <c r="AE330" s="3"/>
      <c r="AF330" s="3"/>
    </row>
    <row r="331" ht="15.75" customHeight="1">
      <c r="J331" s="15"/>
      <c r="K331" s="188"/>
      <c r="L331" s="15"/>
      <c r="M331" s="15"/>
      <c r="N331" s="15"/>
      <c r="O331" s="15"/>
      <c r="P331" s="15"/>
      <c r="Q331" s="15"/>
      <c r="R331" s="15"/>
      <c r="S331" s="15"/>
      <c r="T331" s="15"/>
      <c r="U331" s="15"/>
      <c r="V331" s="15"/>
      <c r="W331" s="15"/>
      <c r="X331" s="14"/>
      <c r="Y331" s="14"/>
      <c r="Z331" s="15"/>
      <c r="AA331" s="3"/>
      <c r="AB331" s="3"/>
      <c r="AC331" s="3"/>
      <c r="AD331" s="3"/>
      <c r="AE331" s="3"/>
      <c r="AF331" s="3"/>
    </row>
    <row r="332" ht="15.75" customHeight="1">
      <c r="J332" s="15"/>
      <c r="K332" s="188"/>
      <c r="L332" s="15"/>
      <c r="M332" s="15"/>
      <c r="N332" s="15"/>
      <c r="O332" s="15"/>
      <c r="P332" s="15"/>
      <c r="Q332" s="15"/>
      <c r="R332" s="15"/>
      <c r="S332" s="15"/>
      <c r="T332" s="15"/>
      <c r="U332" s="15"/>
      <c r="V332" s="15"/>
      <c r="W332" s="15"/>
      <c r="X332" s="14"/>
      <c r="Y332" s="14"/>
      <c r="Z332" s="15"/>
      <c r="AA332" s="3"/>
      <c r="AB332" s="3"/>
      <c r="AC332" s="3"/>
      <c r="AD332" s="3"/>
      <c r="AE332" s="3"/>
      <c r="AF332" s="3"/>
    </row>
    <row r="333" ht="15.75" customHeight="1">
      <c r="J333" s="15"/>
      <c r="K333" s="188"/>
      <c r="L333" s="15"/>
      <c r="M333" s="15"/>
      <c r="N333" s="15"/>
      <c r="O333" s="15"/>
      <c r="P333" s="15"/>
      <c r="Q333" s="15"/>
      <c r="R333" s="15"/>
      <c r="S333" s="15"/>
      <c r="T333" s="15"/>
      <c r="U333" s="15"/>
      <c r="V333" s="15"/>
      <c r="W333" s="15"/>
      <c r="X333" s="14"/>
      <c r="Y333" s="14"/>
      <c r="Z333" s="15"/>
      <c r="AA333" s="3"/>
      <c r="AB333" s="3"/>
      <c r="AC333" s="3"/>
      <c r="AD333" s="3"/>
      <c r="AE333" s="3"/>
      <c r="AF333" s="3"/>
    </row>
    <row r="334" ht="15.75" customHeight="1">
      <c r="J334" s="15"/>
      <c r="K334" s="188"/>
      <c r="L334" s="15"/>
      <c r="M334" s="15"/>
      <c r="N334" s="15"/>
      <c r="O334" s="15"/>
      <c r="P334" s="15"/>
      <c r="Q334" s="15"/>
      <c r="R334" s="15"/>
      <c r="S334" s="15"/>
      <c r="T334" s="15"/>
      <c r="U334" s="15"/>
      <c r="V334" s="15"/>
      <c r="W334" s="15"/>
      <c r="X334" s="14"/>
      <c r="Y334" s="14"/>
      <c r="Z334" s="15"/>
      <c r="AA334" s="3"/>
      <c r="AB334" s="3"/>
      <c r="AC334" s="3"/>
      <c r="AD334" s="3"/>
      <c r="AE334" s="3"/>
      <c r="AF334" s="3"/>
    </row>
    <row r="335" ht="15.75" customHeight="1">
      <c r="J335" s="15"/>
      <c r="K335" s="188"/>
      <c r="L335" s="15"/>
      <c r="M335" s="15"/>
      <c r="N335" s="15"/>
      <c r="O335" s="15"/>
      <c r="P335" s="15"/>
      <c r="Q335" s="15"/>
      <c r="R335" s="15"/>
      <c r="S335" s="15"/>
      <c r="T335" s="15"/>
      <c r="U335" s="15"/>
      <c r="V335" s="15"/>
      <c r="W335" s="15"/>
      <c r="X335" s="14"/>
      <c r="Y335" s="14"/>
      <c r="Z335" s="15"/>
      <c r="AA335" s="3"/>
      <c r="AB335" s="3"/>
      <c r="AC335" s="3"/>
      <c r="AD335" s="3"/>
      <c r="AE335" s="3"/>
      <c r="AF335" s="3"/>
    </row>
    <row r="336" ht="15.75" customHeight="1">
      <c r="J336" s="15"/>
      <c r="K336" s="188"/>
      <c r="L336" s="15"/>
      <c r="M336" s="15"/>
      <c r="N336" s="15"/>
      <c r="O336" s="15"/>
      <c r="P336" s="15"/>
      <c r="Q336" s="15"/>
      <c r="R336" s="15"/>
      <c r="S336" s="15"/>
      <c r="T336" s="15"/>
      <c r="U336" s="15"/>
      <c r="V336" s="15"/>
      <c r="W336" s="15"/>
      <c r="X336" s="14"/>
      <c r="Y336" s="14"/>
      <c r="Z336" s="15"/>
      <c r="AA336" s="3"/>
      <c r="AB336" s="3"/>
      <c r="AC336" s="3"/>
      <c r="AD336" s="3"/>
      <c r="AE336" s="3"/>
      <c r="AF336" s="3"/>
    </row>
    <row r="337" ht="15.75" customHeight="1">
      <c r="J337" s="15"/>
      <c r="K337" s="188"/>
      <c r="L337" s="15"/>
      <c r="M337" s="15"/>
      <c r="N337" s="15"/>
      <c r="O337" s="15"/>
      <c r="P337" s="15"/>
      <c r="Q337" s="15"/>
      <c r="R337" s="15"/>
      <c r="S337" s="15"/>
      <c r="T337" s="15"/>
      <c r="U337" s="15"/>
      <c r="V337" s="15"/>
      <c r="W337" s="15"/>
      <c r="X337" s="14"/>
      <c r="Y337" s="14"/>
      <c r="Z337" s="15"/>
      <c r="AA337" s="3"/>
      <c r="AB337" s="3"/>
      <c r="AC337" s="3"/>
      <c r="AD337" s="3"/>
      <c r="AE337" s="3"/>
      <c r="AF337" s="3"/>
    </row>
    <row r="338" ht="15.75" customHeight="1">
      <c r="J338" s="15"/>
      <c r="K338" s="188"/>
      <c r="L338" s="15"/>
      <c r="M338" s="15"/>
      <c r="N338" s="15"/>
      <c r="O338" s="15"/>
      <c r="P338" s="15"/>
      <c r="Q338" s="15"/>
      <c r="R338" s="15"/>
      <c r="S338" s="15"/>
      <c r="T338" s="15"/>
      <c r="U338" s="15"/>
      <c r="V338" s="15"/>
      <c r="W338" s="15"/>
      <c r="X338" s="14"/>
      <c r="Y338" s="14"/>
      <c r="Z338" s="15"/>
      <c r="AA338" s="3"/>
      <c r="AB338" s="3"/>
      <c r="AC338" s="3"/>
      <c r="AD338" s="3"/>
      <c r="AE338" s="3"/>
      <c r="AF338" s="3"/>
    </row>
    <row r="339" ht="15.75" customHeight="1">
      <c r="J339" s="15"/>
      <c r="K339" s="188"/>
      <c r="L339" s="15"/>
      <c r="M339" s="15"/>
      <c r="N339" s="15"/>
      <c r="O339" s="15"/>
      <c r="P339" s="15"/>
      <c r="Q339" s="15"/>
      <c r="R339" s="15"/>
      <c r="S339" s="15"/>
      <c r="T339" s="15"/>
      <c r="U339" s="15"/>
      <c r="V339" s="15"/>
      <c r="W339" s="15"/>
      <c r="X339" s="14"/>
      <c r="Y339" s="14"/>
      <c r="Z339" s="15"/>
      <c r="AA339" s="3"/>
      <c r="AB339" s="3"/>
      <c r="AC339" s="3"/>
      <c r="AD339" s="3"/>
      <c r="AE339" s="3"/>
      <c r="AF339" s="3"/>
    </row>
    <row r="340" ht="15.75" customHeight="1">
      <c r="J340" s="15"/>
      <c r="K340" s="188"/>
      <c r="L340" s="15"/>
      <c r="M340" s="15"/>
      <c r="N340" s="15"/>
      <c r="O340" s="15"/>
      <c r="P340" s="15"/>
      <c r="Q340" s="15"/>
      <c r="R340" s="15"/>
      <c r="S340" s="15"/>
      <c r="T340" s="15"/>
      <c r="U340" s="15"/>
      <c r="V340" s="15"/>
      <c r="W340" s="15"/>
      <c r="X340" s="14"/>
      <c r="Y340" s="14"/>
      <c r="Z340" s="15"/>
      <c r="AA340" s="3"/>
      <c r="AB340" s="3"/>
      <c r="AC340" s="3"/>
      <c r="AD340" s="3"/>
      <c r="AE340" s="3"/>
      <c r="AF340" s="3"/>
    </row>
    <row r="341" ht="15.75" customHeight="1">
      <c r="J341" s="15"/>
      <c r="K341" s="188"/>
      <c r="L341" s="15"/>
      <c r="M341" s="15"/>
      <c r="N341" s="15"/>
      <c r="O341" s="15"/>
      <c r="P341" s="15"/>
      <c r="Q341" s="15"/>
      <c r="R341" s="15"/>
      <c r="S341" s="15"/>
      <c r="T341" s="15"/>
      <c r="U341" s="15"/>
      <c r="V341" s="15"/>
      <c r="W341" s="15"/>
      <c r="X341" s="14"/>
      <c r="Y341" s="14"/>
      <c r="Z341" s="15"/>
      <c r="AA341" s="3"/>
      <c r="AB341" s="3"/>
      <c r="AC341" s="3"/>
      <c r="AD341" s="3"/>
      <c r="AE341" s="3"/>
      <c r="AF341" s="3"/>
    </row>
    <row r="342" ht="15.75" customHeight="1">
      <c r="J342" s="15"/>
      <c r="K342" s="188"/>
      <c r="L342" s="15"/>
      <c r="M342" s="15"/>
      <c r="N342" s="15"/>
      <c r="O342" s="15"/>
      <c r="P342" s="15"/>
      <c r="Q342" s="15"/>
      <c r="R342" s="15"/>
      <c r="S342" s="15"/>
      <c r="T342" s="15"/>
      <c r="U342" s="15"/>
      <c r="V342" s="15"/>
      <c r="W342" s="15"/>
      <c r="X342" s="14"/>
      <c r="Y342" s="14"/>
      <c r="Z342" s="15"/>
      <c r="AA342" s="3"/>
      <c r="AB342" s="3"/>
      <c r="AC342" s="3"/>
      <c r="AD342" s="3"/>
      <c r="AE342" s="3"/>
      <c r="AF342" s="3"/>
    </row>
    <row r="343" ht="15.75" customHeight="1">
      <c r="J343" s="15"/>
      <c r="K343" s="188"/>
      <c r="L343" s="15"/>
      <c r="M343" s="15"/>
      <c r="N343" s="15"/>
      <c r="O343" s="15"/>
      <c r="P343" s="15"/>
      <c r="Q343" s="15"/>
      <c r="R343" s="15"/>
      <c r="S343" s="15"/>
      <c r="T343" s="15"/>
      <c r="U343" s="15"/>
      <c r="V343" s="15"/>
      <c r="W343" s="15"/>
      <c r="X343" s="14"/>
      <c r="Y343" s="14"/>
      <c r="Z343" s="15"/>
      <c r="AA343" s="3"/>
      <c r="AB343" s="3"/>
      <c r="AC343" s="3"/>
      <c r="AD343" s="3"/>
      <c r="AE343" s="3"/>
      <c r="AF343" s="3"/>
    </row>
    <row r="344" ht="15.75" customHeight="1">
      <c r="J344" s="15"/>
      <c r="K344" s="188"/>
      <c r="L344" s="15"/>
      <c r="M344" s="15"/>
      <c r="N344" s="15"/>
      <c r="O344" s="15"/>
      <c r="P344" s="15"/>
      <c r="Q344" s="15"/>
      <c r="R344" s="15"/>
      <c r="S344" s="15"/>
      <c r="T344" s="15"/>
      <c r="U344" s="15"/>
      <c r="V344" s="15"/>
      <c r="W344" s="15"/>
      <c r="X344" s="14"/>
      <c r="Y344" s="14"/>
      <c r="Z344" s="15"/>
      <c r="AA344" s="3"/>
      <c r="AB344" s="3"/>
      <c r="AC344" s="3"/>
      <c r="AD344" s="3"/>
      <c r="AE344" s="3"/>
      <c r="AF344" s="3"/>
    </row>
    <row r="345" ht="15.75" customHeight="1">
      <c r="J345" s="15"/>
      <c r="K345" s="188"/>
      <c r="L345" s="15"/>
      <c r="M345" s="15"/>
      <c r="N345" s="15"/>
      <c r="O345" s="15"/>
      <c r="P345" s="15"/>
      <c r="Q345" s="15"/>
      <c r="R345" s="15"/>
      <c r="S345" s="15"/>
      <c r="T345" s="15"/>
      <c r="U345" s="15"/>
      <c r="V345" s="15"/>
      <c r="W345" s="15"/>
      <c r="X345" s="14"/>
      <c r="Y345" s="14"/>
      <c r="Z345" s="15"/>
      <c r="AA345" s="3"/>
      <c r="AB345" s="3"/>
      <c r="AC345" s="3"/>
      <c r="AD345" s="3"/>
      <c r="AE345" s="3"/>
      <c r="AF345" s="3"/>
    </row>
    <row r="346" ht="15.75" customHeight="1">
      <c r="J346" s="15"/>
      <c r="K346" s="188"/>
      <c r="L346" s="15"/>
      <c r="M346" s="15"/>
      <c r="N346" s="15"/>
      <c r="O346" s="15"/>
      <c r="P346" s="15"/>
      <c r="Q346" s="15"/>
      <c r="R346" s="15"/>
      <c r="S346" s="15"/>
      <c r="T346" s="15"/>
      <c r="U346" s="15"/>
      <c r="V346" s="15"/>
      <c r="W346" s="15"/>
      <c r="X346" s="14"/>
      <c r="Y346" s="14"/>
      <c r="Z346" s="15"/>
      <c r="AA346" s="3"/>
      <c r="AB346" s="3"/>
      <c r="AC346" s="3"/>
      <c r="AD346" s="3"/>
      <c r="AE346" s="3"/>
      <c r="AF346" s="3"/>
    </row>
    <row r="347" ht="15.75" customHeight="1">
      <c r="J347" s="15"/>
      <c r="K347" s="188"/>
      <c r="L347" s="15"/>
      <c r="M347" s="15"/>
      <c r="N347" s="15"/>
      <c r="O347" s="15"/>
      <c r="P347" s="15"/>
      <c r="Q347" s="15"/>
      <c r="R347" s="15"/>
      <c r="S347" s="15"/>
      <c r="T347" s="15"/>
      <c r="U347" s="15"/>
      <c r="V347" s="15"/>
      <c r="W347" s="15"/>
      <c r="X347" s="14"/>
      <c r="Y347" s="14"/>
      <c r="Z347" s="15"/>
      <c r="AA347" s="3"/>
      <c r="AB347" s="3"/>
      <c r="AC347" s="3"/>
      <c r="AD347" s="3"/>
      <c r="AE347" s="3"/>
      <c r="AF347" s="3"/>
    </row>
    <row r="348" ht="15.75" customHeight="1">
      <c r="J348" s="15"/>
      <c r="K348" s="188"/>
      <c r="L348" s="15"/>
      <c r="M348" s="15"/>
      <c r="N348" s="15"/>
      <c r="O348" s="15"/>
      <c r="P348" s="15"/>
      <c r="Q348" s="15"/>
      <c r="R348" s="15"/>
      <c r="S348" s="15"/>
      <c r="T348" s="15"/>
      <c r="U348" s="15"/>
      <c r="V348" s="15"/>
      <c r="W348" s="15"/>
      <c r="X348" s="14"/>
      <c r="Y348" s="14"/>
      <c r="Z348" s="15"/>
      <c r="AA348" s="3"/>
      <c r="AB348" s="3"/>
      <c r="AC348" s="3"/>
      <c r="AD348" s="3"/>
      <c r="AE348" s="3"/>
      <c r="AF348" s="3"/>
    </row>
    <row r="349" ht="15.75" customHeight="1">
      <c r="J349" s="15"/>
      <c r="K349" s="188"/>
      <c r="L349" s="15"/>
      <c r="M349" s="15"/>
      <c r="N349" s="15"/>
      <c r="O349" s="15"/>
      <c r="P349" s="15"/>
      <c r="Q349" s="15"/>
      <c r="R349" s="15"/>
      <c r="S349" s="15"/>
      <c r="T349" s="15"/>
      <c r="U349" s="15"/>
      <c r="V349" s="15"/>
      <c r="W349" s="15"/>
      <c r="X349" s="14"/>
      <c r="Y349" s="14"/>
      <c r="Z349" s="15"/>
      <c r="AA349" s="3"/>
      <c r="AB349" s="3"/>
      <c r="AC349" s="3"/>
      <c r="AD349" s="3"/>
      <c r="AE349" s="3"/>
      <c r="AF349" s="3"/>
    </row>
    <row r="350" ht="15.75" customHeight="1">
      <c r="J350" s="15"/>
      <c r="K350" s="188"/>
      <c r="L350" s="15"/>
      <c r="M350" s="15"/>
      <c r="N350" s="15"/>
      <c r="O350" s="15"/>
      <c r="P350" s="15"/>
      <c r="Q350" s="15"/>
      <c r="R350" s="15"/>
      <c r="S350" s="15"/>
      <c r="T350" s="15"/>
      <c r="U350" s="15"/>
      <c r="V350" s="15"/>
      <c r="W350" s="15"/>
      <c r="X350" s="14"/>
      <c r="Y350" s="14"/>
      <c r="Z350" s="15"/>
      <c r="AA350" s="3"/>
      <c r="AB350" s="3"/>
      <c r="AC350" s="3"/>
      <c r="AD350" s="3"/>
      <c r="AE350" s="3"/>
      <c r="AF350" s="3"/>
    </row>
    <row r="351" ht="15.75" customHeight="1">
      <c r="J351" s="15"/>
      <c r="K351" s="188"/>
      <c r="L351" s="15"/>
      <c r="M351" s="15"/>
      <c r="N351" s="15"/>
      <c r="O351" s="15"/>
      <c r="P351" s="15"/>
      <c r="Q351" s="15"/>
      <c r="R351" s="15"/>
      <c r="S351" s="15"/>
      <c r="T351" s="15"/>
      <c r="U351" s="15"/>
      <c r="V351" s="15"/>
      <c r="W351" s="15"/>
      <c r="X351" s="14"/>
      <c r="Y351" s="14"/>
      <c r="Z351" s="15"/>
      <c r="AA351" s="3"/>
      <c r="AB351" s="3"/>
      <c r="AC351" s="3"/>
      <c r="AD351" s="3"/>
      <c r="AE351" s="3"/>
      <c r="AF351" s="3"/>
    </row>
    <row r="352" ht="15.75" customHeight="1">
      <c r="J352" s="15"/>
      <c r="K352" s="188"/>
      <c r="L352" s="15"/>
      <c r="M352" s="15"/>
      <c r="N352" s="15"/>
      <c r="O352" s="15"/>
      <c r="P352" s="15"/>
      <c r="Q352" s="15"/>
      <c r="R352" s="15"/>
      <c r="S352" s="15"/>
      <c r="T352" s="15"/>
      <c r="U352" s="15"/>
      <c r="V352" s="15"/>
      <c r="W352" s="15"/>
      <c r="X352" s="14"/>
      <c r="Y352" s="14"/>
      <c r="Z352" s="15"/>
      <c r="AA352" s="3"/>
      <c r="AB352" s="3"/>
      <c r="AC352" s="3"/>
      <c r="AD352" s="3"/>
      <c r="AE352" s="3"/>
      <c r="AF352" s="3"/>
    </row>
    <row r="353" ht="15.75" customHeight="1">
      <c r="J353" s="15"/>
      <c r="K353" s="188"/>
      <c r="L353" s="15"/>
      <c r="M353" s="15"/>
      <c r="N353" s="15"/>
      <c r="O353" s="15"/>
      <c r="P353" s="15"/>
      <c r="Q353" s="15"/>
      <c r="R353" s="15"/>
      <c r="S353" s="15"/>
      <c r="T353" s="15"/>
      <c r="U353" s="15"/>
      <c r="V353" s="15"/>
      <c r="W353" s="15"/>
      <c r="X353" s="14"/>
      <c r="Y353" s="14"/>
      <c r="Z353" s="15"/>
      <c r="AA353" s="3"/>
      <c r="AB353" s="3"/>
      <c r="AC353" s="3"/>
      <c r="AD353" s="3"/>
      <c r="AE353" s="3"/>
      <c r="AF353" s="3"/>
    </row>
    <row r="354" ht="15.75" customHeight="1">
      <c r="J354" s="15"/>
      <c r="K354" s="188"/>
      <c r="L354" s="15"/>
      <c r="M354" s="15"/>
      <c r="N354" s="15"/>
      <c r="O354" s="15"/>
      <c r="P354" s="15"/>
      <c r="Q354" s="15"/>
      <c r="R354" s="15"/>
      <c r="S354" s="15"/>
      <c r="T354" s="15"/>
      <c r="U354" s="15"/>
      <c r="V354" s="15"/>
      <c r="W354" s="15"/>
      <c r="X354" s="14"/>
      <c r="Y354" s="14"/>
      <c r="Z354" s="15"/>
      <c r="AA354" s="3"/>
      <c r="AB354" s="3"/>
      <c r="AC354" s="3"/>
      <c r="AD354" s="3"/>
      <c r="AE354" s="3"/>
      <c r="AF354" s="3"/>
    </row>
    <row r="355" ht="15.75" customHeight="1">
      <c r="J355" s="15"/>
      <c r="K355" s="188"/>
      <c r="L355" s="15"/>
      <c r="M355" s="15"/>
      <c r="N355" s="15"/>
      <c r="O355" s="15"/>
      <c r="P355" s="15"/>
      <c r="Q355" s="15"/>
      <c r="R355" s="15"/>
      <c r="S355" s="15"/>
      <c r="T355" s="15"/>
      <c r="U355" s="15"/>
      <c r="V355" s="15"/>
      <c r="W355" s="15"/>
      <c r="X355" s="14"/>
      <c r="Y355" s="14"/>
      <c r="Z355" s="15"/>
      <c r="AA355" s="3"/>
      <c r="AB355" s="3"/>
      <c r="AC355" s="3"/>
      <c r="AD355" s="3"/>
      <c r="AE355" s="3"/>
      <c r="AF355" s="3"/>
    </row>
    <row r="356" ht="15.75" customHeight="1">
      <c r="J356" s="15"/>
      <c r="K356" s="188"/>
      <c r="L356" s="15"/>
      <c r="M356" s="15"/>
      <c r="N356" s="15"/>
      <c r="O356" s="15"/>
      <c r="P356" s="15"/>
      <c r="Q356" s="15"/>
      <c r="R356" s="15"/>
      <c r="S356" s="15"/>
      <c r="T356" s="15"/>
      <c r="U356" s="15"/>
      <c r="V356" s="15"/>
      <c r="W356" s="15"/>
      <c r="X356" s="14"/>
      <c r="Y356" s="14"/>
      <c r="Z356" s="15"/>
      <c r="AA356" s="3"/>
      <c r="AB356" s="3"/>
      <c r="AC356" s="3"/>
      <c r="AD356" s="3"/>
      <c r="AE356" s="3"/>
      <c r="AF356" s="3"/>
    </row>
    <row r="357" ht="15.75" customHeight="1">
      <c r="J357" s="15"/>
      <c r="K357" s="188"/>
      <c r="L357" s="15"/>
      <c r="M357" s="15"/>
      <c r="N357" s="15"/>
      <c r="O357" s="15"/>
      <c r="P357" s="15"/>
      <c r="Q357" s="15"/>
      <c r="R357" s="15"/>
      <c r="S357" s="15"/>
      <c r="T357" s="15"/>
      <c r="U357" s="15"/>
      <c r="V357" s="15"/>
      <c r="W357" s="15"/>
      <c r="X357" s="14"/>
      <c r="Y357" s="14"/>
      <c r="Z357" s="15"/>
      <c r="AA357" s="3"/>
      <c r="AB357" s="3"/>
      <c r="AC357" s="3"/>
      <c r="AD357" s="3"/>
      <c r="AE357" s="3"/>
      <c r="AF357" s="3"/>
    </row>
    <row r="358" ht="15.75" customHeight="1">
      <c r="J358" s="15"/>
      <c r="K358" s="188"/>
      <c r="L358" s="15"/>
      <c r="M358" s="15"/>
      <c r="N358" s="15"/>
      <c r="O358" s="15"/>
      <c r="P358" s="15"/>
      <c r="Q358" s="15"/>
      <c r="R358" s="15"/>
      <c r="S358" s="15"/>
      <c r="T358" s="15"/>
      <c r="U358" s="15"/>
      <c r="V358" s="15"/>
      <c r="W358" s="15"/>
      <c r="X358" s="14"/>
      <c r="Y358" s="14"/>
      <c r="Z358" s="15"/>
      <c r="AA358" s="3"/>
      <c r="AB358" s="3"/>
      <c r="AC358" s="3"/>
      <c r="AD358" s="3"/>
      <c r="AE358" s="3"/>
      <c r="AF358" s="3"/>
    </row>
    <row r="359" ht="15.75" customHeight="1">
      <c r="J359" s="15"/>
      <c r="K359" s="188"/>
      <c r="L359" s="15"/>
      <c r="M359" s="15"/>
      <c r="N359" s="15"/>
      <c r="O359" s="15"/>
      <c r="P359" s="15"/>
      <c r="Q359" s="15"/>
      <c r="R359" s="15"/>
      <c r="S359" s="15"/>
      <c r="T359" s="15"/>
      <c r="U359" s="15"/>
      <c r="V359" s="15"/>
      <c r="W359" s="15"/>
      <c r="X359" s="14"/>
      <c r="Y359" s="14"/>
      <c r="Z359" s="15"/>
      <c r="AA359" s="3"/>
      <c r="AB359" s="3"/>
      <c r="AC359" s="3"/>
      <c r="AD359" s="3"/>
      <c r="AE359" s="3"/>
      <c r="AF359" s="3"/>
    </row>
    <row r="360" ht="15.75" customHeight="1">
      <c r="J360" s="15"/>
      <c r="K360" s="188"/>
      <c r="L360" s="15"/>
      <c r="M360" s="15"/>
      <c r="N360" s="15"/>
      <c r="O360" s="15"/>
      <c r="P360" s="15"/>
      <c r="Q360" s="15"/>
      <c r="R360" s="15"/>
      <c r="S360" s="15"/>
      <c r="T360" s="15"/>
      <c r="U360" s="15"/>
      <c r="V360" s="15"/>
      <c r="W360" s="15"/>
      <c r="X360" s="14"/>
      <c r="Y360" s="14"/>
      <c r="Z360" s="15"/>
      <c r="AA360" s="3"/>
      <c r="AB360" s="3"/>
      <c r="AC360" s="3"/>
      <c r="AD360" s="3"/>
      <c r="AE360" s="3"/>
      <c r="AF360" s="3"/>
    </row>
    <row r="361" ht="15.75" customHeight="1">
      <c r="J361" s="15"/>
      <c r="K361" s="188"/>
      <c r="L361" s="15"/>
      <c r="M361" s="15"/>
      <c r="N361" s="15"/>
      <c r="O361" s="15"/>
      <c r="P361" s="15"/>
      <c r="Q361" s="15"/>
      <c r="R361" s="15"/>
      <c r="S361" s="15"/>
      <c r="T361" s="15"/>
      <c r="U361" s="15"/>
      <c r="V361" s="15"/>
      <c r="W361" s="15"/>
      <c r="X361" s="14"/>
      <c r="Y361" s="14"/>
      <c r="Z361" s="15"/>
      <c r="AA361" s="3"/>
      <c r="AB361" s="3"/>
      <c r="AC361" s="3"/>
      <c r="AD361" s="3"/>
      <c r="AE361" s="3"/>
      <c r="AF361" s="3"/>
    </row>
    <row r="362" ht="15.75" customHeight="1">
      <c r="J362" s="15"/>
      <c r="K362" s="188"/>
      <c r="L362" s="15"/>
      <c r="M362" s="15"/>
      <c r="N362" s="15"/>
      <c r="O362" s="15"/>
      <c r="P362" s="15"/>
      <c r="Q362" s="15"/>
      <c r="R362" s="15"/>
      <c r="S362" s="15"/>
      <c r="T362" s="15"/>
      <c r="U362" s="15"/>
      <c r="V362" s="15"/>
      <c r="W362" s="15"/>
      <c r="X362" s="14"/>
      <c r="Y362" s="14"/>
      <c r="Z362" s="15"/>
      <c r="AA362" s="3"/>
      <c r="AB362" s="3"/>
      <c r="AC362" s="3"/>
      <c r="AD362" s="3"/>
      <c r="AE362" s="3"/>
      <c r="AF362" s="3"/>
    </row>
    <row r="363" ht="15.75" customHeight="1">
      <c r="J363" s="15"/>
      <c r="K363" s="188"/>
      <c r="L363" s="15"/>
      <c r="M363" s="15"/>
      <c r="N363" s="15"/>
      <c r="O363" s="15"/>
      <c r="P363" s="15"/>
      <c r="Q363" s="15"/>
      <c r="R363" s="15"/>
      <c r="S363" s="15"/>
      <c r="T363" s="15"/>
      <c r="U363" s="15"/>
      <c r="V363" s="15"/>
      <c r="W363" s="15"/>
      <c r="X363" s="14"/>
      <c r="Y363" s="14"/>
      <c r="Z363" s="15"/>
      <c r="AA363" s="3"/>
      <c r="AB363" s="3"/>
      <c r="AC363" s="3"/>
      <c r="AD363" s="3"/>
      <c r="AE363" s="3"/>
      <c r="AF363" s="3"/>
    </row>
    <row r="364" ht="15.75" customHeight="1">
      <c r="J364" s="15"/>
      <c r="K364" s="188"/>
      <c r="L364" s="15"/>
      <c r="M364" s="15"/>
      <c r="N364" s="15"/>
      <c r="O364" s="15"/>
      <c r="P364" s="15"/>
      <c r="Q364" s="15"/>
      <c r="R364" s="15"/>
      <c r="S364" s="15"/>
      <c r="T364" s="15"/>
      <c r="U364" s="15"/>
      <c r="V364" s="15"/>
      <c r="W364" s="15"/>
      <c r="X364" s="14"/>
      <c r="Y364" s="14"/>
      <c r="Z364" s="15"/>
      <c r="AA364" s="3"/>
      <c r="AB364" s="3"/>
      <c r="AC364" s="3"/>
      <c r="AD364" s="3"/>
      <c r="AE364" s="3"/>
      <c r="AF364" s="3"/>
    </row>
    <row r="365" ht="15.75" customHeight="1">
      <c r="J365" s="15"/>
      <c r="K365" s="188"/>
      <c r="L365" s="15"/>
      <c r="M365" s="15"/>
      <c r="N365" s="15"/>
      <c r="O365" s="15"/>
      <c r="P365" s="15"/>
      <c r="Q365" s="15"/>
      <c r="R365" s="15"/>
      <c r="S365" s="15"/>
      <c r="T365" s="15"/>
      <c r="U365" s="15"/>
      <c r="V365" s="15"/>
      <c r="W365" s="15"/>
      <c r="X365" s="14"/>
      <c r="Y365" s="14"/>
      <c r="Z365" s="15"/>
      <c r="AA365" s="3"/>
      <c r="AB365" s="3"/>
      <c r="AC365" s="3"/>
      <c r="AD365" s="3"/>
      <c r="AE365" s="3"/>
      <c r="AF365" s="3"/>
    </row>
    <row r="366" ht="15.75" customHeight="1">
      <c r="J366" s="15"/>
      <c r="K366" s="188"/>
      <c r="L366" s="15"/>
      <c r="M366" s="15"/>
      <c r="N366" s="15"/>
      <c r="O366" s="15"/>
      <c r="P366" s="15"/>
      <c r="Q366" s="15"/>
      <c r="R366" s="15"/>
      <c r="S366" s="15"/>
      <c r="T366" s="15"/>
      <c r="U366" s="15"/>
      <c r="V366" s="15"/>
      <c r="W366" s="15"/>
      <c r="X366" s="14"/>
      <c r="Y366" s="14"/>
      <c r="Z366" s="15"/>
      <c r="AA366" s="3"/>
      <c r="AB366" s="3"/>
      <c r="AC366" s="3"/>
      <c r="AD366" s="3"/>
      <c r="AE366" s="3"/>
      <c r="AF366" s="3"/>
    </row>
    <row r="367" ht="15.75" customHeight="1">
      <c r="J367" s="15"/>
      <c r="K367" s="188"/>
      <c r="L367" s="15"/>
      <c r="M367" s="15"/>
      <c r="N367" s="15"/>
      <c r="O367" s="15"/>
      <c r="P367" s="15"/>
      <c r="Q367" s="15"/>
      <c r="R367" s="15"/>
      <c r="S367" s="15"/>
      <c r="T367" s="15"/>
      <c r="U367" s="15"/>
      <c r="V367" s="15"/>
      <c r="W367" s="15"/>
      <c r="X367" s="14"/>
      <c r="Y367" s="14"/>
      <c r="Z367" s="15"/>
      <c r="AA367" s="3"/>
      <c r="AB367" s="3"/>
      <c r="AC367" s="3"/>
      <c r="AD367" s="3"/>
      <c r="AE367" s="3"/>
      <c r="AF367" s="3"/>
    </row>
    <row r="368" ht="15.75" customHeight="1">
      <c r="J368" s="15"/>
      <c r="K368" s="188"/>
      <c r="L368" s="15"/>
      <c r="M368" s="15"/>
      <c r="N368" s="15"/>
      <c r="O368" s="15"/>
      <c r="P368" s="15"/>
      <c r="Q368" s="15"/>
      <c r="R368" s="15"/>
      <c r="S368" s="15"/>
      <c r="T368" s="15"/>
      <c r="U368" s="15"/>
      <c r="V368" s="15"/>
      <c r="W368" s="15"/>
      <c r="X368" s="14"/>
      <c r="Y368" s="14"/>
      <c r="Z368" s="15"/>
      <c r="AA368" s="3"/>
      <c r="AB368" s="3"/>
      <c r="AC368" s="3"/>
      <c r="AD368" s="3"/>
      <c r="AE368" s="3"/>
      <c r="AF368" s="3"/>
    </row>
    <row r="369" ht="15.75" customHeight="1">
      <c r="J369" s="15"/>
      <c r="K369" s="188"/>
      <c r="L369" s="15"/>
      <c r="M369" s="15"/>
      <c r="N369" s="15"/>
      <c r="O369" s="15"/>
      <c r="P369" s="15"/>
      <c r="Q369" s="15"/>
      <c r="R369" s="15"/>
      <c r="S369" s="15"/>
      <c r="T369" s="15"/>
      <c r="U369" s="15"/>
      <c r="V369" s="15"/>
      <c r="W369" s="15"/>
      <c r="X369" s="14"/>
      <c r="Y369" s="14"/>
      <c r="Z369" s="15"/>
      <c r="AA369" s="3"/>
      <c r="AB369" s="3"/>
      <c r="AC369" s="3"/>
      <c r="AD369" s="3"/>
      <c r="AE369" s="3"/>
      <c r="AF369" s="3"/>
    </row>
    <row r="370" ht="15.75" customHeight="1">
      <c r="J370" s="15"/>
      <c r="K370" s="188"/>
      <c r="L370" s="15"/>
      <c r="M370" s="15"/>
      <c r="N370" s="15"/>
      <c r="O370" s="15"/>
      <c r="P370" s="15"/>
      <c r="Q370" s="15"/>
      <c r="R370" s="15"/>
      <c r="S370" s="15"/>
      <c r="T370" s="15"/>
      <c r="U370" s="15"/>
      <c r="V370" s="15"/>
      <c r="W370" s="15"/>
      <c r="X370" s="14"/>
      <c r="Y370" s="14"/>
      <c r="Z370" s="15"/>
      <c r="AA370" s="3"/>
      <c r="AB370" s="3"/>
      <c r="AC370" s="3"/>
      <c r="AD370" s="3"/>
      <c r="AE370" s="3"/>
      <c r="AF370" s="3"/>
    </row>
    <row r="371" ht="15.75" customHeight="1">
      <c r="J371" s="15"/>
      <c r="K371" s="188"/>
      <c r="L371" s="15"/>
      <c r="M371" s="15"/>
      <c r="N371" s="15"/>
      <c r="O371" s="15"/>
      <c r="P371" s="15"/>
      <c r="Q371" s="15"/>
      <c r="R371" s="15"/>
      <c r="S371" s="15"/>
      <c r="T371" s="15"/>
      <c r="U371" s="15"/>
      <c r="V371" s="15"/>
      <c r="W371" s="15"/>
      <c r="X371" s="14"/>
      <c r="Y371" s="14"/>
      <c r="Z371" s="15"/>
      <c r="AA371" s="3"/>
      <c r="AB371" s="3"/>
      <c r="AC371" s="3"/>
      <c r="AD371" s="3"/>
      <c r="AE371" s="3"/>
      <c r="AF371" s="3"/>
    </row>
    <row r="372" ht="15.75" customHeight="1">
      <c r="J372" s="15"/>
      <c r="K372" s="188"/>
      <c r="L372" s="15"/>
      <c r="M372" s="15"/>
      <c r="N372" s="15"/>
      <c r="O372" s="15"/>
      <c r="P372" s="15"/>
      <c r="Q372" s="15"/>
      <c r="R372" s="15"/>
      <c r="S372" s="15"/>
      <c r="T372" s="15"/>
      <c r="U372" s="15"/>
      <c r="V372" s="15"/>
      <c r="W372" s="15"/>
      <c r="X372" s="14"/>
      <c r="Y372" s="14"/>
      <c r="Z372" s="15"/>
      <c r="AA372" s="3"/>
      <c r="AB372" s="3"/>
      <c r="AC372" s="3"/>
      <c r="AD372" s="3"/>
      <c r="AE372" s="3"/>
      <c r="AF372" s="3"/>
    </row>
    <row r="373" ht="15.75" customHeight="1">
      <c r="J373" s="15"/>
      <c r="K373" s="188"/>
      <c r="L373" s="15"/>
      <c r="M373" s="15"/>
      <c r="N373" s="15"/>
      <c r="O373" s="15"/>
      <c r="P373" s="15"/>
      <c r="Q373" s="15"/>
      <c r="R373" s="15"/>
      <c r="S373" s="15"/>
      <c r="T373" s="15"/>
      <c r="U373" s="15"/>
      <c r="V373" s="15"/>
      <c r="W373" s="15"/>
      <c r="X373" s="14"/>
      <c r="Y373" s="14"/>
      <c r="Z373" s="15"/>
      <c r="AA373" s="3"/>
      <c r="AB373" s="3"/>
      <c r="AC373" s="3"/>
      <c r="AD373" s="3"/>
      <c r="AE373" s="3"/>
      <c r="AF373" s="3"/>
    </row>
    <row r="374" ht="15.75" customHeight="1">
      <c r="J374" s="15"/>
      <c r="K374" s="188"/>
      <c r="L374" s="15"/>
      <c r="M374" s="15"/>
      <c r="N374" s="15"/>
      <c r="O374" s="15"/>
      <c r="P374" s="15"/>
      <c r="Q374" s="15"/>
      <c r="R374" s="15"/>
      <c r="S374" s="15"/>
      <c r="T374" s="15"/>
      <c r="U374" s="15"/>
      <c r="V374" s="15"/>
      <c r="W374" s="15"/>
      <c r="X374" s="14"/>
      <c r="Y374" s="14"/>
      <c r="Z374" s="15"/>
      <c r="AA374" s="3"/>
      <c r="AB374" s="3"/>
      <c r="AC374" s="3"/>
      <c r="AD374" s="3"/>
      <c r="AE374" s="3"/>
      <c r="AF374" s="3"/>
    </row>
    <row r="375" ht="15.75" customHeight="1">
      <c r="J375" s="15"/>
      <c r="K375" s="188"/>
      <c r="L375" s="15"/>
      <c r="M375" s="15"/>
      <c r="N375" s="15"/>
      <c r="O375" s="15"/>
      <c r="P375" s="15"/>
      <c r="Q375" s="15"/>
      <c r="R375" s="15"/>
      <c r="S375" s="15"/>
      <c r="T375" s="15"/>
      <c r="U375" s="15"/>
      <c r="V375" s="15"/>
      <c r="W375" s="15"/>
      <c r="X375" s="14"/>
      <c r="Y375" s="14"/>
      <c r="Z375" s="15"/>
      <c r="AA375" s="3"/>
      <c r="AB375" s="3"/>
      <c r="AC375" s="3"/>
      <c r="AD375" s="3"/>
      <c r="AE375" s="3"/>
      <c r="AF375" s="3"/>
    </row>
    <row r="376" ht="15.75" customHeight="1">
      <c r="J376" s="15"/>
      <c r="K376" s="188"/>
      <c r="L376" s="15"/>
      <c r="M376" s="15"/>
      <c r="N376" s="15"/>
      <c r="O376" s="15"/>
      <c r="P376" s="15"/>
      <c r="Q376" s="15"/>
      <c r="R376" s="15"/>
      <c r="S376" s="15"/>
      <c r="T376" s="15"/>
      <c r="U376" s="15"/>
      <c r="V376" s="15"/>
      <c r="W376" s="15"/>
      <c r="X376" s="14"/>
      <c r="Y376" s="14"/>
      <c r="Z376" s="15"/>
      <c r="AA376" s="3"/>
      <c r="AB376" s="3"/>
      <c r="AC376" s="3"/>
      <c r="AD376" s="3"/>
      <c r="AE376" s="3"/>
      <c r="AF376" s="3"/>
    </row>
    <row r="377" ht="15.75" customHeight="1">
      <c r="J377" s="15"/>
      <c r="K377" s="188"/>
      <c r="L377" s="15"/>
      <c r="M377" s="15"/>
      <c r="N377" s="15"/>
      <c r="O377" s="15"/>
      <c r="P377" s="15"/>
      <c r="Q377" s="15"/>
      <c r="R377" s="15"/>
      <c r="S377" s="15"/>
      <c r="T377" s="15"/>
      <c r="U377" s="15"/>
      <c r="V377" s="15"/>
      <c r="W377" s="15"/>
      <c r="X377" s="14"/>
      <c r="Y377" s="14"/>
      <c r="Z377" s="15"/>
      <c r="AA377" s="3"/>
      <c r="AB377" s="3"/>
      <c r="AC377" s="3"/>
      <c r="AD377" s="3"/>
      <c r="AE377" s="3"/>
      <c r="AF377" s="3"/>
    </row>
    <row r="378" ht="15.75" customHeight="1">
      <c r="J378" s="15"/>
      <c r="K378" s="188"/>
      <c r="L378" s="15"/>
      <c r="M378" s="15"/>
      <c r="N378" s="15"/>
      <c r="O378" s="15"/>
      <c r="P378" s="15"/>
      <c r="Q378" s="15"/>
      <c r="R378" s="15"/>
      <c r="S378" s="15"/>
      <c r="T378" s="15"/>
      <c r="U378" s="15"/>
      <c r="V378" s="15"/>
      <c r="W378" s="15"/>
      <c r="X378" s="14"/>
      <c r="Y378" s="14"/>
      <c r="Z378" s="15"/>
      <c r="AA378" s="3"/>
      <c r="AB378" s="3"/>
      <c r="AC378" s="3"/>
      <c r="AD378" s="3"/>
      <c r="AE378" s="3"/>
      <c r="AF378" s="3"/>
    </row>
    <row r="379" ht="15.75" customHeight="1">
      <c r="J379" s="15"/>
      <c r="K379" s="188"/>
      <c r="L379" s="15"/>
      <c r="M379" s="15"/>
      <c r="N379" s="15"/>
      <c r="O379" s="15"/>
      <c r="P379" s="15"/>
      <c r="Q379" s="15"/>
      <c r="R379" s="15"/>
      <c r="S379" s="15"/>
      <c r="T379" s="15"/>
      <c r="U379" s="15"/>
      <c r="V379" s="15"/>
      <c r="W379" s="15"/>
      <c r="X379" s="14"/>
      <c r="Y379" s="14"/>
      <c r="Z379" s="15"/>
      <c r="AA379" s="3"/>
      <c r="AB379" s="3"/>
      <c r="AC379" s="3"/>
      <c r="AD379" s="3"/>
      <c r="AE379" s="3"/>
      <c r="AF379" s="3"/>
    </row>
    <row r="380" ht="15.75" customHeight="1">
      <c r="J380" s="15"/>
      <c r="K380" s="188"/>
      <c r="L380" s="15"/>
      <c r="M380" s="15"/>
      <c r="N380" s="15"/>
      <c r="O380" s="15"/>
      <c r="P380" s="15"/>
      <c r="Q380" s="15"/>
      <c r="R380" s="15"/>
      <c r="S380" s="15"/>
      <c r="T380" s="15"/>
      <c r="U380" s="15"/>
      <c r="V380" s="15"/>
      <c r="W380" s="15"/>
      <c r="X380" s="14"/>
      <c r="Y380" s="14"/>
      <c r="Z380" s="15"/>
      <c r="AA380" s="3"/>
      <c r="AB380" s="3"/>
      <c r="AC380" s="3"/>
      <c r="AD380" s="3"/>
      <c r="AE380" s="3"/>
      <c r="AF380" s="3"/>
    </row>
    <row r="381" ht="15.75" customHeight="1">
      <c r="J381" s="15"/>
      <c r="K381" s="188"/>
      <c r="L381" s="15"/>
      <c r="M381" s="15"/>
      <c r="N381" s="15"/>
      <c r="O381" s="15"/>
      <c r="P381" s="15"/>
      <c r="Q381" s="15"/>
      <c r="R381" s="15"/>
      <c r="S381" s="15"/>
      <c r="T381" s="15"/>
      <c r="U381" s="15"/>
      <c r="V381" s="15"/>
      <c r="W381" s="15"/>
      <c r="X381" s="14"/>
      <c r="Y381" s="14"/>
      <c r="Z381" s="15"/>
      <c r="AA381" s="3"/>
      <c r="AB381" s="3"/>
      <c r="AC381" s="3"/>
      <c r="AD381" s="3"/>
      <c r="AE381" s="3"/>
      <c r="AF381" s="3"/>
    </row>
    <row r="382" ht="15.75" customHeight="1">
      <c r="J382" s="15"/>
      <c r="K382" s="188"/>
      <c r="L382" s="15"/>
      <c r="M382" s="15"/>
      <c r="N382" s="15"/>
      <c r="O382" s="15"/>
      <c r="P382" s="15"/>
      <c r="Q382" s="15"/>
      <c r="R382" s="15"/>
      <c r="S382" s="15"/>
      <c r="T382" s="15"/>
      <c r="U382" s="15"/>
      <c r="V382" s="15"/>
      <c r="W382" s="15"/>
      <c r="X382" s="14"/>
      <c r="Y382" s="14"/>
      <c r="Z382" s="15"/>
      <c r="AA382" s="3"/>
      <c r="AB382" s="3"/>
      <c r="AC382" s="3"/>
      <c r="AD382" s="3"/>
      <c r="AE382" s="3"/>
      <c r="AF382" s="3"/>
    </row>
    <row r="383" ht="15.75" customHeight="1">
      <c r="J383" s="15"/>
      <c r="K383" s="188"/>
      <c r="L383" s="15"/>
      <c r="M383" s="15"/>
      <c r="N383" s="15"/>
      <c r="O383" s="15"/>
      <c r="P383" s="15"/>
      <c r="Q383" s="15"/>
      <c r="R383" s="15"/>
      <c r="S383" s="15"/>
      <c r="T383" s="15"/>
      <c r="U383" s="15"/>
      <c r="V383" s="15"/>
      <c r="W383" s="15"/>
      <c r="X383" s="14"/>
      <c r="Y383" s="14"/>
      <c r="Z383" s="15"/>
      <c r="AA383" s="3"/>
      <c r="AB383" s="3"/>
      <c r="AC383" s="3"/>
      <c r="AD383" s="3"/>
      <c r="AE383" s="3"/>
      <c r="AF383" s="3"/>
    </row>
    <row r="384" ht="15.75" customHeight="1">
      <c r="J384" s="15"/>
      <c r="K384" s="188"/>
      <c r="L384" s="15"/>
      <c r="M384" s="15"/>
      <c r="N384" s="15"/>
      <c r="O384" s="15"/>
      <c r="P384" s="15"/>
      <c r="Q384" s="15"/>
      <c r="R384" s="15"/>
      <c r="S384" s="15"/>
      <c r="T384" s="15"/>
      <c r="U384" s="15"/>
      <c r="V384" s="15"/>
      <c r="W384" s="15"/>
      <c r="X384" s="14"/>
      <c r="Y384" s="14"/>
      <c r="Z384" s="15"/>
      <c r="AA384" s="3"/>
      <c r="AB384" s="3"/>
      <c r="AC384" s="3"/>
      <c r="AD384" s="3"/>
      <c r="AE384" s="3"/>
      <c r="AF384" s="3"/>
    </row>
    <row r="385" ht="15.75" customHeight="1">
      <c r="J385" s="15"/>
      <c r="K385" s="188"/>
      <c r="L385" s="15"/>
      <c r="M385" s="15"/>
      <c r="N385" s="15"/>
      <c r="O385" s="15"/>
      <c r="P385" s="15"/>
      <c r="Q385" s="15"/>
      <c r="R385" s="15"/>
      <c r="S385" s="15"/>
      <c r="T385" s="15"/>
      <c r="U385" s="15"/>
      <c r="V385" s="15"/>
      <c r="W385" s="15"/>
      <c r="X385" s="14"/>
      <c r="Y385" s="14"/>
      <c r="Z385" s="15"/>
      <c r="AA385" s="3"/>
      <c r="AB385" s="3"/>
      <c r="AC385" s="3"/>
      <c r="AD385" s="3"/>
      <c r="AE385" s="3"/>
      <c r="AF385" s="3"/>
    </row>
    <row r="386" ht="15.75" customHeight="1">
      <c r="J386" s="15"/>
      <c r="K386" s="188"/>
      <c r="L386" s="15"/>
      <c r="M386" s="15"/>
      <c r="N386" s="15"/>
      <c r="O386" s="15"/>
      <c r="P386" s="15"/>
      <c r="Q386" s="15"/>
      <c r="R386" s="15"/>
      <c r="S386" s="15"/>
      <c r="T386" s="15"/>
      <c r="U386" s="15"/>
      <c r="V386" s="15"/>
      <c r="W386" s="15"/>
      <c r="X386" s="14"/>
      <c r="Y386" s="14"/>
      <c r="Z386" s="15"/>
      <c r="AA386" s="3"/>
      <c r="AB386" s="3"/>
      <c r="AC386" s="3"/>
      <c r="AD386" s="3"/>
      <c r="AE386" s="3"/>
      <c r="AF386" s="3"/>
    </row>
    <row r="387" ht="15.75" customHeight="1">
      <c r="J387" s="15"/>
      <c r="K387" s="188"/>
      <c r="L387" s="15"/>
      <c r="M387" s="15"/>
      <c r="N387" s="15"/>
      <c r="O387" s="15"/>
      <c r="P387" s="15"/>
      <c r="Q387" s="15"/>
      <c r="R387" s="15"/>
      <c r="S387" s="15"/>
      <c r="T387" s="15"/>
      <c r="U387" s="15"/>
      <c r="V387" s="15"/>
      <c r="W387" s="15"/>
      <c r="X387" s="14"/>
      <c r="Y387" s="14"/>
      <c r="Z387" s="15"/>
      <c r="AA387" s="3"/>
      <c r="AB387" s="3"/>
      <c r="AC387" s="3"/>
      <c r="AD387" s="3"/>
      <c r="AE387" s="3"/>
      <c r="AF387" s="3"/>
    </row>
    <row r="388" ht="15.75" customHeight="1">
      <c r="J388" s="15"/>
      <c r="K388" s="188"/>
      <c r="L388" s="15"/>
      <c r="M388" s="15"/>
      <c r="N388" s="15"/>
      <c r="O388" s="15"/>
      <c r="P388" s="15"/>
      <c r="Q388" s="15"/>
      <c r="R388" s="15"/>
      <c r="S388" s="15"/>
      <c r="T388" s="15"/>
      <c r="U388" s="15"/>
      <c r="V388" s="15"/>
      <c r="W388" s="15"/>
      <c r="X388" s="14"/>
      <c r="Y388" s="14"/>
      <c r="Z388" s="15"/>
      <c r="AA388" s="3"/>
      <c r="AB388" s="3"/>
      <c r="AC388" s="3"/>
      <c r="AD388" s="3"/>
      <c r="AE388" s="3"/>
      <c r="AF388" s="3"/>
    </row>
    <row r="389" ht="15.75" customHeight="1">
      <c r="J389" s="15"/>
      <c r="K389" s="188"/>
      <c r="L389" s="15"/>
      <c r="M389" s="15"/>
      <c r="N389" s="15"/>
      <c r="O389" s="15"/>
      <c r="P389" s="15"/>
      <c r="Q389" s="15"/>
      <c r="R389" s="15"/>
      <c r="S389" s="15"/>
      <c r="T389" s="15"/>
      <c r="U389" s="15"/>
      <c r="V389" s="15"/>
      <c r="W389" s="15"/>
      <c r="X389" s="14"/>
      <c r="Y389" s="14"/>
      <c r="Z389" s="15"/>
      <c r="AA389" s="3"/>
      <c r="AB389" s="3"/>
      <c r="AC389" s="3"/>
      <c r="AD389" s="3"/>
      <c r="AE389" s="3"/>
      <c r="AF389" s="3"/>
    </row>
    <row r="390" ht="15.75" customHeight="1">
      <c r="J390" s="15"/>
      <c r="K390" s="188"/>
      <c r="L390" s="15"/>
      <c r="M390" s="15"/>
      <c r="N390" s="15"/>
      <c r="O390" s="15"/>
      <c r="P390" s="15"/>
      <c r="Q390" s="15"/>
      <c r="R390" s="15"/>
      <c r="S390" s="15"/>
      <c r="T390" s="15"/>
      <c r="U390" s="15"/>
      <c r="V390" s="15"/>
      <c r="W390" s="15"/>
      <c r="X390" s="14"/>
      <c r="Y390" s="14"/>
      <c r="Z390" s="15"/>
      <c r="AA390" s="3"/>
      <c r="AB390" s="3"/>
      <c r="AC390" s="3"/>
      <c r="AD390" s="3"/>
      <c r="AE390" s="3"/>
      <c r="AF390" s="3"/>
    </row>
    <row r="391" ht="15.75" customHeight="1">
      <c r="J391" s="15"/>
      <c r="K391" s="188"/>
      <c r="L391" s="15"/>
      <c r="M391" s="15"/>
      <c r="N391" s="15"/>
      <c r="O391" s="15"/>
      <c r="P391" s="15"/>
      <c r="Q391" s="15"/>
      <c r="R391" s="15"/>
      <c r="S391" s="15"/>
      <c r="T391" s="15"/>
      <c r="U391" s="15"/>
      <c r="V391" s="15"/>
      <c r="W391" s="15"/>
      <c r="X391" s="14"/>
      <c r="Y391" s="14"/>
      <c r="Z391" s="15"/>
      <c r="AA391" s="3"/>
      <c r="AB391" s="3"/>
      <c r="AC391" s="3"/>
      <c r="AD391" s="3"/>
      <c r="AE391" s="3"/>
      <c r="AF391" s="3"/>
    </row>
    <row r="392" ht="15.75" customHeight="1">
      <c r="J392" s="15"/>
      <c r="K392" s="188"/>
      <c r="L392" s="15"/>
      <c r="M392" s="15"/>
      <c r="N392" s="15"/>
      <c r="O392" s="15"/>
      <c r="P392" s="15"/>
      <c r="Q392" s="15"/>
      <c r="R392" s="15"/>
      <c r="S392" s="15"/>
      <c r="T392" s="15"/>
      <c r="U392" s="15"/>
      <c r="V392" s="15"/>
      <c r="W392" s="15"/>
      <c r="X392" s="14"/>
      <c r="Y392" s="14"/>
      <c r="Z392" s="15"/>
      <c r="AA392" s="3"/>
      <c r="AB392" s="3"/>
      <c r="AC392" s="3"/>
      <c r="AD392" s="3"/>
      <c r="AE392" s="3"/>
      <c r="AF392" s="3"/>
    </row>
    <row r="393" ht="15.75" customHeight="1">
      <c r="J393" s="15"/>
      <c r="K393" s="188"/>
      <c r="L393" s="15"/>
      <c r="M393" s="15"/>
      <c r="N393" s="15"/>
      <c r="O393" s="15"/>
      <c r="P393" s="15"/>
      <c r="Q393" s="15"/>
      <c r="R393" s="15"/>
      <c r="S393" s="15"/>
      <c r="T393" s="15"/>
      <c r="U393" s="15"/>
      <c r="V393" s="15"/>
      <c r="W393" s="15"/>
      <c r="X393" s="14"/>
      <c r="Y393" s="14"/>
      <c r="Z393" s="15"/>
      <c r="AA393" s="3"/>
      <c r="AB393" s="3"/>
      <c r="AC393" s="3"/>
      <c r="AD393" s="3"/>
      <c r="AE393" s="3"/>
      <c r="AF393" s="3"/>
    </row>
    <row r="394" ht="15.75" customHeight="1">
      <c r="J394" s="15"/>
      <c r="K394" s="188"/>
      <c r="L394" s="15"/>
      <c r="M394" s="15"/>
      <c r="N394" s="15"/>
      <c r="O394" s="15"/>
      <c r="P394" s="15"/>
      <c r="Q394" s="15"/>
      <c r="R394" s="15"/>
      <c r="S394" s="15"/>
      <c r="T394" s="15"/>
      <c r="U394" s="15"/>
      <c r="V394" s="15"/>
      <c r="W394" s="15"/>
      <c r="X394" s="14"/>
      <c r="Y394" s="14"/>
      <c r="Z394" s="15"/>
      <c r="AA394" s="3"/>
      <c r="AB394" s="3"/>
      <c r="AC394" s="3"/>
      <c r="AD394" s="3"/>
      <c r="AE394" s="3"/>
      <c r="AF394" s="3"/>
    </row>
    <row r="395" ht="15.75" customHeight="1">
      <c r="J395" s="15"/>
      <c r="K395" s="188"/>
      <c r="L395" s="15"/>
      <c r="M395" s="15"/>
      <c r="N395" s="15"/>
      <c r="O395" s="15"/>
      <c r="P395" s="15"/>
      <c r="Q395" s="15"/>
      <c r="R395" s="15"/>
      <c r="S395" s="15"/>
      <c r="T395" s="15"/>
      <c r="U395" s="15"/>
      <c r="V395" s="15"/>
      <c r="W395" s="15"/>
      <c r="X395" s="14"/>
      <c r="Y395" s="14"/>
      <c r="Z395" s="15"/>
      <c r="AA395" s="3"/>
      <c r="AB395" s="3"/>
      <c r="AC395" s="3"/>
      <c r="AD395" s="3"/>
      <c r="AE395" s="3"/>
      <c r="AF395" s="3"/>
    </row>
    <row r="396" ht="15.75" customHeight="1">
      <c r="J396" s="15"/>
      <c r="K396" s="188"/>
      <c r="L396" s="15"/>
      <c r="M396" s="15"/>
      <c r="N396" s="15"/>
      <c r="O396" s="15"/>
      <c r="P396" s="15"/>
      <c r="Q396" s="15"/>
      <c r="R396" s="15"/>
      <c r="S396" s="15"/>
      <c r="T396" s="15"/>
      <c r="U396" s="15"/>
      <c r="V396" s="15"/>
      <c r="W396" s="15"/>
      <c r="X396" s="14"/>
      <c r="Y396" s="14"/>
      <c r="Z396" s="15"/>
      <c r="AA396" s="3"/>
      <c r="AB396" s="3"/>
      <c r="AC396" s="3"/>
      <c r="AD396" s="3"/>
      <c r="AE396" s="3"/>
      <c r="AF396" s="3"/>
    </row>
    <row r="397" ht="15.75" customHeight="1">
      <c r="J397" s="15"/>
      <c r="K397" s="188"/>
      <c r="L397" s="15"/>
      <c r="M397" s="15"/>
      <c r="N397" s="15"/>
      <c r="O397" s="15"/>
      <c r="P397" s="15"/>
      <c r="Q397" s="15"/>
      <c r="R397" s="15"/>
      <c r="S397" s="15"/>
      <c r="T397" s="15"/>
      <c r="U397" s="15"/>
      <c r="V397" s="15"/>
      <c r="W397" s="15"/>
      <c r="X397" s="14"/>
      <c r="Y397" s="14"/>
      <c r="Z397" s="15"/>
      <c r="AA397" s="3"/>
      <c r="AB397" s="3"/>
      <c r="AC397" s="3"/>
      <c r="AD397" s="3"/>
      <c r="AE397" s="3"/>
      <c r="AF397" s="3"/>
    </row>
    <row r="398" ht="15.75" customHeight="1">
      <c r="J398" s="15"/>
      <c r="K398" s="188"/>
      <c r="L398" s="15"/>
      <c r="M398" s="15"/>
      <c r="N398" s="15"/>
      <c r="O398" s="15"/>
      <c r="P398" s="15"/>
      <c r="Q398" s="15"/>
      <c r="R398" s="15"/>
      <c r="S398" s="15"/>
      <c r="T398" s="15"/>
      <c r="U398" s="15"/>
      <c r="V398" s="15"/>
      <c r="W398" s="15"/>
      <c r="X398" s="14"/>
      <c r="Y398" s="14"/>
      <c r="Z398" s="15"/>
      <c r="AA398" s="3"/>
      <c r="AB398" s="3"/>
      <c r="AC398" s="3"/>
      <c r="AD398" s="3"/>
      <c r="AE398" s="3"/>
      <c r="AF398" s="3"/>
    </row>
    <row r="399" ht="15.75" customHeight="1">
      <c r="J399" s="15"/>
      <c r="K399" s="188"/>
      <c r="L399" s="15"/>
      <c r="M399" s="15"/>
      <c r="N399" s="15"/>
      <c r="O399" s="15"/>
      <c r="P399" s="15"/>
      <c r="Q399" s="15"/>
      <c r="R399" s="15"/>
      <c r="S399" s="15"/>
      <c r="T399" s="15"/>
      <c r="U399" s="15"/>
      <c r="V399" s="15"/>
      <c r="W399" s="15"/>
      <c r="X399" s="14"/>
      <c r="Y399" s="14"/>
      <c r="Z399" s="15"/>
      <c r="AA399" s="3"/>
      <c r="AB399" s="3"/>
      <c r="AC399" s="3"/>
      <c r="AD399" s="3"/>
      <c r="AE399" s="3"/>
      <c r="AF399" s="3"/>
    </row>
    <row r="400" ht="15.75" customHeight="1">
      <c r="J400" s="15"/>
      <c r="K400" s="188"/>
      <c r="L400" s="15"/>
      <c r="M400" s="15"/>
      <c r="N400" s="15"/>
      <c r="O400" s="15"/>
      <c r="P400" s="15"/>
      <c r="Q400" s="15"/>
      <c r="R400" s="15"/>
      <c r="S400" s="15"/>
      <c r="T400" s="15"/>
      <c r="U400" s="15"/>
      <c r="V400" s="15"/>
      <c r="W400" s="15"/>
      <c r="X400" s="14"/>
      <c r="Y400" s="14"/>
      <c r="Z400" s="15"/>
      <c r="AA400" s="3"/>
      <c r="AB400" s="3"/>
      <c r="AC400" s="3"/>
      <c r="AD400" s="3"/>
      <c r="AE400" s="3"/>
      <c r="AF400" s="3"/>
    </row>
    <row r="401" ht="15.75" customHeight="1">
      <c r="J401" s="15"/>
      <c r="K401" s="188"/>
      <c r="L401" s="15"/>
      <c r="M401" s="15"/>
      <c r="N401" s="15"/>
      <c r="O401" s="15"/>
      <c r="P401" s="15"/>
      <c r="Q401" s="15"/>
      <c r="R401" s="15"/>
      <c r="S401" s="15"/>
      <c r="T401" s="15"/>
      <c r="U401" s="15"/>
      <c r="V401" s="15"/>
      <c r="W401" s="15"/>
      <c r="X401" s="14"/>
      <c r="Y401" s="14"/>
      <c r="Z401" s="15"/>
      <c r="AA401" s="3"/>
      <c r="AB401" s="3"/>
      <c r="AC401" s="3"/>
      <c r="AD401" s="3"/>
      <c r="AE401" s="3"/>
      <c r="AF401" s="3"/>
    </row>
    <row r="402" ht="15.75" customHeight="1">
      <c r="J402" s="15"/>
      <c r="K402" s="188"/>
      <c r="L402" s="15"/>
      <c r="M402" s="15"/>
      <c r="N402" s="15"/>
      <c r="O402" s="15"/>
      <c r="P402" s="15"/>
      <c r="Q402" s="15"/>
      <c r="R402" s="15"/>
      <c r="S402" s="15"/>
      <c r="T402" s="15"/>
      <c r="U402" s="15"/>
      <c r="V402" s="15"/>
      <c r="W402" s="15"/>
      <c r="X402" s="14"/>
      <c r="Y402" s="14"/>
      <c r="Z402" s="15"/>
      <c r="AA402" s="3"/>
      <c r="AB402" s="3"/>
      <c r="AC402" s="3"/>
      <c r="AD402" s="3"/>
      <c r="AE402" s="3"/>
      <c r="AF402" s="3"/>
    </row>
    <row r="403" ht="15.75" customHeight="1">
      <c r="J403" s="15"/>
      <c r="K403" s="188"/>
      <c r="L403" s="15"/>
      <c r="M403" s="15"/>
      <c r="N403" s="15"/>
      <c r="O403" s="15"/>
      <c r="P403" s="15"/>
      <c r="Q403" s="15"/>
      <c r="R403" s="15"/>
      <c r="S403" s="15"/>
      <c r="T403" s="15"/>
      <c r="U403" s="15"/>
      <c r="V403" s="15"/>
      <c r="W403" s="15"/>
      <c r="X403" s="14"/>
      <c r="Y403" s="14"/>
      <c r="Z403" s="15"/>
      <c r="AA403" s="3"/>
      <c r="AB403" s="3"/>
      <c r="AC403" s="3"/>
      <c r="AD403" s="3"/>
      <c r="AE403" s="3"/>
      <c r="AF403" s="3"/>
    </row>
    <row r="404" ht="15.75" customHeight="1">
      <c r="J404" s="15"/>
      <c r="K404" s="188"/>
      <c r="L404" s="15"/>
      <c r="M404" s="15"/>
      <c r="N404" s="15"/>
      <c r="O404" s="15"/>
      <c r="P404" s="15"/>
      <c r="Q404" s="15"/>
      <c r="R404" s="15"/>
      <c r="S404" s="15"/>
      <c r="T404" s="15"/>
      <c r="U404" s="15"/>
      <c r="V404" s="15"/>
      <c r="W404" s="15"/>
      <c r="X404" s="14"/>
      <c r="Y404" s="14"/>
      <c r="Z404" s="15"/>
      <c r="AA404" s="3"/>
      <c r="AB404" s="3"/>
      <c r="AC404" s="3"/>
      <c r="AD404" s="3"/>
      <c r="AE404" s="3"/>
      <c r="AF404" s="3"/>
    </row>
    <row r="405" ht="15.75" customHeight="1">
      <c r="J405" s="15"/>
      <c r="K405" s="188"/>
      <c r="L405" s="15"/>
      <c r="M405" s="15"/>
      <c r="N405" s="15"/>
      <c r="O405" s="15"/>
      <c r="P405" s="15"/>
      <c r="Q405" s="15"/>
      <c r="R405" s="15"/>
      <c r="S405" s="15"/>
      <c r="T405" s="15"/>
      <c r="U405" s="15"/>
      <c r="V405" s="15"/>
      <c r="W405" s="15"/>
      <c r="X405" s="14"/>
      <c r="Y405" s="14"/>
      <c r="Z405" s="15"/>
      <c r="AA405" s="3"/>
      <c r="AB405" s="3"/>
      <c r="AC405" s="3"/>
      <c r="AD405" s="3"/>
      <c r="AE405" s="3"/>
      <c r="AF405" s="3"/>
    </row>
    <row r="406" ht="15.75" customHeight="1">
      <c r="J406" s="15"/>
      <c r="K406" s="188"/>
      <c r="L406" s="15"/>
      <c r="M406" s="15"/>
      <c r="N406" s="15"/>
      <c r="O406" s="15"/>
      <c r="P406" s="15"/>
      <c r="Q406" s="15"/>
      <c r="R406" s="15"/>
      <c r="S406" s="15"/>
      <c r="T406" s="15"/>
      <c r="U406" s="15"/>
      <c r="V406" s="15"/>
      <c r="W406" s="15"/>
      <c r="X406" s="14"/>
      <c r="Y406" s="14"/>
      <c r="Z406" s="15"/>
      <c r="AA406" s="3"/>
      <c r="AB406" s="3"/>
      <c r="AC406" s="3"/>
      <c r="AD406" s="3"/>
      <c r="AE406" s="3"/>
      <c r="AF406" s="3"/>
    </row>
    <row r="407" ht="15.75" customHeight="1">
      <c r="J407" s="15"/>
      <c r="K407" s="188"/>
      <c r="L407" s="15"/>
      <c r="M407" s="15"/>
      <c r="N407" s="15"/>
      <c r="O407" s="15"/>
      <c r="P407" s="15"/>
      <c r="Q407" s="15"/>
      <c r="R407" s="15"/>
      <c r="S407" s="15"/>
      <c r="T407" s="15"/>
      <c r="U407" s="15"/>
      <c r="V407" s="15"/>
      <c r="W407" s="15"/>
      <c r="X407" s="14"/>
      <c r="Y407" s="14"/>
      <c r="Z407" s="15"/>
      <c r="AA407" s="3"/>
      <c r="AB407" s="3"/>
      <c r="AC407" s="3"/>
      <c r="AD407" s="3"/>
      <c r="AE407" s="3"/>
      <c r="AF407" s="3"/>
    </row>
    <row r="408" ht="15.75" customHeight="1">
      <c r="J408" s="15"/>
      <c r="K408" s="188"/>
      <c r="L408" s="15"/>
      <c r="M408" s="15"/>
      <c r="N408" s="15"/>
      <c r="O408" s="15"/>
      <c r="P408" s="15"/>
      <c r="Q408" s="15"/>
      <c r="R408" s="15"/>
      <c r="S408" s="15"/>
      <c r="T408" s="15"/>
      <c r="U408" s="15"/>
      <c r="V408" s="15"/>
      <c r="W408" s="15"/>
      <c r="X408" s="14"/>
      <c r="Y408" s="14"/>
      <c r="Z408" s="15"/>
      <c r="AA408" s="3"/>
      <c r="AB408" s="3"/>
      <c r="AC408" s="3"/>
      <c r="AD408" s="3"/>
      <c r="AE408" s="3"/>
      <c r="AF408" s="3"/>
    </row>
    <row r="409" ht="15.75" customHeight="1">
      <c r="J409" s="15"/>
      <c r="K409" s="188"/>
      <c r="L409" s="15"/>
      <c r="M409" s="15"/>
      <c r="N409" s="15"/>
      <c r="O409" s="15"/>
      <c r="P409" s="15"/>
      <c r="Q409" s="15"/>
      <c r="R409" s="15"/>
      <c r="S409" s="15"/>
      <c r="T409" s="15"/>
      <c r="U409" s="15"/>
      <c r="V409" s="15"/>
      <c r="W409" s="15"/>
      <c r="X409" s="14"/>
      <c r="Y409" s="14"/>
      <c r="Z409" s="15"/>
      <c r="AA409" s="3"/>
      <c r="AB409" s="3"/>
      <c r="AC409" s="3"/>
      <c r="AD409" s="3"/>
      <c r="AE409" s="3"/>
      <c r="AF409" s="3"/>
    </row>
    <row r="410" ht="15.75" customHeight="1">
      <c r="J410" s="15"/>
      <c r="K410" s="188"/>
      <c r="L410" s="15"/>
      <c r="M410" s="15"/>
      <c r="N410" s="15"/>
      <c r="O410" s="15"/>
      <c r="P410" s="15"/>
      <c r="Q410" s="15"/>
      <c r="R410" s="15"/>
      <c r="S410" s="15"/>
      <c r="T410" s="15"/>
      <c r="U410" s="15"/>
      <c r="V410" s="15"/>
      <c r="W410" s="15"/>
      <c r="X410" s="14"/>
      <c r="Y410" s="14"/>
      <c r="Z410" s="15"/>
      <c r="AA410" s="3"/>
      <c r="AB410" s="3"/>
      <c r="AC410" s="3"/>
      <c r="AD410" s="3"/>
      <c r="AE410" s="3"/>
      <c r="AF410" s="3"/>
    </row>
    <row r="411" ht="15.75" customHeight="1">
      <c r="J411" s="15"/>
      <c r="K411" s="188"/>
      <c r="L411" s="15"/>
      <c r="M411" s="15"/>
      <c r="N411" s="15"/>
      <c r="O411" s="15"/>
      <c r="P411" s="15"/>
      <c r="Q411" s="15"/>
      <c r="R411" s="15"/>
      <c r="S411" s="15"/>
      <c r="T411" s="15"/>
      <c r="U411" s="15"/>
      <c r="V411" s="15"/>
      <c r="W411" s="15"/>
      <c r="X411" s="14"/>
      <c r="Y411" s="14"/>
      <c r="Z411" s="15"/>
      <c r="AA411" s="3"/>
      <c r="AB411" s="3"/>
      <c r="AC411" s="3"/>
      <c r="AD411" s="3"/>
      <c r="AE411" s="3"/>
      <c r="AF411" s="3"/>
    </row>
    <row r="412" ht="15.75" customHeight="1">
      <c r="J412" s="15"/>
      <c r="K412" s="188"/>
      <c r="L412" s="15"/>
      <c r="M412" s="15"/>
      <c r="N412" s="15"/>
      <c r="O412" s="15"/>
      <c r="P412" s="15"/>
      <c r="Q412" s="15"/>
      <c r="R412" s="15"/>
      <c r="S412" s="15"/>
      <c r="T412" s="15"/>
      <c r="U412" s="15"/>
      <c r="V412" s="15"/>
      <c r="W412" s="15"/>
      <c r="X412" s="14"/>
      <c r="Y412" s="14"/>
      <c r="Z412" s="15"/>
      <c r="AA412" s="3"/>
      <c r="AB412" s="3"/>
      <c r="AC412" s="3"/>
      <c r="AD412" s="3"/>
      <c r="AE412" s="3"/>
      <c r="AF412" s="3"/>
    </row>
    <row r="413" ht="15.75" customHeight="1">
      <c r="J413" s="15"/>
      <c r="K413" s="188"/>
      <c r="L413" s="15"/>
      <c r="M413" s="15"/>
      <c r="N413" s="15"/>
      <c r="O413" s="15"/>
      <c r="P413" s="15"/>
      <c r="Q413" s="15"/>
      <c r="R413" s="15"/>
      <c r="S413" s="15"/>
      <c r="T413" s="15"/>
      <c r="U413" s="15"/>
      <c r="V413" s="15"/>
      <c r="W413" s="15"/>
      <c r="X413" s="14"/>
      <c r="Y413" s="14"/>
      <c r="Z413" s="15"/>
      <c r="AA413" s="3"/>
      <c r="AB413" s="3"/>
      <c r="AC413" s="3"/>
      <c r="AD413" s="3"/>
      <c r="AE413" s="3"/>
      <c r="AF413" s="3"/>
    </row>
    <row r="414" ht="15.75" customHeight="1">
      <c r="J414" s="15"/>
      <c r="K414" s="188"/>
      <c r="L414" s="15"/>
      <c r="M414" s="15"/>
      <c r="N414" s="15"/>
      <c r="O414" s="15"/>
      <c r="P414" s="15"/>
      <c r="Q414" s="15"/>
      <c r="R414" s="15"/>
      <c r="S414" s="15"/>
      <c r="T414" s="15"/>
      <c r="U414" s="15"/>
      <c r="V414" s="15"/>
      <c r="W414" s="15"/>
      <c r="X414" s="14"/>
      <c r="Y414" s="14"/>
      <c r="Z414" s="15"/>
      <c r="AA414" s="3"/>
      <c r="AB414" s="3"/>
      <c r="AC414" s="3"/>
      <c r="AD414" s="3"/>
      <c r="AE414" s="3"/>
      <c r="AF414" s="3"/>
    </row>
    <row r="415" ht="15.75" customHeight="1">
      <c r="J415" s="15"/>
      <c r="K415" s="188"/>
      <c r="L415" s="15"/>
      <c r="M415" s="15"/>
      <c r="N415" s="15"/>
      <c r="O415" s="15"/>
      <c r="P415" s="15"/>
      <c r="Q415" s="15"/>
      <c r="R415" s="15"/>
      <c r="S415" s="15"/>
      <c r="T415" s="15"/>
      <c r="U415" s="15"/>
      <c r="V415" s="15"/>
      <c r="W415" s="15"/>
      <c r="X415" s="14"/>
      <c r="Y415" s="14"/>
      <c r="Z415" s="15"/>
      <c r="AA415" s="3"/>
      <c r="AB415" s="3"/>
      <c r="AC415" s="3"/>
      <c r="AD415" s="3"/>
      <c r="AE415" s="3"/>
      <c r="AF415" s="3"/>
    </row>
    <row r="416" ht="15.75" customHeight="1">
      <c r="J416" s="15"/>
      <c r="K416" s="188"/>
      <c r="L416" s="15"/>
      <c r="M416" s="15"/>
      <c r="N416" s="15"/>
      <c r="O416" s="15"/>
      <c r="P416" s="15"/>
      <c r="Q416" s="15"/>
      <c r="R416" s="15"/>
      <c r="S416" s="15"/>
      <c r="T416" s="15"/>
      <c r="U416" s="15"/>
      <c r="V416" s="15"/>
      <c r="W416" s="15"/>
      <c r="X416" s="14"/>
      <c r="Y416" s="14"/>
      <c r="Z416" s="15"/>
      <c r="AA416" s="3"/>
      <c r="AB416" s="3"/>
      <c r="AC416" s="3"/>
      <c r="AD416" s="3"/>
      <c r="AE416" s="3"/>
      <c r="AF416" s="3"/>
    </row>
    <row r="417" ht="15.75" customHeight="1">
      <c r="J417" s="15"/>
      <c r="K417" s="188"/>
      <c r="L417" s="15"/>
      <c r="M417" s="15"/>
      <c r="N417" s="15"/>
      <c r="O417" s="15"/>
      <c r="P417" s="15"/>
      <c r="Q417" s="15"/>
      <c r="R417" s="15"/>
      <c r="S417" s="15"/>
      <c r="T417" s="15"/>
      <c r="U417" s="15"/>
      <c r="V417" s="15"/>
      <c r="W417" s="15"/>
      <c r="X417" s="14"/>
      <c r="Y417" s="14"/>
      <c r="Z417" s="15"/>
      <c r="AA417" s="3"/>
      <c r="AB417" s="3"/>
      <c r="AC417" s="3"/>
      <c r="AD417" s="3"/>
      <c r="AE417" s="3"/>
      <c r="AF417" s="3"/>
    </row>
    <row r="418" ht="15.75" customHeight="1">
      <c r="J418" s="15"/>
      <c r="K418" s="188"/>
      <c r="L418" s="15"/>
      <c r="M418" s="15"/>
      <c r="N418" s="15"/>
      <c r="O418" s="15"/>
      <c r="P418" s="15"/>
      <c r="Q418" s="15"/>
      <c r="R418" s="15"/>
      <c r="S418" s="15"/>
      <c r="T418" s="15"/>
      <c r="U418" s="15"/>
      <c r="V418" s="15"/>
      <c r="W418" s="15"/>
      <c r="X418" s="14"/>
      <c r="Y418" s="14"/>
      <c r="Z418" s="15"/>
      <c r="AA418" s="3"/>
      <c r="AB418" s="3"/>
      <c r="AC418" s="3"/>
      <c r="AD418" s="3"/>
      <c r="AE418" s="3"/>
      <c r="AF418" s="3"/>
    </row>
    <row r="419" ht="15.75" customHeight="1">
      <c r="J419" s="15"/>
      <c r="K419" s="188"/>
      <c r="L419" s="15"/>
      <c r="M419" s="15"/>
      <c r="N419" s="15"/>
      <c r="O419" s="15"/>
      <c r="P419" s="15"/>
      <c r="Q419" s="15"/>
      <c r="R419" s="15"/>
      <c r="S419" s="15"/>
      <c r="T419" s="15"/>
      <c r="U419" s="15"/>
      <c r="V419" s="15"/>
      <c r="W419" s="15"/>
      <c r="X419" s="14"/>
      <c r="Y419" s="14"/>
      <c r="Z419" s="15"/>
      <c r="AA419" s="3"/>
      <c r="AB419" s="3"/>
      <c r="AC419" s="3"/>
      <c r="AD419" s="3"/>
      <c r="AE419" s="3"/>
      <c r="AF419" s="3"/>
    </row>
    <row r="420" ht="15.75" customHeight="1">
      <c r="J420" s="15"/>
      <c r="K420" s="188"/>
      <c r="L420" s="15"/>
      <c r="M420" s="15"/>
      <c r="N420" s="15"/>
      <c r="O420" s="15"/>
      <c r="P420" s="15"/>
      <c r="Q420" s="15"/>
      <c r="R420" s="15"/>
      <c r="S420" s="15"/>
      <c r="T420" s="15"/>
      <c r="U420" s="15"/>
      <c r="V420" s="15"/>
      <c r="W420" s="15"/>
      <c r="X420" s="14"/>
      <c r="Y420" s="14"/>
      <c r="Z420" s="15"/>
      <c r="AA420" s="3"/>
      <c r="AB420" s="3"/>
      <c r="AC420" s="3"/>
      <c r="AD420" s="3"/>
      <c r="AE420" s="3"/>
      <c r="AF420" s="3"/>
    </row>
    <row r="421" ht="15.75" customHeight="1">
      <c r="J421" s="15"/>
      <c r="K421" s="188"/>
      <c r="L421" s="15"/>
      <c r="M421" s="15"/>
      <c r="N421" s="15"/>
      <c r="O421" s="15"/>
      <c r="P421" s="15"/>
      <c r="Q421" s="15"/>
      <c r="R421" s="15"/>
      <c r="S421" s="15"/>
      <c r="T421" s="15"/>
      <c r="U421" s="15"/>
      <c r="V421" s="15"/>
      <c r="W421" s="15"/>
      <c r="X421" s="14"/>
      <c r="Y421" s="14"/>
      <c r="Z421" s="15"/>
      <c r="AA421" s="3"/>
      <c r="AB421" s="3"/>
      <c r="AC421" s="3"/>
      <c r="AD421" s="3"/>
      <c r="AE421" s="3"/>
      <c r="AF421" s="3"/>
    </row>
    <row r="422" ht="15.75" customHeight="1">
      <c r="J422" s="15"/>
      <c r="K422" s="188"/>
      <c r="L422" s="15"/>
      <c r="M422" s="15"/>
      <c r="N422" s="15"/>
      <c r="O422" s="15"/>
      <c r="P422" s="15"/>
      <c r="Q422" s="15"/>
      <c r="R422" s="15"/>
      <c r="S422" s="15"/>
      <c r="T422" s="15"/>
      <c r="U422" s="15"/>
      <c r="V422" s="15"/>
      <c r="W422" s="15"/>
      <c r="X422" s="14"/>
      <c r="Y422" s="14"/>
      <c r="Z422" s="15"/>
      <c r="AA422" s="3"/>
      <c r="AB422" s="3"/>
      <c r="AC422" s="3"/>
      <c r="AD422" s="3"/>
      <c r="AE422" s="3"/>
      <c r="AF422" s="3"/>
    </row>
    <row r="423" ht="15.75" customHeight="1">
      <c r="J423" s="15"/>
      <c r="K423" s="188"/>
      <c r="L423" s="15"/>
      <c r="M423" s="15"/>
      <c r="N423" s="15"/>
      <c r="O423" s="15"/>
      <c r="P423" s="15"/>
      <c r="Q423" s="15"/>
      <c r="R423" s="15"/>
      <c r="S423" s="15"/>
      <c r="T423" s="15"/>
      <c r="U423" s="15"/>
      <c r="V423" s="15"/>
      <c r="W423" s="15"/>
      <c r="X423" s="14"/>
      <c r="Y423" s="14"/>
      <c r="Z423" s="15"/>
      <c r="AA423" s="3"/>
      <c r="AB423" s="3"/>
      <c r="AC423" s="3"/>
      <c r="AD423" s="3"/>
      <c r="AE423" s="3"/>
      <c r="AF423" s="3"/>
    </row>
    <row r="424" ht="15.75" customHeight="1">
      <c r="J424" s="15"/>
      <c r="K424" s="188"/>
      <c r="L424" s="15"/>
      <c r="M424" s="15"/>
      <c r="N424" s="15"/>
      <c r="O424" s="15"/>
      <c r="P424" s="15"/>
      <c r="Q424" s="15"/>
      <c r="R424" s="15"/>
      <c r="S424" s="15"/>
      <c r="T424" s="15"/>
      <c r="U424" s="15"/>
      <c r="V424" s="15"/>
      <c r="W424" s="15"/>
      <c r="X424" s="14"/>
      <c r="Y424" s="14"/>
      <c r="Z424" s="15"/>
      <c r="AA424" s="3"/>
      <c r="AB424" s="3"/>
      <c r="AC424" s="3"/>
      <c r="AD424" s="3"/>
      <c r="AE424" s="3"/>
      <c r="AF424" s="3"/>
    </row>
    <row r="425" ht="15.75" customHeight="1">
      <c r="J425" s="15"/>
      <c r="K425" s="188"/>
      <c r="L425" s="15"/>
      <c r="M425" s="15"/>
      <c r="N425" s="15"/>
      <c r="O425" s="15"/>
      <c r="P425" s="15"/>
      <c r="Q425" s="15"/>
      <c r="R425" s="15"/>
      <c r="S425" s="15"/>
      <c r="T425" s="15"/>
      <c r="U425" s="15"/>
      <c r="V425" s="15"/>
      <c r="W425" s="15"/>
      <c r="X425" s="14"/>
      <c r="Y425" s="14"/>
      <c r="Z425" s="15"/>
      <c r="AA425" s="3"/>
      <c r="AB425" s="3"/>
      <c r="AC425" s="3"/>
      <c r="AD425" s="3"/>
      <c r="AE425" s="3"/>
      <c r="AF425" s="3"/>
    </row>
    <row r="426" ht="15.75" customHeight="1">
      <c r="J426" s="15"/>
      <c r="K426" s="188"/>
      <c r="L426" s="15"/>
      <c r="M426" s="15"/>
      <c r="N426" s="15"/>
      <c r="O426" s="15"/>
      <c r="P426" s="15"/>
      <c r="Q426" s="15"/>
      <c r="R426" s="15"/>
      <c r="S426" s="15"/>
      <c r="T426" s="15"/>
      <c r="U426" s="15"/>
      <c r="V426" s="15"/>
      <c r="W426" s="15"/>
      <c r="X426" s="14"/>
      <c r="Y426" s="14"/>
      <c r="Z426" s="15"/>
      <c r="AA426" s="3"/>
      <c r="AB426" s="3"/>
      <c r="AC426" s="3"/>
      <c r="AD426" s="3"/>
      <c r="AE426" s="3"/>
      <c r="AF426" s="3"/>
    </row>
    <row r="427" ht="15.75" customHeight="1">
      <c r="J427" s="15"/>
      <c r="K427" s="188"/>
      <c r="L427" s="15"/>
      <c r="M427" s="15"/>
      <c r="N427" s="15"/>
      <c r="O427" s="15"/>
      <c r="P427" s="15"/>
      <c r="Q427" s="15"/>
      <c r="R427" s="15"/>
      <c r="S427" s="15"/>
      <c r="T427" s="15"/>
      <c r="U427" s="15"/>
      <c r="V427" s="15"/>
      <c r="W427" s="15"/>
      <c r="X427" s="14"/>
      <c r="Y427" s="14"/>
      <c r="Z427" s="15"/>
      <c r="AA427" s="3"/>
      <c r="AB427" s="3"/>
      <c r="AC427" s="3"/>
      <c r="AD427" s="3"/>
      <c r="AE427" s="3"/>
      <c r="AF427" s="3"/>
    </row>
    <row r="428" ht="15.75" customHeight="1">
      <c r="J428" s="15"/>
      <c r="K428" s="188"/>
      <c r="L428" s="15"/>
      <c r="M428" s="15"/>
      <c r="N428" s="15"/>
      <c r="O428" s="15"/>
      <c r="P428" s="15"/>
      <c r="Q428" s="15"/>
      <c r="R428" s="15"/>
      <c r="S428" s="15"/>
      <c r="T428" s="15"/>
      <c r="U428" s="15"/>
      <c r="V428" s="15"/>
      <c r="W428" s="15"/>
      <c r="X428" s="14"/>
      <c r="Y428" s="14"/>
      <c r="Z428" s="15"/>
      <c r="AA428" s="3"/>
      <c r="AB428" s="3"/>
      <c r="AC428" s="3"/>
      <c r="AD428" s="3"/>
      <c r="AE428" s="3"/>
      <c r="AF428" s="3"/>
    </row>
    <row r="429" ht="15.75" customHeight="1">
      <c r="J429" s="15"/>
      <c r="K429" s="188"/>
      <c r="L429" s="15"/>
      <c r="M429" s="15"/>
      <c r="N429" s="15"/>
      <c r="O429" s="15"/>
      <c r="P429" s="15"/>
      <c r="Q429" s="15"/>
      <c r="R429" s="15"/>
      <c r="S429" s="15"/>
      <c r="T429" s="15"/>
      <c r="U429" s="15"/>
      <c r="V429" s="15"/>
      <c r="W429" s="15"/>
      <c r="X429" s="14"/>
      <c r="Y429" s="14"/>
      <c r="Z429" s="15"/>
      <c r="AA429" s="3"/>
      <c r="AB429" s="3"/>
      <c r="AC429" s="3"/>
      <c r="AD429" s="3"/>
      <c r="AE429" s="3"/>
      <c r="AF429" s="3"/>
    </row>
    <row r="430" ht="15.75" customHeight="1">
      <c r="J430" s="15"/>
      <c r="K430" s="188"/>
      <c r="L430" s="15"/>
      <c r="M430" s="15"/>
      <c r="N430" s="15"/>
      <c r="O430" s="15"/>
      <c r="P430" s="15"/>
      <c r="Q430" s="15"/>
      <c r="R430" s="15"/>
      <c r="S430" s="15"/>
      <c r="T430" s="15"/>
      <c r="U430" s="15"/>
      <c r="V430" s="15"/>
      <c r="W430" s="15"/>
      <c r="X430" s="14"/>
      <c r="Y430" s="14"/>
      <c r="Z430" s="15"/>
      <c r="AA430" s="3"/>
      <c r="AB430" s="3"/>
      <c r="AC430" s="3"/>
      <c r="AD430" s="3"/>
      <c r="AE430" s="3"/>
      <c r="AF430" s="3"/>
    </row>
    <row r="431" ht="15.75" customHeight="1">
      <c r="J431" s="15"/>
      <c r="K431" s="188"/>
      <c r="L431" s="15"/>
      <c r="M431" s="15"/>
      <c r="N431" s="15"/>
      <c r="O431" s="15"/>
      <c r="P431" s="15"/>
      <c r="Q431" s="15"/>
      <c r="R431" s="15"/>
      <c r="S431" s="15"/>
      <c r="T431" s="15"/>
      <c r="U431" s="15"/>
      <c r="V431" s="15"/>
      <c r="W431" s="15"/>
      <c r="X431" s="14"/>
      <c r="Y431" s="14"/>
      <c r="Z431" s="15"/>
      <c r="AA431" s="3"/>
      <c r="AB431" s="3"/>
      <c r="AC431" s="3"/>
      <c r="AD431" s="3"/>
      <c r="AE431" s="3"/>
      <c r="AF431" s="3"/>
    </row>
    <row r="432" ht="15.75" customHeight="1">
      <c r="J432" s="15"/>
      <c r="K432" s="188"/>
      <c r="L432" s="15"/>
      <c r="M432" s="15"/>
      <c r="N432" s="15"/>
      <c r="O432" s="15"/>
      <c r="P432" s="15"/>
      <c r="Q432" s="15"/>
      <c r="R432" s="15"/>
      <c r="S432" s="15"/>
      <c r="T432" s="15"/>
      <c r="U432" s="15"/>
      <c r="V432" s="15"/>
      <c r="W432" s="15"/>
      <c r="X432" s="14"/>
      <c r="Y432" s="14"/>
      <c r="Z432" s="15"/>
      <c r="AA432" s="3"/>
      <c r="AB432" s="3"/>
      <c r="AC432" s="3"/>
      <c r="AD432" s="3"/>
      <c r="AE432" s="3"/>
      <c r="AF432" s="3"/>
    </row>
    <row r="433" ht="15.75" customHeight="1">
      <c r="J433" s="15"/>
      <c r="K433" s="188"/>
      <c r="L433" s="15"/>
      <c r="M433" s="15"/>
      <c r="N433" s="15"/>
      <c r="O433" s="15"/>
      <c r="P433" s="15"/>
      <c r="Q433" s="15"/>
      <c r="R433" s="15"/>
      <c r="S433" s="15"/>
      <c r="T433" s="15"/>
      <c r="U433" s="15"/>
      <c r="V433" s="15"/>
      <c r="W433" s="15"/>
      <c r="X433" s="14"/>
      <c r="Y433" s="14"/>
      <c r="Z433" s="15"/>
      <c r="AA433" s="3"/>
      <c r="AB433" s="3"/>
      <c r="AC433" s="3"/>
      <c r="AD433" s="3"/>
      <c r="AE433" s="3"/>
      <c r="AF433" s="3"/>
    </row>
    <row r="434" ht="15.75" customHeight="1">
      <c r="J434" s="15"/>
      <c r="K434" s="188"/>
      <c r="L434" s="15"/>
      <c r="M434" s="15"/>
      <c r="N434" s="15"/>
      <c r="O434" s="15"/>
      <c r="P434" s="15"/>
      <c r="Q434" s="15"/>
      <c r="R434" s="15"/>
      <c r="S434" s="15"/>
      <c r="T434" s="15"/>
      <c r="U434" s="15"/>
      <c r="V434" s="15"/>
      <c r="W434" s="15"/>
      <c r="X434" s="14"/>
      <c r="Y434" s="14"/>
      <c r="Z434" s="15"/>
      <c r="AA434" s="3"/>
      <c r="AB434" s="3"/>
      <c r="AC434" s="3"/>
      <c r="AD434" s="3"/>
      <c r="AE434" s="3"/>
      <c r="AF434" s="3"/>
    </row>
    <row r="435" ht="15.75" customHeight="1">
      <c r="J435" s="15"/>
      <c r="K435" s="188"/>
      <c r="L435" s="15"/>
      <c r="M435" s="15"/>
      <c r="N435" s="15"/>
      <c r="O435" s="15"/>
      <c r="P435" s="15"/>
      <c r="Q435" s="15"/>
      <c r="R435" s="15"/>
      <c r="S435" s="15"/>
      <c r="T435" s="15"/>
      <c r="U435" s="15"/>
      <c r="V435" s="15"/>
      <c r="W435" s="15"/>
      <c r="X435" s="14"/>
      <c r="Y435" s="14"/>
      <c r="Z435" s="15"/>
      <c r="AA435" s="3"/>
      <c r="AB435" s="3"/>
      <c r="AC435" s="3"/>
      <c r="AD435" s="3"/>
      <c r="AE435" s="3"/>
      <c r="AF435" s="3"/>
    </row>
    <row r="436" ht="15.75" customHeight="1">
      <c r="J436" s="15"/>
      <c r="K436" s="188"/>
      <c r="L436" s="15"/>
      <c r="M436" s="15"/>
      <c r="N436" s="15"/>
      <c r="O436" s="15"/>
      <c r="P436" s="15"/>
      <c r="Q436" s="15"/>
      <c r="R436" s="15"/>
      <c r="S436" s="15"/>
      <c r="T436" s="15"/>
      <c r="U436" s="15"/>
      <c r="V436" s="15"/>
      <c r="W436" s="15"/>
      <c r="X436" s="14"/>
      <c r="Y436" s="14"/>
      <c r="Z436" s="15"/>
      <c r="AA436" s="3"/>
      <c r="AB436" s="3"/>
      <c r="AC436" s="3"/>
      <c r="AD436" s="3"/>
      <c r="AE436" s="3"/>
      <c r="AF436" s="3"/>
    </row>
    <row r="437" ht="15.75" customHeight="1">
      <c r="J437" s="15"/>
      <c r="K437" s="188"/>
      <c r="L437" s="15"/>
      <c r="M437" s="15"/>
      <c r="N437" s="15"/>
      <c r="O437" s="15"/>
      <c r="P437" s="15"/>
      <c r="Q437" s="15"/>
      <c r="R437" s="15"/>
      <c r="S437" s="15"/>
      <c r="T437" s="15"/>
      <c r="U437" s="15"/>
      <c r="V437" s="15"/>
      <c r="W437" s="15"/>
      <c r="X437" s="14"/>
      <c r="Y437" s="14"/>
      <c r="Z437" s="15"/>
      <c r="AA437" s="3"/>
      <c r="AB437" s="3"/>
      <c r="AC437" s="3"/>
      <c r="AD437" s="3"/>
      <c r="AE437" s="3"/>
      <c r="AF437" s="3"/>
    </row>
    <row r="438" ht="15.75" customHeight="1">
      <c r="J438" s="15"/>
      <c r="K438" s="188"/>
      <c r="L438" s="15"/>
      <c r="M438" s="15"/>
      <c r="N438" s="15"/>
      <c r="O438" s="15"/>
      <c r="P438" s="15"/>
      <c r="Q438" s="15"/>
      <c r="R438" s="15"/>
      <c r="S438" s="15"/>
      <c r="T438" s="15"/>
      <c r="U438" s="15"/>
      <c r="V438" s="15"/>
      <c r="W438" s="15"/>
      <c r="X438" s="14"/>
      <c r="Y438" s="14"/>
      <c r="Z438" s="15"/>
      <c r="AA438" s="3"/>
      <c r="AB438" s="3"/>
      <c r="AC438" s="3"/>
      <c r="AD438" s="3"/>
      <c r="AE438" s="3"/>
      <c r="AF438" s="3"/>
    </row>
    <row r="439" ht="15.75" customHeight="1">
      <c r="J439" s="15"/>
      <c r="K439" s="188"/>
      <c r="L439" s="15"/>
      <c r="M439" s="15"/>
      <c r="N439" s="15"/>
      <c r="O439" s="15"/>
      <c r="P439" s="15"/>
      <c r="Q439" s="15"/>
      <c r="R439" s="15"/>
      <c r="S439" s="15"/>
      <c r="T439" s="15"/>
      <c r="U439" s="15"/>
      <c r="V439" s="15"/>
      <c r="W439" s="15"/>
      <c r="X439" s="14"/>
      <c r="Y439" s="14"/>
      <c r="Z439" s="15"/>
      <c r="AA439" s="3"/>
      <c r="AB439" s="3"/>
      <c r="AC439" s="3"/>
      <c r="AD439" s="3"/>
      <c r="AE439" s="3"/>
      <c r="AF439" s="3"/>
    </row>
    <row r="440" ht="15.75" customHeight="1">
      <c r="J440" s="15"/>
      <c r="K440" s="188"/>
      <c r="L440" s="15"/>
      <c r="M440" s="15"/>
      <c r="N440" s="15"/>
      <c r="O440" s="15"/>
      <c r="P440" s="15"/>
      <c r="Q440" s="15"/>
      <c r="R440" s="15"/>
      <c r="S440" s="15"/>
      <c r="T440" s="15"/>
      <c r="U440" s="15"/>
      <c r="V440" s="15"/>
      <c r="W440" s="15"/>
      <c r="X440" s="14"/>
      <c r="Y440" s="14"/>
      <c r="Z440" s="15"/>
      <c r="AA440" s="3"/>
      <c r="AB440" s="3"/>
      <c r="AC440" s="3"/>
      <c r="AD440" s="3"/>
      <c r="AE440" s="3"/>
      <c r="AF440" s="3"/>
    </row>
    <row r="441" ht="15.75" customHeight="1">
      <c r="J441" s="15"/>
      <c r="K441" s="188"/>
      <c r="L441" s="15"/>
      <c r="M441" s="15"/>
      <c r="N441" s="15"/>
      <c r="O441" s="15"/>
      <c r="P441" s="15"/>
      <c r="Q441" s="15"/>
      <c r="R441" s="15"/>
      <c r="S441" s="15"/>
      <c r="T441" s="15"/>
      <c r="U441" s="15"/>
      <c r="V441" s="15"/>
      <c r="W441" s="15"/>
      <c r="X441" s="14"/>
      <c r="Y441" s="14"/>
      <c r="Z441" s="15"/>
      <c r="AA441" s="3"/>
      <c r="AB441" s="3"/>
      <c r="AC441" s="3"/>
      <c r="AD441" s="3"/>
      <c r="AE441" s="3"/>
      <c r="AF441" s="3"/>
    </row>
    <row r="442" ht="15.75" customHeight="1">
      <c r="J442" s="15"/>
      <c r="K442" s="188"/>
      <c r="L442" s="15"/>
      <c r="M442" s="15"/>
      <c r="N442" s="15"/>
      <c r="O442" s="15"/>
      <c r="P442" s="15"/>
      <c r="Q442" s="15"/>
      <c r="R442" s="15"/>
      <c r="S442" s="15"/>
      <c r="T442" s="15"/>
      <c r="U442" s="15"/>
      <c r="V442" s="15"/>
      <c r="W442" s="15"/>
      <c r="X442" s="14"/>
      <c r="Y442" s="14"/>
      <c r="Z442" s="15"/>
      <c r="AA442" s="3"/>
      <c r="AB442" s="3"/>
      <c r="AC442" s="3"/>
      <c r="AD442" s="3"/>
      <c r="AE442" s="3"/>
      <c r="AF442" s="3"/>
    </row>
    <row r="443" ht="15.75" customHeight="1">
      <c r="J443" s="15"/>
      <c r="K443" s="188"/>
      <c r="L443" s="15"/>
      <c r="M443" s="15"/>
      <c r="N443" s="15"/>
      <c r="O443" s="15"/>
      <c r="P443" s="15"/>
      <c r="Q443" s="15"/>
      <c r="R443" s="15"/>
      <c r="S443" s="15"/>
      <c r="T443" s="15"/>
      <c r="U443" s="15"/>
      <c r="V443" s="15"/>
      <c r="W443" s="15"/>
      <c r="X443" s="14"/>
      <c r="Y443" s="14"/>
      <c r="Z443" s="15"/>
      <c r="AA443" s="3"/>
      <c r="AB443" s="3"/>
      <c r="AC443" s="3"/>
      <c r="AD443" s="3"/>
      <c r="AE443" s="3"/>
      <c r="AF443" s="3"/>
    </row>
    <row r="444" ht="15.75" customHeight="1">
      <c r="J444" s="15"/>
      <c r="K444" s="188"/>
      <c r="L444" s="15"/>
      <c r="M444" s="15"/>
      <c r="N444" s="15"/>
      <c r="O444" s="15"/>
      <c r="P444" s="15"/>
      <c r="Q444" s="15"/>
      <c r="R444" s="15"/>
      <c r="S444" s="15"/>
      <c r="T444" s="15"/>
      <c r="U444" s="15"/>
      <c r="V444" s="15"/>
      <c r="W444" s="15"/>
      <c r="X444" s="14"/>
      <c r="Y444" s="14"/>
      <c r="Z444" s="15"/>
      <c r="AA444" s="3"/>
      <c r="AB444" s="3"/>
      <c r="AC444" s="3"/>
      <c r="AD444" s="3"/>
      <c r="AE444" s="3"/>
      <c r="AF444" s="3"/>
    </row>
    <row r="445" ht="15.75" customHeight="1">
      <c r="J445" s="15"/>
      <c r="K445" s="188"/>
      <c r="L445" s="15"/>
      <c r="M445" s="15"/>
      <c r="N445" s="15"/>
      <c r="O445" s="15"/>
      <c r="P445" s="15"/>
      <c r="Q445" s="15"/>
      <c r="R445" s="15"/>
      <c r="S445" s="15"/>
      <c r="T445" s="15"/>
      <c r="U445" s="15"/>
      <c r="V445" s="15"/>
      <c r="W445" s="15"/>
      <c r="X445" s="14"/>
      <c r="Y445" s="14"/>
      <c r="Z445" s="15"/>
      <c r="AA445" s="3"/>
      <c r="AB445" s="3"/>
      <c r="AC445" s="3"/>
      <c r="AD445" s="3"/>
      <c r="AE445" s="3"/>
      <c r="AF445" s="3"/>
    </row>
    <row r="446" ht="15.75" customHeight="1">
      <c r="J446" s="15"/>
      <c r="K446" s="188"/>
      <c r="L446" s="15"/>
      <c r="M446" s="15"/>
      <c r="N446" s="15"/>
      <c r="O446" s="15"/>
      <c r="P446" s="15"/>
      <c r="Q446" s="15"/>
      <c r="R446" s="15"/>
      <c r="S446" s="15"/>
      <c r="T446" s="15"/>
      <c r="U446" s="15"/>
      <c r="V446" s="15"/>
      <c r="W446" s="15"/>
      <c r="X446" s="14"/>
      <c r="Y446" s="14"/>
      <c r="Z446" s="15"/>
      <c r="AA446" s="3"/>
      <c r="AB446" s="3"/>
      <c r="AC446" s="3"/>
      <c r="AD446" s="3"/>
      <c r="AE446" s="3"/>
      <c r="AF446" s="3"/>
    </row>
    <row r="447" ht="15.75" customHeight="1">
      <c r="J447" s="15"/>
      <c r="K447" s="188"/>
      <c r="L447" s="15"/>
      <c r="M447" s="15"/>
      <c r="N447" s="15"/>
      <c r="O447" s="15"/>
      <c r="P447" s="15"/>
      <c r="Q447" s="15"/>
      <c r="R447" s="15"/>
      <c r="S447" s="15"/>
      <c r="T447" s="15"/>
      <c r="U447" s="15"/>
      <c r="V447" s="15"/>
      <c r="W447" s="15"/>
      <c r="X447" s="14"/>
      <c r="Y447" s="14"/>
      <c r="Z447" s="15"/>
      <c r="AA447" s="3"/>
      <c r="AB447" s="3"/>
      <c r="AC447" s="3"/>
      <c r="AD447" s="3"/>
      <c r="AE447" s="3"/>
      <c r="AF447" s="3"/>
    </row>
    <row r="448" ht="15.75" customHeight="1">
      <c r="J448" s="15"/>
      <c r="K448" s="188"/>
      <c r="L448" s="15"/>
      <c r="M448" s="15"/>
      <c r="N448" s="15"/>
      <c r="O448" s="15"/>
      <c r="P448" s="15"/>
      <c r="Q448" s="15"/>
      <c r="R448" s="15"/>
      <c r="S448" s="15"/>
      <c r="T448" s="15"/>
      <c r="U448" s="15"/>
      <c r="V448" s="15"/>
      <c r="W448" s="15"/>
      <c r="X448" s="14"/>
      <c r="Y448" s="14"/>
      <c r="Z448" s="15"/>
      <c r="AA448" s="3"/>
      <c r="AB448" s="3"/>
      <c r="AC448" s="3"/>
      <c r="AD448" s="3"/>
      <c r="AE448" s="3"/>
      <c r="AF448" s="3"/>
    </row>
    <row r="449" ht="15.75" customHeight="1">
      <c r="J449" s="15"/>
      <c r="K449" s="188"/>
      <c r="L449" s="15"/>
      <c r="M449" s="15"/>
      <c r="N449" s="15"/>
      <c r="O449" s="15"/>
      <c r="P449" s="15"/>
      <c r="Q449" s="15"/>
      <c r="R449" s="15"/>
      <c r="S449" s="15"/>
      <c r="T449" s="15"/>
      <c r="U449" s="15"/>
      <c r="V449" s="15"/>
      <c r="W449" s="15"/>
      <c r="X449" s="14"/>
      <c r="Y449" s="14"/>
      <c r="Z449" s="15"/>
      <c r="AA449" s="3"/>
      <c r="AB449" s="3"/>
      <c r="AC449" s="3"/>
      <c r="AD449" s="3"/>
      <c r="AE449" s="3"/>
      <c r="AF449" s="3"/>
    </row>
    <row r="450" ht="15.75" customHeight="1">
      <c r="J450" s="15"/>
      <c r="K450" s="188"/>
      <c r="L450" s="15"/>
      <c r="M450" s="15"/>
      <c r="N450" s="15"/>
      <c r="O450" s="15"/>
      <c r="P450" s="15"/>
      <c r="Q450" s="15"/>
      <c r="R450" s="15"/>
      <c r="S450" s="15"/>
      <c r="T450" s="15"/>
      <c r="U450" s="15"/>
      <c r="V450" s="15"/>
      <c r="W450" s="15"/>
      <c r="X450" s="14"/>
      <c r="Y450" s="14"/>
      <c r="Z450" s="15"/>
      <c r="AA450" s="3"/>
      <c r="AB450" s="3"/>
      <c r="AC450" s="3"/>
      <c r="AD450" s="3"/>
      <c r="AE450" s="3"/>
      <c r="AF450" s="3"/>
    </row>
    <row r="451" ht="15.75" customHeight="1">
      <c r="J451" s="15"/>
      <c r="K451" s="188"/>
      <c r="L451" s="15"/>
      <c r="M451" s="15"/>
      <c r="N451" s="15"/>
      <c r="O451" s="15"/>
      <c r="P451" s="15"/>
      <c r="Q451" s="15"/>
      <c r="R451" s="15"/>
      <c r="S451" s="15"/>
      <c r="T451" s="15"/>
      <c r="U451" s="15"/>
      <c r="V451" s="15"/>
      <c r="W451" s="15"/>
      <c r="X451" s="14"/>
      <c r="Y451" s="14"/>
      <c r="Z451" s="15"/>
      <c r="AA451" s="3"/>
      <c r="AB451" s="3"/>
      <c r="AC451" s="3"/>
      <c r="AD451" s="3"/>
      <c r="AE451" s="3"/>
      <c r="AF451" s="3"/>
    </row>
    <row r="452" ht="15.75" customHeight="1">
      <c r="J452" s="15"/>
      <c r="K452" s="188"/>
      <c r="L452" s="15"/>
      <c r="M452" s="15"/>
      <c r="N452" s="15"/>
      <c r="O452" s="15"/>
      <c r="P452" s="15"/>
      <c r="Q452" s="15"/>
      <c r="R452" s="15"/>
      <c r="S452" s="15"/>
      <c r="T452" s="15"/>
      <c r="U452" s="15"/>
      <c r="V452" s="15"/>
      <c r="W452" s="15"/>
      <c r="X452" s="14"/>
      <c r="Y452" s="14"/>
      <c r="Z452" s="15"/>
      <c r="AA452" s="3"/>
      <c r="AB452" s="3"/>
      <c r="AC452" s="3"/>
      <c r="AD452" s="3"/>
      <c r="AE452" s="3"/>
      <c r="AF452" s="3"/>
    </row>
    <row r="453" ht="15.75" customHeight="1">
      <c r="J453" s="15"/>
      <c r="K453" s="188"/>
      <c r="L453" s="15"/>
      <c r="M453" s="15"/>
      <c r="N453" s="15"/>
      <c r="O453" s="15"/>
      <c r="P453" s="15"/>
      <c r="Q453" s="15"/>
      <c r="R453" s="15"/>
      <c r="S453" s="15"/>
      <c r="T453" s="15"/>
      <c r="U453" s="15"/>
      <c r="V453" s="15"/>
      <c r="W453" s="15"/>
      <c r="X453" s="14"/>
      <c r="Y453" s="14"/>
      <c r="Z453" s="15"/>
      <c r="AA453" s="3"/>
      <c r="AB453" s="3"/>
      <c r="AC453" s="3"/>
      <c r="AD453" s="3"/>
      <c r="AE453" s="3"/>
      <c r="AF453" s="3"/>
    </row>
    <row r="454" ht="15.75" customHeight="1">
      <c r="J454" s="15"/>
      <c r="K454" s="188"/>
      <c r="L454" s="15"/>
      <c r="M454" s="15"/>
      <c r="N454" s="15"/>
      <c r="O454" s="15"/>
      <c r="P454" s="15"/>
      <c r="Q454" s="15"/>
      <c r="R454" s="15"/>
      <c r="S454" s="15"/>
      <c r="T454" s="15"/>
      <c r="U454" s="15"/>
      <c r="V454" s="15"/>
      <c r="W454" s="15"/>
      <c r="X454" s="14"/>
      <c r="Y454" s="14"/>
      <c r="Z454" s="15"/>
      <c r="AA454" s="3"/>
      <c r="AB454" s="3"/>
      <c r="AC454" s="3"/>
      <c r="AD454" s="3"/>
      <c r="AE454" s="3"/>
      <c r="AF454" s="3"/>
    </row>
    <row r="455" ht="15.75" customHeight="1">
      <c r="J455" s="15"/>
      <c r="K455" s="188"/>
      <c r="L455" s="15"/>
      <c r="M455" s="15"/>
      <c r="N455" s="15"/>
      <c r="O455" s="15"/>
      <c r="P455" s="15"/>
      <c r="Q455" s="15"/>
      <c r="R455" s="15"/>
      <c r="S455" s="15"/>
      <c r="T455" s="15"/>
      <c r="U455" s="15"/>
      <c r="V455" s="15"/>
      <c r="W455" s="15"/>
      <c r="X455" s="14"/>
      <c r="Y455" s="14"/>
      <c r="Z455" s="15"/>
      <c r="AA455" s="3"/>
      <c r="AB455" s="3"/>
      <c r="AC455" s="3"/>
      <c r="AD455" s="3"/>
      <c r="AE455" s="3"/>
      <c r="AF455" s="3"/>
    </row>
    <row r="456" ht="15.75" customHeight="1">
      <c r="J456" s="15"/>
      <c r="K456" s="188"/>
      <c r="L456" s="15"/>
      <c r="M456" s="15"/>
      <c r="N456" s="15"/>
      <c r="O456" s="15"/>
      <c r="P456" s="15"/>
      <c r="Q456" s="15"/>
      <c r="R456" s="15"/>
      <c r="S456" s="15"/>
      <c r="T456" s="15"/>
      <c r="U456" s="15"/>
      <c r="V456" s="15"/>
      <c r="W456" s="15"/>
      <c r="X456" s="14"/>
      <c r="Y456" s="14"/>
      <c r="Z456" s="15"/>
      <c r="AA456" s="3"/>
      <c r="AB456" s="3"/>
      <c r="AC456" s="3"/>
      <c r="AD456" s="3"/>
      <c r="AE456" s="3"/>
      <c r="AF456" s="3"/>
    </row>
    <row r="457" ht="15.75" customHeight="1">
      <c r="J457" s="15"/>
      <c r="K457" s="188"/>
      <c r="L457" s="15"/>
      <c r="M457" s="15"/>
      <c r="N457" s="15"/>
      <c r="O457" s="15"/>
      <c r="P457" s="15"/>
      <c r="Q457" s="15"/>
      <c r="R457" s="15"/>
      <c r="S457" s="15"/>
      <c r="T457" s="15"/>
      <c r="U457" s="15"/>
      <c r="V457" s="15"/>
      <c r="W457" s="15"/>
      <c r="X457" s="14"/>
      <c r="Y457" s="14"/>
      <c r="Z457" s="15"/>
      <c r="AA457" s="3"/>
      <c r="AB457" s="3"/>
      <c r="AC457" s="3"/>
      <c r="AD457" s="3"/>
      <c r="AE457" s="3"/>
      <c r="AF457" s="3"/>
    </row>
    <row r="458" ht="15.75" customHeight="1">
      <c r="J458" s="15"/>
      <c r="K458" s="188"/>
      <c r="L458" s="15"/>
      <c r="M458" s="15"/>
      <c r="N458" s="15"/>
      <c r="O458" s="15"/>
      <c r="P458" s="15"/>
      <c r="Q458" s="15"/>
      <c r="R458" s="15"/>
      <c r="S458" s="15"/>
      <c r="T458" s="15"/>
      <c r="U458" s="15"/>
      <c r="V458" s="15"/>
      <c r="W458" s="15"/>
      <c r="X458" s="14"/>
      <c r="Y458" s="14"/>
      <c r="Z458" s="15"/>
      <c r="AA458" s="3"/>
      <c r="AB458" s="3"/>
      <c r="AC458" s="3"/>
      <c r="AD458" s="3"/>
      <c r="AE458" s="3"/>
      <c r="AF458" s="3"/>
    </row>
    <row r="459" ht="15.75" customHeight="1">
      <c r="J459" s="15"/>
      <c r="K459" s="188"/>
      <c r="L459" s="15"/>
      <c r="M459" s="15"/>
      <c r="N459" s="15"/>
      <c r="O459" s="15"/>
      <c r="P459" s="15"/>
      <c r="Q459" s="15"/>
      <c r="R459" s="15"/>
      <c r="S459" s="15"/>
      <c r="T459" s="15"/>
      <c r="U459" s="15"/>
      <c r="V459" s="15"/>
      <c r="W459" s="15"/>
      <c r="X459" s="14"/>
      <c r="Y459" s="14"/>
      <c r="Z459" s="15"/>
      <c r="AA459" s="3"/>
      <c r="AB459" s="3"/>
      <c r="AC459" s="3"/>
      <c r="AD459" s="3"/>
      <c r="AE459" s="3"/>
      <c r="AF459" s="3"/>
    </row>
    <row r="460" ht="15.75" customHeight="1">
      <c r="J460" s="15"/>
      <c r="K460" s="188"/>
      <c r="L460" s="15"/>
      <c r="M460" s="15"/>
      <c r="N460" s="15"/>
      <c r="O460" s="15"/>
      <c r="P460" s="15"/>
      <c r="Q460" s="15"/>
      <c r="R460" s="15"/>
      <c r="S460" s="15"/>
      <c r="T460" s="15"/>
      <c r="U460" s="15"/>
      <c r="V460" s="15"/>
      <c r="W460" s="15"/>
      <c r="X460" s="14"/>
      <c r="Y460" s="14"/>
      <c r="Z460" s="15"/>
      <c r="AA460" s="3"/>
      <c r="AB460" s="3"/>
      <c r="AC460" s="3"/>
      <c r="AD460" s="3"/>
      <c r="AE460" s="3"/>
      <c r="AF460" s="3"/>
    </row>
    <row r="461" ht="15.75" customHeight="1">
      <c r="J461" s="15"/>
      <c r="K461" s="188"/>
      <c r="L461" s="15"/>
      <c r="M461" s="15"/>
      <c r="N461" s="15"/>
      <c r="O461" s="15"/>
      <c r="P461" s="15"/>
      <c r="Q461" s="15"/>
      <c r="R461" s="15"/>
      <c r="S461" s="15"/>
      <c r="T461" s="15"/>
      <c r="U461" s="15"/>
      <c r="V461" s="15"/>
      <c r="W461" s="15"/>
      <c r="X461" s="14"/>
      <c r="Y461" s="14"/>
      <c r="Z461" s="15"/>
      <c r="AA461" s="3"/>
      <c r="AB461" s="3"/>
      <c r="AC461" s="3"/>
      <c r="AD461" s="3"/>
      <c r="AE461" s="3"/>
      <c r="AF461" s="3"/>
    </row>
    <row r="462" ht="15.75" customHeight="1">
      <c r="J462" s="15"/>
      <c r="K462" s="188"/>
      <c r="L462" s="15"/>
      <c r="M462" s="15"/>
      <c r="N462" s="15"/>
      <c r="O462" s="15"/>
      <c r="P462" s="15"/>
      <c r="Q462" s="15"/>
      <c r="R462" s="15"/>
      <c r="S462" s="15"/>
      <c r="T462" s="15"/>
      <c r="U462" s="15"/>
      <c r="V462" s="15"/>
      <c r="W462" s="15"/>
      <c r="X462" s="14"/>
      <c r="Y462" s="14"/>
      <c r="Z462" s="15"/>
      <c r="AA462" s="3"/>
      <c r="AB462" s="3"/>
      <c r="AC462" s="3"/>
      <c r="AD462" s="3"/>
      <c r="AE462" s="3"/>
      <c r="AF462" s="3"/>
    </row>
    <row r="463" ht="15.75" customHeight="1">
      <c r="J463" s="15"/>
      <c r="K463" s="188"/>
      <c r="L463" s="15"/>
      <c r="M463" s="15"/>
      <c r="N463" s="15"/>
      <c r="O463" s="15"/>
      <c r="P463" s="15"/>
      <c r="Q463" s="15"/>
      <c r="R463" s="15"/>
      <c r="S463" s="15"/>
      <c r="T463" s="15"/>
      <c r="U463" s="15"/>
      <c r="V463" s="15"/>
      <c r="W463" s="15"/>
      <c r="X463" s="14"/>
      <c r="Y463" s="14"/>
      <c r="Z463" s="15"/>
      <c r="AA463" s="3"/>
      <c r="AB463" s="3"/>
      <c r="AC463" s="3"/>
      <c r="AD463" s="3"/>
      <c r="AE463" s="3"/>
      <c r="AF463" s="3"/>
    </row>
    <row r="464" ht="15.75" customHeight="1">
      <c r="J464" s="15"/>
      <c r="K464" s="188"/>
      <c r="L464" s="15"/>
      <c r="M464" s="15"/>
      <c r="N464" s="15"/>
      <c r="O464" s="15"/>
      <c r="P464" s="15"/>
      <c r="Q464" s="15"/>
      <c r="R464" s="15"/>
      <c r="S464" s="15"/>
      <c r="T464" s="15"/>
      <c r="U464" s="15"/>
      <c r="V464" s="15"/>
      <c r="W464" s="15"/>
      <c r="X464" s="14"/>
      <c r="Y464" s="14"/>
      <c r="Z464" s="15"/>
      <c r="AA464" s="3"/>
      <c r="AB464" s="3"/>
      <c r="AC464" s="3"/>
      <c r="AD464" s="3"/>
      <c r="AE464" s="3"/>
      <c r="AF464" s="3"/>
    </row>
    <row r="465" ht="15.75" customHeight="1">
      <c r="J465" s="15"/>
      <c r="K465" s="188"/>
      <c r="L465" s="15"/>
      <c r="M465" s="15"/>
      <c r="N465" s="15"/>
      <c r="O465" s="15"/>
      <c r="P465" s="15"/>
      <c r="Q465" s="15"/>
      <c r="R465" s="15"/>
      <c r="S465" s="15"/>
      <c r="T465" s="15"/>
      <c r="U465" s="15"/>
      <c r="V465" s="15"/>
      <c r="W465" s="15"/>
      <c r="X465" s="14"/>
      <c r="Y465" s="14"/>
      <c r="Z465" s="15"/>
      <c r="AA465" s="3"/>
      <c r="AB465" s="3"/>
      <c r="AC465" s="3"/>
      <c r="AD465" s="3"/>
      <c r="AE465" s="3"/>
      <c r="AF465" s="3"/>
    </row>
    <row r="466" ht="15.75" customHeight="1">
      <c r="J466" s="15"/>
      <c r="K466" s="188"/>
      <c r="L466" s="15"/>
      <c r="M466" s="15"/>
      <c r="N466" s="15"/>
      <c r="O466" s="15"/>
      <c r="P466" s="15"/>
      <c r="Q466" s="15"/>
      <c r="R466" s="15"/>
      <c r="S466" s="15"/>
      <c r="T466" s="15"/>
      <c r="U466" s="15"/>
      <c r="V466" s="15"/>
      <c r="W466" s="15"/>
      <c r="X466" s="14"/>
      <c r="Y466" s="14"/>
      <c r="Z466" s="15"/>
      <c r="AA466" s="3"/>
      <c r="AB466" s="3"/>
      <c r="AC466" s="3"/>
      <c r="AD466" s="3"/>
      <c r="AE466" s="3"/>
      <c r="AF466" s="3"/>
    </row>
    <row r="467" ht="15.75" customHeight="1">
      <c r="J467" s="15"/>
      <c r="K467" s="188"/>
      <c r="L467" s="15"/>
      <c r="M467" s="15"/>
      <c r="N467" s="15"/>
      <c r="O467" s="15"/>
      <c r="P467" s="15"/>
      <c r="Q467" s="15"/>
      <c r="R467" s="15"/>
      <c r="S467" s="15"/>
      <c r="T467" s="15"/>
      <c r="U467" s="15"/>
      <c r="V467" s="15"/>
      <c r="W467" s="15"/>
      <c r="X467" s="14"/>
      <c r="Y467" s="14"/>
      <c r="Z467" s="15"/>
      <c r="AA467" s="3"/>
      <c r="AB467" s="3"/>
      <c r="AC467" s="3"/>
      <c r="AD467" s="3"/>
      <c r="AE467" s="3"/>
      <c r="AF467" s="3"/>
    </row>
    <row r="468" ht="15.75" customHeight="1">
      <c r="J468" s="15"/>
      <c r="K468" s="188"/>
      <c r="L468" s="15"/>
      <c r="M468" s="15"/>
      <c r="N468" s="15"/>
      <c r="O468" s="15"/>
      <c r="P468" s="15"/>
      <c r="Q468" s="15"/>
      <c r="R468" s="15"/>
      <c r="S468" s="15"/>
      <c r="T468" s="15"/>
      <c r="U468" s="15"/>
      <c r="V468" s="15"/>
      <c r="W468" s="15"/>
      <c r="X468" s="14"/>
      <c r="Y468" s="14"/>
      <c r="Z468" s="15"/>
      <c r="AA468" s="3"/>
      <c r="AB468" s="3"/>
      <c r="AC468" s="3"/>
      <c r="AD468" s="3"/>
      <c r="AE468" s="3"/>
      <c r="AF468" s="3"/>
    </row>
    <row r="469" ht="15.75" customHeight="1">
      <c r="J469" s="15"/>
      <c r="K469" s="188"/>
      <c r="L469" s="15"/>
      <c r="M469" s="15"/>
      <c r="N469" s="15"/>
      <c r="O469" s="15"/>
      <c r="P469" s="15"/>
      <c r="Q469" s="15"/>
      <c r="R469" s="15"/>
      <c r="S469" s="15"/>
      <c r="T469" s="15"/>
      <c r="U469" s="15"/>
      <c r="V469" s="15"/>
      <c r="W469" s="15"/>
      <c r="X469" s="14"/>
      <c r="Y469" s="14"/>
      <c r="Z469" s="15"/>
      <c r="AA469" s="3"/>
      <c r="AB469" s="3"/>
      <c r="AC469" s="3"/>
      <c r="AD469" s="3"/>
      <c r="AE469" s="3"/>
      <c r="AF469" s="3"/>
    </row>
    <row r="470" ht="15.75" customHeight="1">
      <c r="J470" s="15"/>
      <c r="K470" s="188"/>
      <c r="L470" s="15"/>
      <c r="M470" s="15"/>
      <c r="N470" s="15"/>
      <c r="O470" s="15"/>
      <c r="P470" s="15"/>
      <c r="Q470" s="15"/>
      <c r="R470" s="15"/>
      <c r="S470" s="15"/>
      <c r="T470" s="15"/>
      <c r="U470" s="15"/>
      <c r="V470" s="15"/>
      <c r="W470" s="15"/>
      <c r="X470" s="14"/>
      <c r="Y470" s="14"/>
      <c r="Z470" s="15"/>
      <c r="AA470" s="3"/>
      <c r="AB470" s="3"/>
      <c r="AC470" s="3"/>
      <c r="AD470" s="3"/>
      <c r="AE470" s="3"/>
      <c r="AF470" s="3"/>
    </row>
    <row r="471" ht="15.75" customHeight="1">
      <c r="J471" s="15"/>
      <c r="K471" s="188"/>
      <c r="L471" s="15"/>
      <c r="M471" s="15"/>
      <c r="N471" s="15"/>
      <c r="O471" s="15"/>
      <c r="P471" s="15"/>
      <c r="Q471" s="15"/>
      <c r="R471" s="15"/>
      <c r="S471" s="15"/>
      <c r="T471" s="15"/>
      <c r="U471" s="15"/>
      <c r="V471" s="15"/>
      <c r="W471" s="15"/>
      <c r="X471" s="14"/>
      <c r="Y471" s="14"/>
      <c r="Z471" s="15"/>
      <c r="AA471" s="3"/>
      <c r="AB471" s="3"/>
      <c r="AC471" s="3"/>
      <c r="AD471" s="3"/>
      <c r="AE471" s="3"/>
      <c r="AF471" s="3"/>
    </row>
    <row r="472" ht="15.75" customHeight="1">
      <c r="J472" s="15"/>
      <c r="K472" s="188"/>
      <c r="L472" s="15"/>
      <c r="M472" s="15"/>
      <c r="N472" s="15"/>
      <c r="O472" s="15"/>
      <c r="P472" s="15"/>
      <c r="Q472" s="15"/>
      <c r="R472" s="15"/>
      <c r="S472" s="15"/>
      <c r="T472" s="15"/>
      <c r="U472" s="15"/>
      <c r="V472" s="15"/>
      <c r="W472" s="15"/>
      <c r="X472" s="14"/>
      <c r="Y472" s="14"/>
      <c r="Z472" s="15"/>
      <c r="AA472" s="3"/>
      <c r="AB472" s="3"/>
      <c r="AC472" s="3"/>
      <c r="AD472" s="3"/>
      <c r="AE472" s="3"/>
      <c r="AF472" s="3"/>
    </row>
    <row r="473" ht="15.75" customHeight="1">
      <c r="J473" s="15"/>
      <c r="K473" s="188"/>
      <c r="L473" s="15"/>
      <c r="M473" s="15"/>
      <c r="N473" s="15"/>
      <c r="O473" s="15"/>
      <c r="P473" s="15"/>
      <c r="Q473" s="15"/>
      <c r="R473" s="15"/>
      <c r="S473" s="15"/>
      <c r="T473" s="15"/>
      <c r="U473" s="15"/>
      <c r="V473" s="15"/>
      <c r="W473" s="15"/>
      <c r="X473" s="14"/>
      <c r="Y473" s="14"/>
      <c r="Z473" s="15"/>
      <c r="AA473" s="3"/>
      <c r="AB473" s="3"/>
      <c r="AC473" s="3"/>
      <c r="AD473" s="3"/>
      <c r="AE473" s="3"/>
      <c r="AF473" s="3"/>
    </row>
    <row r="474" ht="15.75" customHeight="1">
      <c r="J474" s="15"/>
      <c r="K474" s="188"/>
      <c r="L474" s="15"/>
      <c r="M474" s="15"/>
      <c r="N474" s="15"/>
      <c r="O474" s="15"/>
      <c r="P474" s="15"/>
      <c r="Q474" s="15"/>
      <c r="R474" s="15"/>
      <c r="S474" s="15"/>
      <c r="T474" s="15"/>
      <c r="U474" s="15"/>
      <c r="V474" s="15"/>
      <c r="W474" s="15"/>
      <c r="X474" s="14"/>
      <c r="Y474" s="14"/>
      <c r="Z474" s="15"/>
      <c r="AA474" s="3"/>
      <c r="AB474" s="3"/>
      <c r="AC474" s="3"/>
      <c r="AD474" s="3"/>
      <c r="AE474" s="3"/>
      <c r="AF474" s="3"/>
    </row>
    <row r="475" ht="15.75" customHeight="1">
      <c r="J475" s="15"/>
      <c r="K475" s="188"/>
      <c r="L475" s="15"/>
      <c r="M475" s="15"/>
      <c r="N475" s="15"/>
      <c r="O475" s="15"/>
      <c r="P475" s="15"/>
      <c r="Q475" s="15"/>
      <c r="R475" s="15"/>
      <c r="S475" s="15"/>
      <c r="T475" s="15"/>
      <c r="U475" s="15"/>
      <c r="V475" s="15"/>
      <c r="W475" s="15"/>
      <c r="X475" s="14"/>
      <c r="Y475" s="14"/>
      <c r="Z475" s="15"/>
      <c r="AA475" s="3"/>
      <c r="AB475" s="3"/>
      <c r="AC475" s="3"/>
      <c r="AD475" s="3"/>
      <c r="AE475" s="3"/>
      <c r="AF475" s="3"/>
    </row>
    <row r="476" ht="15.75" customHeight="1">
      <c r="J476" s="15"/>
      <c r="K476" s="188"/>
      <c r="L476" s="15"/>
      <c r="M476" s="15"/>
      <c r="N476" s="15"/>
      <c r="O476" s="15"/>
      <c r="P476" s="15"/>
      <c r="Q476" s="15"/>
      <c r="R476" s="15"/>
      <c r="S476" s="15"/>
      <c r="T476" s="15"/>
      <c r="U476" s="15"/>
      <c r="V476" s="15"/>
      <c r="W476" s="15"/>
      <c r="X476" s="14"/>
      <c r="Y476" s="14"/>
      <c r="Z476" s="15"/>
      <c r="AA476" s="3"/>
      <c r="AB476" s="3"/>
      <c r="AC476" s="3"/>
      <c r="AD476" s="3"/>
      <c r="AE476" s="3"/>
      <c r="AF476" s="3"/>
    </row>
    <row r="477" ht="15.75" customHeight="1">
      <c r="J477" s="15"/>
      <c r="K477" s="188"/>
      <c r="L477" s="15"/>
      <c r="M477" s="15"/>
      <c r="N477" s="15"/>
      <c r="O477" s="15"/>
      <c r="P477" s="15"/>
      <c r="Q477" s="15"/>
      <c r="R477" s="15"/>
      <c r="S477" s="15"/>
      <c r="T477" s="15"/>
      <c r="U477" s="15"/>
      <c r="V477" s="15"/>
      <c r="W477" s="15"/>
      <c r="X477" s="14"/>
      <c r="Y477" s="14"/>
      <c r="Z477" s="15"/>
      <c r="AA477" s="3"/>
      <c r="AB477" s="3"/>
      <c r="AC477" s="3"/>
      <c r="AD477" s="3"/>
      <c r="AE477" s="3"/>
      <c r="AF477" s="3"/>
    </row>
    <row r="478" ht="15.75" customHeight="1">
      <c r="J478" s="15"/>
      <c r="K478" s="188"/>
      <c r="L478" s="15"/>
      <c r="M478" s="15"/>
      <c r="N478" s="15"/>
      <c r="O478" s="15"/>
      <c r="P478" s="15"/>
      <c r="Q478" s="15"/>
      <c r="R478" s="15"/>
      <c r="S478" s="15"/>
      <c r="T478" s="15"/>
      <c r="U478" s="15"/>
      <c r="V478" s="15"/>
      <c r="W478" s="15"/>
      <c r="X478" s="14"/>
      <c r="Y478" s="14"/>
      <c r="Z478" s="15"/>
      <c r="AA478" s="3"/>
      <c r="AB478" s="3"/>
      <c r="AC478" s="3"/>
      <c r="AD478" s="3"/>
      <c r="AE478" s="3"/>
      <c r="AF478" s="3"/>
    </row>
    <row r="479" ht="15.75" customHeight="1">
      <c r="J479" s="15"/>
      <c r="K479" s="188"/>
      <c r="L479" s="15"/>
      <c r="M479" s="15"/>
      <c r="N479" s="15"/>
      <c r="O479" s="15"/>
      <c r="P479" s="15"/>
      <c r="Q479" s="15"/>
      <c r="R479" s="15"/>
      <c r="S479" s="15"/>
      <c r="T479" s="15"/>
      <c r="U479" s="15"/>
      <c r="V479" s="15"/>
      <c r="W479" s="15"/>
      <c r="X479" s="14"/>
      <c r="Y479" s="14"/>
      <c r="Z479" s="15"/>
      <c r="AA479" s="3"/>
      <c r="AB479" s="3"/>
      <c r="AC479" s="3"/>
      <c r="AD479" s="3"/>
      <c r="AE479" s="3"/>
      <c r="AF479" s="3"/>
    </row>
    <row r="480" ht="15.75" customHeight="1">
      <c r="J480" s="15"/>
      <c r="K480" s="188"/>
      <c r="L480" s="15"/>
      <c r="M480" s="15"/>
      <c r="N480" s="15"/>
      <c r="O480" s="15"/>
      <c r="P480" s="15"/>
      <c r="Q480" s="15"/>
      <c r="R480" s="15"/>
      <c r="S480" s="15"/>
      <c r="T480" s="15"/>
      <c r="U480" s="15"/>
      <c r="V480" s="15"/>
      <c r="W480" s="15"/>
      <c r="X480" s="14"/>
      <c r="Y480" s="14"/>
      <c r="Z480" s="15"/>
      <c r="AA480" s="3"/>
      <c r="AB480" s="3"/>
      <c r="AC480" s="3"/>
      <c r="AD480" s="3"/>
      <c r="AE480" s="3"/>
      <c r="AF480" s="3"/>
    </row>
    <row r="481" ht="15.75" customHeight="1">
      <c r="J481" s="15"/>
      <c r="K481" s="188"/>
      <c r="L481" s="15"/>
      <c r="M481" s="15"/>
      <c r="N481" s="15"/>
      <c r="O481" s="15"/>
      <c r="P481" s="15"/>
      <c r="Q481" s="15"/>
      <c r="R481" s="15"/>
      <c r="S481" s="15"/>
      <c r="T481" s="15"/>
      <c r="U481" s="15"/>
      <c r="V481" s="15"/>
      <c r="W481" s="15"/>
      <c r="X481" s="14"/>
      <c r="Y481" s="14"/>
      <c r="Z481" s="15"/>
      <c r="AA481" s="3"/>
      <c r="AB481" s="3"/>
      <c r="AC481" s="3"/>
      <c r="AD481" s="3"/>
      <c r="AE481" s="3"/>
      <c r="AF481" s="3"/>
    </row>
    <row r="482" ht="15.75" customHeight="1">
      <c r="J482" s="15"/>
      <c r="K482" s="188"/>
      <c r="L482" s="15"/>
      <c r="M482" s="15"/>
      <c r="N482" s="15"/>
      <c r="O482" s="15"/>
      <c r="P482" s="15"/>
      <c r="Q482" s="15"/>
      <c r="R482" s="15"/>
      <c r="S482" s="15"/>
      <c r="T482" s="15"/>
      <c r="U482" s="15"/>
      <c r="V482" s="15"/>
      <c r="W482" s="15"/>
      <c r="X482" s="14"/>
      <c r="Y482" s="14"/>
      <c r="Z482" s="15"/>
      <c r="AA482" s="3"/>
      <c r="AB482" s="3"/>
      <c r="AC482" s="3"/>
      <c r="AD482" s="3"/>
      <c r="AE482" s="3"/>
      <c r="AF482" s="3"/>
    </row>
    <row r="483" ht="15.75" customHeight="1">
      <c r="J483" s="15"/>
      <c r="K483" s="188"/>
      <c r="L483" s="15"/>
      <c r="M483" s="15"/>
      <c r="N483" s="15"/>
      <c r="O483" s="15"/>
      <c r="P483" s="15"/>
      <c r="Q483" s="15"/>
      <c r="R483" s="15"/>
      <c r="S483" s="15"/>
      <c r="T483" s="15"/>
      <c r="U483" s="15"/>
      <c r="V483" s="15"/>
      <c r="W483" s="15"/>
      <c r="X483" s="14"/>
      <c r="Y483" s="14"/>
      <c r="Z483" s="15"/>
      <c r="AA483" s="3"/>
      <c r="AB483" s="3"/>
      <c r="AC483" s="3"/>
      <c r="AD483" s="3"/>
      <c r="AE483" s="3"/>
      <c r="AF483" s="3"/>
    </row>
    <row r="484" ht="15.75" customHeight="1">
      <c r="J484" s="15"/>
      <c r="K484" s="188"/>
      <c r="L484" s="15"/>
      <c r="M484" s="15"/>
      <c r="N484" s="15"/>
      <c r="O484" s="15"/>
      <c r="P484" s="15"/>
      <c r="Q484" s="15"/>
      <c r="R484" s="15"/>
      <c r="S484" s="15"/>
      <c r="T484" s="15"/>
      <c r="U484" s="15"/>
      <c r="V484" s="15"/>
      <c r="W484" s="15"/>
      <c r="X484" s="14"/>
      <c r="Y484" s="14"/>
      <c r="Z484" s="15"/>
      <c r="AA484" s="3"/>
      <c r="AB484" s="3"/>
      <c r="AC484" s="3"/>
      <c r="AD484" s="3"/>
      <c r="AE484" s="3"/>
      <c r="AF484" s="3"/>
    </row>
    <row r="485" ht="15.75" customHeight="1">
      <c r="J485" s="15"/>
      <c r="K485" s="188"/>
      <c r="L485" s="15"/>
      <c r="M485" s="15"/>
      <c r="N485" s="15"/>
      <c r="O485" s="15"/>
      <c r="P485" s="15"/>
      <c r="Q485" s="15"/>
      <c r="R485" s="15"/>
      <c r="S485" s="15"/>
      <c r="T485" s="15"/>
      <c r="U485" s="15"/>
      <c r="V485" s="15"/>
      <c r="W485" s="15"/>
      <c r="X485" s="14"/>
      <c r="Y485" s="14"/>
      <c r="Z485" s="15"/>
      <c r="AA485" s="3"/>
      <c r="AB485" s="3"/>
      <c r="AC485" s="3"/>
      <c r="AD485" s="3"/>
      <c r="AE485" s="3"/>
      <c r="AF485" s="3"/>
    </row>
    <row r="486" ht="15.75" customHeight="1">
      <c r="J486" s="15"/>
      <c r="K486" s="188"/>
      <c r="L486" s="15"/>
      <c r="M486" s="15"/>
      <c r="N486" s="15"/>
      <c r="O486" s="15"/>
      <c r="P486" s="15"/>
      <c r="Q486" s="15"/>
      <c r="R486" s="15"/>
      <c r="S486" s="15"/>
      <c r="T486" s="15"/>
      <c r="U486" s="15"/>
      <c r="V486" s="15"/>
      <c r="W486" s="15"/>
      <c r="X486" s="14"/>
      <c r="Y486" s="14"/>
      <c r="Z486" s="15"/>
      <c r="AA486" s="3"/>
      <c r="AB486" s="3"/>
      <c r="AC486" s="3"/>
      <c r="AD486" s="3"/>
      <c r="AE486" s="3"/>
      <c r="AF486" s="3"/>
    </row>
    <row r="487" ht="15.75" customHeight="1">
      <c r="J487" s="15"/>
      <c r="K487" s="188"/>
      <c r="L487" s="15"/>
      <c r="M487" s="15"/>
      <c r="N487" s="15"/>
      <c r="O487" s="15"/>
      <c r="P487" s="15"/>
      <c r="Q487" s="15"/>
      <c r="R487" s="15"/>
      <c r="S487" s="15"/>
      <c r="T487" s="15"/>
      <c r="U487" s="15"/>
      <c r="V487" s="15"/>
      <c r="W487" s="15"/>
      <c r="X487" s="14"/>
      <c r="Y487" s="14"/>
      <c r="Z487" s="15"/>
      <c r="AA487" s="3"/>
      <c r="AB487" s="3"/>
      <c r="AC487" s="3"/>
      <c r="AD487" s="3"/>
      <c r="AE487" s="3"/>
      <c r="AF487" s="3"/>
    </row>
    <row r="488" ht="15.75" customHeight="1">
      <c r="J488" s="15"/>
      <c r="K488" s="188"/>
      <c r="L488" s="15"/>
      <c r="M488" s="15"/>
      <c r="N488" s="15"/>
      <c r="O488" s="15"/>
      <c r="P488" s="15"/>
      <c r="Q488" s="15"/>
      <c r="R488" s="15"/>
      <c r="S488" s="15"/>
      <c r="T488" s="15"/>
      <c r="U488" s="15"/>
      <c r="V488" s="15"/>
      <c r="W488" s="15"/>
      <c r="X488" s="14"/>
      <c r="Y488" s="14"/>
      <c r="Z488" s="15"/>
      <c r="AA488" s="3"/>
      <c r="AB488" s="3"/>
      <c r="AC488" s="3"/>
      <c r="AD488" s="3"/>
      <c r="AE488" s="3"/>
      <c r="AF488" s="3"/>
    </row>
    <row r="489" ht="15.75" customHeight="1">
      <c r="J489" s="15"/>
      <c r="K489" s="188"/>
      <c r="L489" s="15"/>
      <c r="M489" s="15"/>
      <c r="N489" s="15"/>
      <c r="O489" s="15"/>
      <c r="P489" s="15"/>
      <c r="Q489" s="15"/>
      <c r="R489" s="15"/>
      <c r="S489" s="15"/>
      <c r="T489" s="15"/>
      <c r="U489" s="15"/>
      <c r="V489" s="15"/>
      <c r="W489" s="15"/>
      <c r="X489" s="14"/>
      <c r="Y489" s="14"/>
      <c r="Z489" s="15"/>
      <c r="AA489" s="3"/>
      <c r="AB489" s="3"/>
      <c r="AC489" s="3"/>
      <c r="AD489" s="3"/>
      <c r="AE489" s="3"/>
      <c r="AF489" s="3"/>
    </row>
    <row r="490" ht="15.75" customHeight="1">
      <c r="J490" s="15"/>
      <c r="K490" s="188"/>
      <c r="L490" s="15"/>
      <c r="M490" s="15"/>
      <c r="N490" s="15"/>
      <c r="O490" s="15"/>
      <c r="P490" s="15"/>
      <c r="Q490" s="15"/>
      <c r="R490" s="15"/>
      <c r="S490" s="15"/>
      <c r="T490" s="15"/>
      <c r="U490" s="15"/>
      <c r="V490" s="15"/>
      <c r="W490" s="15"/>
      <c r="X490" s="14"/>
      <c r="Y490" s="14"/>
      <c r="Z490" s="15"/>
      <c r="AA490" s="3"/>
      <c r="AB490" s="3"/>
      <c r="AC490" s="3"/>
      <c r="AD490" s="3"/>
      <c r="AE490" s="3"/>
      <c r="AF490" s="3"/>
    </row>
    <row r="491" ht="15.75" customHeight="1">
      <c r="J491" s="15"/>
      <c r="K491" s="188"/>
      <c r="L491" s="15"/>
      <c r="M491" s="15"/>
      <c r="N491" s="15"/>
      <c r="O491" s="15"/>
      <c r="P491" s="15"/>
      <c r="Q491" s="15"/>
      <c r="R491" s="15"/>
      <c r="S491" s="15"/>
      <c r="T491" s="15"/>
      <c r="U491" s="15"/>
      <c r="V491" s="15"/>
      <c r="W491" s="15"/>
      <c r="X491" s="14"/>
      <c r="Y491" s="14"/>
      <c r="Z491" s="15"/>
      <c r="AA491" s="3"/>
      <c r="AB491" s="3"/>
      <c r="AC491" s="3"/>
      <c r="AD491" s="3"/>
      <c r="AE491" s="3"/>
      <c r="AF491" s="3"/>
    </row>
    <row r="492" ht="15.75" customHeight="1">
      <c r="J492" s="15"/>
      <c r="K492" s="188"/>
      <c r="L492" s="15"/>
      <c r="M492" s="15"/>
      <c r="N492" s="15"/>
      <c r="O492" s="15"/>
      <c r="P492" s="15"/>
      <c r="Q492" s="15"/>
      <c r="R492" s="15"/>
      <c r="S492" s="15"/>
      <c r="T492" s="15"/>
      <c r="U492" s="15"/>
      <c r="V492" s="15"/>
      <c r="W492" s="15"/>
      <c r="X492" s="14"/>
      <c r="Y492" s="14"/>
      <c r="Z492" s="15"/>
      <c r="AA492" s="3"/>
      <c r="AB492" s="3"/>
      <c r="AC492" s="3"/>
      <c r="AD492" s="3"/>
      <c r="AE492" s="3"/>
      <c r="AF492" s="3"/>
    </row>
    <row r="493" ht="15.75" customHeight="1">
      <c r="J493" s="15"/>
      <c r="K493" s="188"/>
      <c r="L493" s="15"/>
      <c r="M493" s="15"/>
      <c r="N493" s="15"/>
      <c r="O493" s="15"/>
      <c r="P493" s="15"/>
      <c r="Q493" s="15"/>
      <c r="R493" s="15"/>
      <c r="S493" s="15"/>
      <c r="T493" s="15"/>
      <c r="U493" s="15"/>
      <c r="V493" s="15"/>
      <c r="W493" s="15"/>
      <c r="X493" s="14"/>
      <c r="Y493" s="14"/>
      <c r="Z493" s="15"/>
      <c r="AA493" s="3"/>
      <c r="AB493" s="3"/>
      <c r="AC493" s="3"/>
      <c r="AD493" s="3"/>
      <c r="AE493" s="3"/>
      <c r="AF493" s="3"/>
    </row>
    <row r="494" ht="15.75" customHeight="1">
      <c r="J494" s="15"/>
      <c r="K494" s="188"/>
      <c r="L494" s="15"/>
      <c r="M494" s="15"/>
      <c r="N494" s="15"/>
      <c r="O494" s="15"/>
      <c r="P494" s="15"/>
      <c r="Q494" s="15"/>
      <c r="R494" s="15"/>
      <c r="S494" s="15"/>
      <c r="T494" s="15"/>
      <c r="U494" s="15"/>
      <c r="V494" s="15"/>
      <c r="W494" s="15"/>
      <c r="X494" s="14"/>
      <c r="Y494" s="14"/>
      <c r="Z494" s="15"/>
      <c r="AA494" s="3"/>
      <c r="AB494" s="3"/>
      <c r="AC494" s="3"/>
      <c r="AD494" s="3"/>
      <c r="AE494" s="3"/>
      <c r="AF494" s="3"/>
    </row>
    <row r="495" ht="15.75" customHeight="1">
      <c r="J495" s="15"/>
      <c r="K495" s="188"/>
      <c r="L495" s="15"/>
      <c r="M495" s="15"/>
      <c r="N495" s="15"/>
      <c r="O495" s="15"/>
      <c r="P495" s="15"/>
      <c r="Q495" s="15"/>
      <c r="R495" s="15"/>
      <c r="S495" s="15"/>
      <c r="T495" s="15"/>
      <c r="U495" s="15"/>
      <c r="V495" s="15"/>
      <c r="W495" s="15"/>
      <c r="X495" s="14"/>
      <c r="Y495" s="14"/>
      <c r="Z495" s="15"/>
      <c r="AA495" s="3"/>
      <c r="AB495" s="3"/>
      <c r="AC495" s="3"/>
      <c r="AD495" s="3"/>
      <c r="AE495" s="3"/>
      <c r="AF495" s="3"/>
    </row>
    <row r="496" ht="15.75" customHeight="1">
      <c r="J496" s="15"/>
      <c r="K496" s="188"/>
      <c r="L496" s="15"/>
      <c r="M496" s="15"/>
      <c r="N496" s="15"/>
      <c r="O496" s="15"/>
      <c r="P496" s="15"/>
      <c r="Q496" s="15"/>
      <c r="R496" s="15"/>
      <c r="S496" s="15"/>
      <c r="T496" s="15"/>
      <c r="U496" s="15"/>
      <c r="V496" s="15"/>
      <c r="W496" s="15"/>
      <c r="X496" s="14"/>
      <c r="Y496" s="14"/>
      <c r="Z496" s="15"/>
      <c r="AA496" s="3"/>
      <c r="AB496" s="3"/>
      <c r="AC496" s="3"/>
      <c r="AD496" s="3"/>
      <c r="AE496" s="3"/>
      <c r="AF496" s="3"/>
    </row>
    <row r="497" ht="15.75" customHeight="1">
      <c r="J497" s="15"/>
      <c r="K497" s="188"/>
      <c r="L497" s="15"/>
      <c r="M497" s="15"/>
      <c r="N497" s="15"/>
      <c r="O497" s="15"/>
      <c r="P497" s="15"/>
      <c r="Q497" s="15"/>
      <c r="R497" s="15"/>
      <c r="S497" s="15"/>
      <c r="T497" s="15"/>
      <c r="U497" s="15"/>
      <c r="V497" s="15"/>
      <c r="W497" s="15"/>
      <c r="X497" s="14"/>
      <c r="Y497" s="14"/>
      <c r="Z497" s="15"/>
      <c r="AA497" s="3"/>
      <c r="AB497" s="3"/>
      <c r="AC497" s="3"/>
      <c r="AD497" s="3"/>
      <c r="AE497" s="3"/>
      <c r="AF497" s="3"/>
    </row>
    <row r="498" ht="15.75" customHeight="1">
      <c r="J498" s="15"/>
      <c r="K498" s="188"/>
      <c r="L498" s="15"/>
      <c r="M498" s="15"/>
      <c r="N498" s="15"/>
      <c r="O498" s="15"/>
      <c r="P498" s="15"/>
      <c r="Q498" s="15"/>
      <c r="R498" s="15"/>
      <c r="S498" s="15"/>
      <c r="T498" s="15"/>
      <c r="U498" s="15"/>
      <c r="V498" s="15"/>
      <c r="W498" s="15"/>
      <c r="X498" s="14"/>
      <c r="Y498" s="14"/>
      <c r="Z498" s="15"/>
      <c r="AA498" s="3"/>
      <c r="AB498" s="3"/>
      <c r="AC498" s="3"/>
      <c r="AD498" s="3"/>
      <c r="AE498" s="3"/>
      <c r="AF498" s="3"/>
    </row>
    <row r="499" ht="15.75" customHeight="1">
      <c r="J499" s="15"/>
      <c r="K499" s="188"/>
      <c r="L499" s="15"/>
      <c r="M499" s="15"/>
      <c r="N499" s="15"/>
      <c r="O499" s="15"/>
      <c r="P499" s="15"/>
      <c r="Q499" s="15"/>
      <c r="R499" s="15"/>
      <c r="S499" s="15"/>
      <c r="T499" s="15"/>
      <c r="U499" s="15"/>
      <c r="V499" s="15"/>
      <c r="W499" s="15"/>
      <c r="X499" s="14"/>
      <c r="Y499" s="14"/>
      <c r="Z499" s="15"/>
      <c r="AA499" s="3"/>
      <c r="AB499" s="3"/>
      <c r="AC499" s="3"/>
      <c r="AD499" s="3"/>
      <c r="AE499" s="3"/>
      <c r="AF499" s="3"/>
    </row>
    <row r="500" ht="15.75" customHeight="1">
      <c r="J500" s="15"/>
      <c r="K500" s="188"/>
      <c r="L500" s="15"/>
      <c r="M500" s="15"/>
      <c r="N500" s="15"/>
      <c r="O500" s="15"/>
      <c r="P500" s="15"/>
      <c r="Q500" s="15"/>
      <c r="R500" s="15"/>
      <c r="S500" s="15"/>
      <c r="T500" s="15"/>
      <c r="U500" s="15"/>
      <c r="V500" s="15"/>
      <c r="W500" s="15"/>
      <c r="X500" s="14"/>
      <c r="Y500" s="14"/>
      <c r="Z500" s="15"/>
      <c r="AA500" s="3"/>
      <c r="AB500" s="3"/>
      <c r="AC500" s="3"/>
      <c r="AD500" s="3"/>
      <c r="AE500" s="3"/>
      <c r="AF500" s="3"/>
    </row>
    <row r="501" ht="15.75" customHeight="1">
      <c r="J501" s="15"/>
      <c r="K501" s="188"/>
      <c r="L501" s="15"/>
      <c r="M501" s="15"/>
      <c r="N501" s="15"/>
      <c r="O501" s="15"/>
      <c r="P501" s="15"/>
      <c r="Q501" s="15"/>
      <c r="R501" s="15"/>
      <c r="S501" s="15"/>
      <c r="T501" s="15"/>
      <c r="U501" s="15"/>
      <c r="V501" s="15"/>
      <c r="W501" s="15"/>
      <c r="X501" s="14"/>
      <c r="Y501" s="14"/>
      <c r="Z501" s="15"/>
      <c r="AA501" s="3"/>
      <c r="AB501" s="3"/>
      <c r="AC501" s="3"/>
      <c r="AD501" s="3"/>
      <c r="AE501" s="3"/>
      <c r="AF501" s="3"/>
    </row>
    <row r="502" ht="15.75" customHeight="1">
      <c r="J502" s="15"/>
      <c r="K502" s="188"/>
      <c r="L502" s="15"/>
      <c r="M502" s="15"/>
      <c r="N502" s="15"/>
      <c r="O502" s="15"/>
      <c r="P502" s="15"/>
      <c r="Q502" s="15"/>
      <c r="R502" s="15"/>
      <c r="S502" s="15"/>
      <c r="T502" s="15"/>
      <c r="U502" s="15"/>
      <c r="V502" s="15"/>
      <c r="W502" s="15"/>
      <c r="X502" s="14"/>
      <c r="Y502" s="14"/>
      <c r="Z502" s="15"/>
      <c r="AA502" s="3"/>
      <c r="AB502" s="3"/>
      <c r="AC502" s="3"/>
      <c r="AD502" s="3"/>
      <c r="AE502" s="3"/>
      <c r="AF502" s="3"/>
    </row>
    <row r="503" ht="15.75" customHeight="1">
      <c r="J503" s="15"/>
      <c r="K503" s="188"/>
      <c r="L503" s="15"/>
      <c r="M503" s="15"/>
      <c r="N503" s="15"/>
      <c r="O503" s="15"/>
      <c r="P503" s="15"/>
      <c r="Q503" s="15"/>
      <c r="R503" s="15"/>
      <c r="S503" s="15"/>
      <c r="T503" s="15"/>
      <c r="U503" s="15"/>
      <c r="V503" s="15"/>
      <c r="W503" s="15"/>
      <c r="X503" s="14"/>
      <c r="Y503" s="14"/>
      <c r="Z503" s="15"/>
      <c r="AA503" s="3"/>
      <c r="AB503" s="3"/>
      <c r="AC503" s="3"/>
      <c r="AD503" s="3"/>
      <c r="AE503" s="3"/>
      <c r="AF503" s="3"/>
    </row>
    <row r="504" ht="15.75" customHeight="1">
      <c r="J504" s="15"/>
      <c r="K504" s="188"/>
      <c r="L504" s="15"/>
      <c r="M504" s="15"/>
      <c r="N504" s="15"/>
      <c r="O504" s="15"/>
      <c r="P504" s="15"/>
      <c r="Q504" s="15"/>
      <c r="R504" s="15"/>
      <c r="S504" s="15"/>
      <c r="T504" s="15"/>
      <c r="U504" s="15"/>
      <c r="V504" s="15"/>
      <c r="W504" s="15"/>
      <c r="X504" s="14"/>
      <c r="Y504" s="14"/>
      <c r="Z504" s="15"/>
      <c r="AA504" s="3"/>
      <c r="AB504" s="3"/>
      <c r="AC504" s="3"/>
      <c r="AD504" s="3"/>
      <c r="AE504" s="3"/>
      <c r="AF504" s="3"/>
    </row>
    <row r="505" ht="15.75" customHeight="1">
      <c r="J505" s="15"/>
      <c r="K505" s="188"/>
      <c r="L505" s="15"/>
      <c r="M505" s="15"/>
      <c r="N505" s="15"/>
      <c r="O505" s="15"/>
      <c r="P505" s="15"/>
      <c r="Q505" s="15"/>
      <c r="R505" s="15"/>
      <c r="S505" s="15"/>
      <c r="T505" s="15"/>
      <c r="U505" s="15"/>
      <c r="V505" s="15"/>
      <c r="W505" s="15"/>
      <c r="X505" s="14"/>
      <c r="Y505" s="14"/>
      <c r="Z505" s="15"/>
      <c r="AA505" s="3"/>
      <c r="AB505" s="3"/>
      <c r="AC505" s="3"/>
      <c r="AD505" s="3"/>
      <c r="AE505" s="3"/>
      <c r="AF505" s="3"/>
    </row>
    <row r="506" ht="15.75" customHeight="1">
      <c r="J506" s="15"/>
      <c r="K506" s="188"/>
      <c r="L506" s="15"/>
      <c r="M506" s="15"/>
      <c r="N506" s="15"/>
      <c r="O506" s="15"/>
      <c r="P506" s="15"/>
      <c r="Q506" s="15"/>
      <c r="R506" s="15"/>
      <c r="S506" s="15"/>
      <c r="T506" s="15"/>
      <c r="U506" s="15"/>
      <c r="V506" s="15"/>
      <c r="W506" s="15"/>
      <c r="X506" s="14"/>
      <c r="Y506" s="14"/>
      <c r="Z506" s="15"/>
      <c r="AA506" s="3"/>
      <c r="AB506" s="3"/>
      <c r="AC506" s="3"/>
      <c r="AD506" s="3"/>
      <c r="AE506" s="3"/>
      <c r="AF506" s="3"/>
    </row>
    <row r="507" ht="15.75" customHeight="1">
      <c r="J507" s="15"/>
      <c r="K507" s="188"/>
      <c r="L507" s="15"/>
      <c r="M507" s="15"/>
      <c r="N507" s="15"/>
      <c r="O507" s="15"/>
      <c r="P507" s="15"/>
      <c r="Q507" s="15"/>
      <c r="R507" s="15"/>
      <c r="S507" s="15"/>
      <c r="T507" s="15"/>
      <c r="U507" s="15"/>
      <c r="V507" s="15"/>
      <c r="W507" s="15"/>
      <c r="X507" s="14"/>
      <c r="Y507" s="14"/>
      <c r="Z507" s="15"/>
      <c r="AA507" s="3"/>
      <c r="AB507" s="3"/>
      <c r="AC507" s="3"/>
      <c r="AD507" s="3"/>
      <c r="AE507" s="3"/>
      <c r="AF507" s="3"/>
    </row>
    <row r="508" ht="15.75" customHeight="1">
      <c r="J508" s="15"/>
      <c r="K508" s="188"/>
      <c r="L508" s="15"/>
      <c r="M508" s="15"/>
      <c r="N508" s="15"/>
      <c r="O508" s="15"/>
      <c r="P508" s="15"/>
      <c r="Q508" s="15"/>
      <c r="R508" s="15"/>
      <c r="S508" s="15"/>
      <c r="T508" s="15"/>
      <c r="U508" s="15"/>
      <c r="V508" s="15"/>
      <c r="W508" s="15"/>
      <c r="X508" s="14"/>
      <c r="Y508" s="14"/>
      <c r="Z508" s="15"/>
      <c r="AA508" s="3"/>
      <c r="AB508" s="3"/>
      <c r="AC508" s="3"/>
      <c r="AD508" s="3"/>
      <c r="AE508" s="3"/>
      <c r="AF508" s="3"/>
    </row>
    <row r="509" ht="15.75" customHeight="1">
      <c r="J509" s="15"/>
      <c r="K509" s="188"/>
      <c r="L509" s="15"/>
      <c r="M509" s="15"/>
      <c r="N509" s="15"/>
      <c r="O509" s="15"/>
      <c r="P509" s="15"/>
      <c r="Q509" s="15"/>
      <c r="R509" s="15"/>
      <c r="S509" s="15"/>
      <c r="T509" s="15"/>
      <c r="U509" s="15"/>
      <c r="V509" s="15"/>
      <c r="W509" s="15"/>
      <c r="X509" s="14"/>
      <c r="Y509" s="14"/>
      <c r="Z509" s="15"/>
      <c r="AA509" s="3"/>
      <c r="AB509" s="3"/>
      <c r="AC509" s="3"/>
      <c r="AD509" s="3"/>
      <c r="AE509" s="3"/>
      <c r="AF509" s="3"/>
    </row>
    <row r="510" ht="15.75" customHeight="1">
      <c r="J510" s="15"/>
      <c r="K510" s="188"/>
      <c r="L510" s="15"/>
      <c r="M510" s="15"/>
      <c r="N510" s="15"/>
      <c r="O510" s="15"/>
      <c r="P510" s="15"/>
      <c r="Q510" s="15"/>
      <c r="R510" s="15"/>
      <c r="S510" s="15"/>
      <c r="T510" s="15"/>
      <c r="U510" s="15"/>
      <c r="V510" s="15"/>
      <c r="W510" s="15"/>
      <c r="X510" s="14"/>
      <c r="Y510" s="14"/>
      <c r="Z510" s="15"/>
      <c r="AA510" s="3"/>
      <c r="AB510" s="3"/>
      <c r="AC510" s="3"/>
      <c r="AD510" s="3"/>
      <c r="AE510" s="3"/>
      <c r="AF510" s="3"/>
    </row>
    <row r="511" ht="15.75" customHeight="1">
      <c r="J511" s="15"/>
      <c r="K511" s="188"/>
      <c r="L511" s="15"/>
      <c r="M511" s="15"/>
      <c r="N511" s="15"/>
      <c r="O511" s="15"/>
      <c r="P511" s="15"/>
      <c r="Q511" s="15"/>
      <c r="R511" s="15"/>
      <c r="S511" s="15"/>
      <c r="T511" s="15"/>
      <c r="U511" s="15"/>
      <c r="V511" s="15"/>
      <c r="W511" s="15"/>
      <c r="X511" s="14"/>
      <c r="Y511" s="14"/>
      <c r="Z511" s="15"/>
      <c r="AA511" s="3"/>
      <c r="AB511" s="3"/>
      <c r="AC511" s="3"/>
      <c r="AD511" s="3"/>
      <c r="AE511" s="3"/>
      <c r="AF511" s="3"/>
    </row>
    <row r="512" ht="15.75" customHeight="1">
      <c r="J512" s="15"/>
      <c r="K512" s="188"/>
      <c r="L512" s="15"/>
      <c r="M512" s="15"/>
      <c r="N512" s="15"/>
      <c r="O512" s="15"/>
      <c r="P512" s="15"/>
      <c r="Q512" s="15"/>
      <c r="R512" s="15"/>
      <c r="S512" s="15"/>
      <c r="T512" s="15"/>
      <c r="U512" s="15"/>
      <c r="V512" s="15"/>
      <c r="W512" s="15"/>
      <c r="X512" s="14"/>
      <c r="Y512" s="14"/>
      <c r="Z512" s="15"/>
      <c r="AA512" s="3"/>
      <c r="AB512" s="3"/>
      <c r="AC512" s="3"/>
      <c r="AD512" s="3"/>
      <c r="AE512" s="3"/>
      <c r="AF512" s="3"/>
    </row>
    <row r="513" ht="15.75" customHeight="1">
      <c r="J513" s="15"/>
      <c r="K513" s="188"/>
      <c r="L513" s="15"/>
      <c r="M513" s="15"/>
      <c r="N513" s="15"/>
      <c r="O513" s="15"/>
      <c r="P513" s="15"/>
      <c r="Q513" s="15"/>
      <c r="R513" s="15"/>
      <c r="S513" s="15"/>
      <c r="T513" s="15"/>
      <c r="U513" s="15"/>
      <c r="V513" s="15"/>
      <c r="W513" s="15"/>
      <c r="X513" s="14"/>
      <c r="Y513" s="14"/>
      <c r="Z513" s="15"/>
      <c r="AA513" s="3"/>
      <c r="AB513" s="3"/>
      <c r="AC513" s="3"/>
      <c r="AD513" s="3"/>
      <c r="AE513" s="3"/>
      <c r="AF513" s="3"/>
    </row>
    <row r="514" ht="15.75" customHeight="1">
      <c r="J514" s="15"/>
      <c r="K514" s="188"/>
      <c r="L514" s="15"/>
      <c r="M514" s="15"/>
      <c r="N514" s="15"/>
      <c r="O514" s="15"/>
      <c r="P514" s="15"/>
      <c r="Q514" s="15"/>
      <c r="R514" s="15"/>
      <c r="S514" s="15"/>
      <c r="T514" s="15"/>
      <c r="U514" s="15"/>
      <c r="V514" s="15"/>
      <c r="W514" s="15"/>
      <c r="X514" s="14"/>
      <c r="Y514" s="14"/>
      <c r="Z514" s="15"/>
      <c r="AA514" s="3"/>
      <c r="AB514" s="3"/>
      <c r="AC514" s="3"/>
      <c r="AD514" s="3"/>
      <c r="AE514" s="3"/>
      <c r="AF514" s="3"/>
    </row>
    <row r="515" ht="15.75" customHeight="1">
      <c r="J515" s="15"/>
      <c r="K515" s="188"/>
      <c r="L515" s="15"/>
      <c r="M515" s="15"/>
      <c r="N515" s="15"/>
      <c r="O515" s="15"/>
      <c r="P515" s="15"/>
      <c r="Q515" s="15"/>
      <c r="R515" s="15"/>
      <c r="S515" s="15"/>
      <c r="T515" s="15"/>
      <c r="U515" s="15"/>
      <c r="V515" s="15"/>
      <c r="W515" s="15"/>
      <c r="X515" s="14"/>
      <c r="Y515" s="14"/>
      <c r="Z515" s="15"/>
      <c r="AA515" s="3"/>
      <c r="AB515" s="3"/>
      <c r="AC515" s="3"/>
      <c r="AD515" s="3"/>
      <c r="AE515" s="3"/>
      <c r="AF515" s="3"/>
    </row>
    <row r="516" ht="15.75" customHeight="1">
      <c r="J516" s="15"/>
      <c r="K516" s="188"/>
      <c r="L516" s="15"/>
      <c r="M516" s="15"/>
      <c r="N516" s="15"/>
      <c r="O516" s="15"/>
      <c r="P516" s="15"/>
      <c r="Q516" s="15"/>
      <c r="R516" s="15"/>
      <c r="S516" s="15"/>
      <c r="T516" s="15"/>
      <c r="U516" s="15"/>
      <c r="V516" s="15"/>
      <c r="W516" s="15"/>
      <c r="X516" s="14"/>
      <c r="Y516" s="14"/>
      <c r="Z516" s="15"/>
      <c r="AA516" s="3"/>
      <c r="AB516" s="3"/>
      <c r="AC516" s="3"/>
      <c r="AD516" s="3"/>
      <c r="AE516" s="3"/>
      <c r="AF516" s="3"/>
    </row>
    <row r="517" ht="15.75" customHeight="1">
      <c r="J517" s="15"/>
      <c r="K517" s="188"/>
      <c r="L517" s="15"/>
      <c r="M517" s="15"/>
      <c r="N517" s="15"/>
      <c r="O517" s="15"/>
      <c r="P517" s="15"/>
      <c r="Q517" s="15"/>
      <c r="R517" s="15"/>
      <c r="S517" s="15"/>
      <c r="T517" s="15"/>
      <c r="U517" s="15"/>
      <c r="V517" s="15"/>
      <c r="W517" s="15"/>
      <c r="X517" s="14"/>
      <c r="Y517" s="14"/>
      <c r="Z517" s="15"/>
      <c r="AA517" s="3"/>
      <c r="AB517" s="3"/>
      <c r="AC517" s="3"/>
      <c r="AD517" s="3"/>
      <c r="AE517" s="3"/>
      <c r="AF517" s="3"/>
    </row>
    <row r="518" ht="15.75" customHeight="1">
      <c r="J518" s="15"/>
      <c r="K518" s="188"/>
      <c r="L518" s="15"/>
      <c r="M518" s="15"/>
      <c r="N518" s="15"/>
      <c r="O518" s="15"/>
      <c r="P518" s="15"/>
      <c r="Q518" s="15"/>
      <c r="R518" s="15"/>
      <c r="S518" s="15"/>
      <c r="T518" s="15"/>
      <c r="U518" s="15"/>
      <c r="V518" s="15"/>
      <c r="W518" s="15"/>
      <c r="X518" s="14"/>
      <c r="Y518" s="14"/>
      <c r="Z518" s="15"/>
      <c r="AA518" s="3"/>
      <c r="AB518" s="3"/>
      <c r="AC518" s="3"/>
      <c r="AD518" s="3"/>
      <c r="AE518" s="3"/>
      <c r="AF518" s="3"/>
    </row>
    <row r="519" ht="15.75" customHeight="1">
      <c r="J519" s="15"/>
      <c r="K519" s="188"/>
      <c r="L519" s="15"/>
      <c r="M519" s="15"/>
      <c r="N519" s="15"/>
      <c r="O519" s="15"/>
      <c r="P519" s="15"/>
      <c r="Q519" s="15"/>
      <c r="R519" s="15"/>
      <c r="S519" s="15"/>
      <c r="T519" s="15"/>
      <c r="U519" s="15"/>
      <c r="V519" s="15"/>
      <c r="W519" s="15"/>
      <c r="X519" s="14"/>
      <c r="Y519" s="14"/>
      <c r="Z519" s="15"/>
      <c r="AA519" s="3"/>
      <c r="AB519" s="3"/>
      <c r="AC519" s="3"/>
      <c r="AD519" s="3"/>
      <c r="AE519" s="3"/>
      <c r="AF519" s="3"/>
    </row>
    <row r="520" ht="15.75" customHeight="1">
      <c r="J520" s="15"/>
      <c r="K520" s="188"/>
      <c r="L520" s="15"/>
      <c r="M520" s="15"/>
      <c r="N520" s="15"/>
      <c r="O520" s="15"/>
      <c r="P520" s="15"/>
      <c r="Q520" s="15"/>
      <c r="R520" s="15"/>
      <c r="S520" s="15"/>
      <c r="T520" s="15"/>
      <c r="U520" s="15"/>
      <c r="V520" s="15"/>
      <c r="W520" s="15"/>
      <c r="X520" s="14"/>
      <c r="Y520" s="14"/>
      <c r="Z520" s="15"/>
      <c r="AA520" s="3"/>
      <c r="AB520" s="3"/>
      <c r="AC520" s="3"/>
      <c r="AD520" s="3"/>
      <c r="AE520" s="3"/>
      <c r="AF520" s="3"/>
    </row>
    <row r="521" ht="15.75" customHeight="1">
      <c r="J521" s="15"/>
      <c r="K521" s="188"/>
      <c r="L521" s="15"/>
      <c r="M521" s="15"/>
      <c r="N521" s="15"/>
      <c r="O521" s="15"/>
      <c r="P521" s="15"/>
      <c r="Q521" s="15"/>
      <c r="R521" s="15"/>
      <c r="S521" s="15"/>
      <c r="T521" s="15"/>
      <c r="U521" s="15"/>
      <c r="V521" s="15"/>
      <c r="W521" s="15"/>
      <c r="X521" s="14"/>
      <c r="Y521" s="14"/>
      <c r="Z521" s="15"/>
      <c r="AA521" s="3"/>
      <c r="AB521" s="3"/>
      <c r="AC521" s="3"/>
      <c r="AD521" s="3"/>
      <c r="AE521" s="3"/>
      <c r="AF521" s="3"/>
    </row>
    <row r="522" ht="15.75" customHeight="1">
      <c r="J522" s="15"/>
      <c r="K522" s="188"/>
      <c r="L522" s="15"/>
      <c r="M522" s="15"/>
      <c r="N522" s="15"/>
      <c r="O522" s="15"/>
      <c r="P522" s="15"/>
      <c r="Q522" s="15"/>
      <c r="R522" s="15"/>
      <c r="S522" s="15"/>
      <c r="T522" s="15"/>
      <c r="U522" s="15"/>
      <c r="V522" s="15"/>
      <c r="W522" s="15"/>
      <c r="X522" s="14"/>
      <c r="Y522" s="14"/>
      <c r="Z522" s="15"/>
      <c r="AA522" s="3"/>
      <c r="AB522" s="3"/>
      <c r="AC522" s="3"/>
      <c r="AD522" s="3"/>
      <c r="AE522" s="3"/>
      <c r="AF522" s="3"/>
    </row>
    <row r="523" ht="15.75" customHeight="1">
      <c r="J523" s="15"/>
      <c r="K523" s="188"/>
      <c r="L523" s="15"/>
      <c r="M523" s="15"/>
      <c r="N523" s="15"/>
      <c r="O523" s="15"/>
      <c r="P523" s="15"/>
      <c r="Q523" s="15"/>
      <c r="R523" s="15"/>
      <c r="S523" s="15"/>
      <c r="T523" s="15"/>
      <c r="U523" s="15"/>
      <c r="V523" s="15"/>
      <c r="W523" s="15"/>
      <c r="X523" s="14"/>
      <c r="Y523" s="14"/>
      <c r="Z523" s="15"/>
      <c r="AA523" s="3"/>
      <c r="AB523" s="3"/>
      <c r="AC523" s="3"/>
      <c r="AD523" s="3"/>
      <c r="AE523" s="3"/>
      <c r="AF523" s="3"/>
    </row>
    <row r="524" ht="15.75" customHeight="1">
      <c r="J524" s="15"/>
      <c r="K524" s="188"/>
      <c r="L524" s="15"/>
      <c r="M524" s="15"/>
      <c r="N524" s="15"/>
      <c r="O524" s="15"/>
      <c r="P524" s="15"/>
      <c r="Q524" s="15"/>
      <c r="R524" s="15"/>
      <c r="S524" s="15"/>
      <c r="T524" s="15"/>
      <c r="U524" s="15"/>
      <c r="V524" s="15"/>
      <c r="W524" s="15"/>
      <c r="X524" s="14"/>
      <c r="Y524" s="14"/>
      <c r="Z524" s="15"/>
      <c r="AA524" s="3"/>
      <c r="AB524" s="3"/>
      <c r="AC524" s="3"/>
      <c r="AD524" s="3"/>
      <c r="AE524" s="3"/>
      <c r="AF524" s="3"/>
    </row>
    <row r="525" ht="15.75" customHeight="1">
      <c r="J525" s="15"/>
      <c r="K525" s="188"/>
      <c r="L525" s="15"/>
      <c r="M525" s="15"/>
      <c r="N525" s="15"/>
      <c r="O525" s="15"/>
      <c r="P525" s="15"/>
      <c r="Q525" s="15"/>
      <c r="R525" s="15"/>
      <c r="S525" s="15"/>
      <c r="T525" s="15"/>
      <c r="U525" s="15"/>
      <c r="V525" s="15"/>
      <c r="W525" s="15"/>
      <c r="X525" s="14"/>
      <c r="Y525" s="14"/>
      <c r="Z525" s="15"/>
      <c r="AA525" s="3"/>
      <c r="AB525" s="3"/>
      <c r="AC525" s="3"/>
      <c r="AD525" s="3"/>
      <c r="AE525" s="3"/>
      <c r="AF525" s="3"/>
    </row>
    <row r="526" ht="15.75" customHeight="1">
      <c r="J526" s="15"/>
      <c r="K526" s="188"/>
      <c r="L526" s="15"/>
      <c r="M526" s="15"/>
      <c r="N526" s="15"/>
      <c r="O526" s="15"/>
      <c r="P526" s="15"/>
      <c r="Q526" s="15"/>
      <c r="R526" s="15"/>
      <c r="S526" s="15"/>
      <c r="T526" s="15"/>
      <c r="U526" s="15"/>
      <c r="V526" s="15"/>
      <c r="W526" s="15"/>
      <c r="X526" s="14"/>
      <c r="Y526" s="14"/>
      <c r="Z526" s="15"/>
      <c r="AA526" s="3"/>
      <c r="AB526" s="3"/>
      <c r="AC526" s="3"/>
      <c r="AD526" s="3"/>
      <c r="AE526" s="3"/>
      <c r="AF526" s="3"/>
    </row>
    <row r="527" ht="15.75" customHeight="1">
      <c r="J527" s="15"/>
      <c r="K527" s="188"/>
      <c r="L527" s="15"/>
      <c r="M527" s="15"/>
      <c r="N527" s="15"/>
      <c r="O527" s="15"/>
      <c r="P527" s="15"/>
      <c r="Q527" s="15"/>
      <c r="R527" s="15"/>
      <c r="S527" s="15"/>
      <c r="T527" s="15"/>
      <c r="U527" s="15"/>
      <c r="V527" s="15"/>
      <c r="W527" s="15"/>
      <c r="X527" s="14"/>
      <c r="Y527" s="14"/>
      <c r="Z527" s="15"/>
      <c r="AA527" s="3"/>
      <c r="AB527" s="3"/>
      <c r="AC527" s="3"/>
      <c r="AD527" s="3"/>
      <c r="AE527" s="3"/>
      <c r="AF527" s="3"/>
    </row>
    <row r="528" ht="15.75" customHeight="1">
      <c r="J528" s="15"/>
      <c r="K528" s="188"/>
      <c r="L528" s="15"/>
      <c r="M528" s="15"/>
      <c r="N528" s="15"/>
      <c r="O528" s="15"/>
      <c r="P528" s="15"/>
      <c r="Q528" s="15"/>
      <c r="R528" s="15"/>
      <c r="S528" s="15"/>
      <c r="T528" s="15"/>
      <c r="U528" s="15"/>
      <c r="V528" s="15"/>
      <c r="W528" s="15"/>
      <c r="X528" s="14"/>
      <c r="Y528" s="14"/>
      <c r="Z528" s="15"/>
      <c r="AA528" s="3"/>
      <c r="AB528" s="3"/>
      <c r="AC528" s="3"/>
      <c r="AD528" s="3"/>
      <c r="AE528" s="3"/>
      <c r="AF528" s="3"/>
    </row>
    <row r="529" ht="15.75" customHeight="1">
      <c r="J529" s="15"/>
      <c r="K529" s="188"/>
      <c r="L529" s="15"/>
      <c r="M529" s="15"/>
      <c r="N529" s="15"/>
      <c r="O529" s="15"/>
      <c r="P529" s="15"/>
      <c r="Q529" s="15"/>
      <c r="R529" s="15"/>
      <c r="S529" s="15"/>
      <c r="T529" s="15"/>
      <c r="U529" s="15"/>
      <c r="V529" s="15"/>
      <c r="W529" s="15"/>
      <c r="X529" s="14"/>
      <c r="Y529" s="14"/>
      <c r="Z529" s="15"/>
      <c r="AA529" s="3"/>
      <c r="AB529" s="3"/>
      <c r="AC529" s="3"/>
      <c r="AD529" s="3"/>
      <c r="AE529" s="3"/>
      <c r="AF529" s="3"/>
    </row>
    <row r="530" ht="15.75" customHeight="1">
      <c r="J530" s="15"/>
      <c r="K530" s="188"/>
      <c r="L530" s="15"/>
      <c r="M530" s="15"/>
      <c r="N530" s="15"/>
      <c r="O530" s="15"/>
      <c r="P530" s="15"/>
      <c r="Q530" s="15"/>
      <c r="R530" s="15"/>
      <c r="S530" s="15"/>
      <c r="T530" s="15"/>
      <c r="U530" s="15"/>
      <c r="V530" s="15"/>
      <c r="W530" s="15"/>
      <c r="X530" s="14"/>
      <c r="Y530" s="14"/>
      <c r="Z530" s="15"/>
      <c r="AA530" s="3"/>
      <c r="AB530" s="3"/>
      <c r="AC530" s="3"/>
      <c r="AD530" s="3"/>
      <c r="AE530" s="3"/>
      <c r="AF530" s="3"/>
    </row>
    <row r="531" ht="15.75" customHeight="1">
      <c r="J531" s="15"/>
      <c r="K531" s="188"/>
      <c r="L531" s="15"/>
      <c r="M531" s="15"/>
      <c r="N531" s="15"/>
      <c r="O531" s="15"/>
      <c r="P531" s="15"/>
      <c r="Q531" s="15"/>
      <c r="R531" s="15"/>
      <c r="S531" s="15"/>
      <c r="T531" s="15"/>
      <c r="U531" s="15"/>
      <c r="V531" s="15"/>
      <c r="W531" s="15"/>
      <c r="X531" s="14"/>
      <c r="Y531" s="14"/>
      <c r="Z531" s="15"/>
      <c r="AA531" s="3"/>
      <c r="AB531" s="3"/>
      <c r="AC531" s="3"/>
      <c r="AD531" s="3"/>
      <c r="AE531" s="3"/>
      <c r="AF531" s="3"/>
    </row>
    <row r="532" ht="15.75" customHeight="1">
      <c r="J532" s="15"/>
      <c r="K532" s="188"/>
      <c r="L532" s="15"/>
      <c r="M532" s="15"/>
      <c r="N532" s="15"/>
      <c r="O532" s="15"/>
      <c r="P532" s="15"/>
      <c r="Q532" s="15"/>
      <c r="R532" s="15"/>
      <c r="S532" s="15"/>
      <c r="T532" s="15"/>
      <c r="U532" s="15"/>
      <c r="V532" s="15"/>
      <c r="W532" s="15"/>
      <c r="X532" s="14"/>
      <c r="Y532" s="14"/>
      <c r="Z532" s="15"/>
      <c r="AA532" s="3"/>
      <c r="AB532" s="3"/>
      <c r="AC532" s="3"/>
      <c r="AD532" s="3"/>
      <c r="AE532" s="3"/>
      <c r="AF532" s="3"/>
    </row>
    <row r="533" ht="15.75" customHeight="1">
      <c r="J533" s="15"/>
      <c r="K533" s="188"/>
      <c r="L533" s="15"/>
      <c r="M533" s="15"/>
      <c r="N533" s="15"/>
      <c r="O533" s="15"/>
      <c r="P533" s="15"/>
      <c r="Q533" s="15"/>
      <c r="R533" s="15"/>
      <c r="S533" s="15"/>
      <c r="T533" s="15"/>
      <c r="U533" s="15"/>
      <c r="V533" s="15"/>
      <c r="W533" s="15"/>
      <c r="X533" s="14"/>
      <c r="Y533" s="14"/>
      <c r="Z533" s="15"/>
      <c r="AA533" s="3"/>
      <c r="AB533" s="3"/>
      <c r="AC533" s="3"/>
      <c r="AD533" s="3"/>
      <c r="AE533" s="3"/>
      <c r="AF533" s="3"/>
    </row>
    <row r="534" ht="15.75" customHeight="1">
      <c r="J534" s="15"/>
      <c r="K534" s="188"/>
      <c r="L534" s="15"/>
      <c r="M534" s="15"/>
      <c r="N534" s="15"/>
      <c r="O534" s="15"/>
      <c r="P534" s="15"/>
      <c r="Q534" s="15"/>
      <c r="R534" s="15"/>
      <c r="S534" s="15"/>
      <c r="T534" s="15"/>
      <c r="U534" s="15"/>
      <c r="V534" s="15"/>
      <c r="W534" s="15"/>
      <c r="X534" s="14"/>
      <c r="Y534" s="14"/>
      <c r="Z534" s="15"/>
      <c r="AA534" s="3"/>
      <c r="AB534" s="3"/>
      <c r="AC534" s="3"/>
      <c r="AD534" s="3"/>
      <c r="AE534" s="3"/>
      <c r="AF534" s="3"/>
    </row>
    <row r="535" ht="15.75" customHeight="1">
      <c r="J535" s="15"/>
      <c r="K535" s="188"/>
      <c r="L535" s="15"/>
      <c r="M535" s="15"/>
      <c r="N535" s="15"/>
      <c r="O535" s="15"/>
      <c r="P535" s="15"/>
      <c r="Q535" s="15"/>
      <c r="R535" s="15"/>
      <c r="S535" s="15"/>
      <c r="T535" s="15"/>
      <c r="U535" s="15"/>
      <c r="V535" s="15"/>
      <c r="W535" s="15"/>
      <c r="X535" s="14"/>
      <c r="Y535" s="14"/>
      <c r="Z535" s="15"/>
      <c r="AA535" s="3"/>
      <c r="AB535" s="3"/>
      <c r="AC535" s="3"/>
      <c r="AD535" s="3"/>
      <c r="AE535" s="3"/>
      <c r="AF535" s="3"/>
    </row>
    <row r="536" ht="15.75" customHeight="1">
      <c r="J536" s="15"/>
      <c r="K536" s="188"/>
      <c r="L536" s="15"/>
      <c r="M536" s="15"/>
      <c r="N536" s="15"/>
      <c r="O536" s="15"/>
      <c r="P536" s="15"/>
      <c r="Q536" s="15"/>
      <c r="R536" s="15"/>
      <c r="S536" s="15"/>
      <c r="T536" s="15"/>
      <c r="U536" s="15"/>
      <c r="V536" s="15"/>
      <c r="W536" s="15"/>
      <c r="X536" s="14"/>
      <c r="Y536" s="14"/>
      <c r="Z536" s="15"/>
      <c r="AA536" s="3"/>
      <c r="AB536" s="3"/>
      <c r="AC536" s="3"/>
      <c r="AD536" s="3"/>
      <c r="AE536" s="3"/>
      <c r="AF536" s="3"/>
    </row>
    <row r="537" ht="15.75" customHeight="1">
      <c r="J537" s="15"/>
      <c r="K537" s="188"/>
      <c r="L537" s="15"/>
      <c r="M537" s="15"/>
      <c r="N537" s="15"/>
      <c r="O537" s="15"/>
      <c r="P537" s="15"/>
      <c r="Q537" s="15"/>
      <c r="R537" s="15"/>
      <c r="S537" s="15"/>
      <c r="T537" s="15"/>
      <c r="U537" s="15"/>
      <c r="V537" s="15"/>
      <c r="W537" s="15"/>
      <c r="X537" s="14"/>
      <c r="Y537" s="14"/>
      <c r="Z537" s="15"/>
      <c r="AA537" s="3"/>
      <c r="AB537" s="3"/>
      <c r="AC537" s="3"/>
      <c r="AD537" s="3"/>
      <c r="AE537" s="3"/>
      <c r="AF537" s="3"/>
    </row>
    <row r="538" ht="15.75" customHeight="1">
      <c r="J538" s="15"/>
      <c r="K538" s="188"/>
      <c r="L538" s="15"/>
      <c r="M538" s="15"/>
      <c r="N538" s="15"/>
      <c r="O538" s="15"/>
      <c r="P538" s="15"/>
      <c r="Q538" s="15"/>
      <c r="R538" s="15"/>
      <c r="S538" s="15"/>
      <c r="T538" s="15"/>
      <c r="U538" s="15"/>
      <c r="V538" s="15"/>
      <c r="W538" s="15"/>
      <c r="X538" s="14"/>
      <c r="Y538" s="14"/>
      <c r="Z538" s="15"/>
      <c r="AA538" s="3"/>
      <c r="AB538" s="3"/>
      <c r="AC538" s="3"/>
      <c r="AD538" s="3"/>
      <c r="AE538" s="3"/>
      <c r="AF538" s="3"/>
    </row>
    <row r="539" ht="15.75" customHeight="1">
      <c r="J539" s="15"/>
      <c r="K539" s="188"/>
      <c r="L539" s="15"/>
      <c r="M539" s="15"/>
      <c r="N539" s="15"/>
      <c r="O539" s="15"/>
      <c r="P539" s="15"/>
      <c r="Q539" s="15"/>
      <c r="R539" s="15"/>
      <c r="S539" s="15"/>
      <c r="T539" s="15"/>
      <c r="U539" s="15"/>
      <c r="V539" s="15"/>
      <c r="W539" s="15"/>
      <c r="X539" s="14"/>
      <c r="Y539" s="14"/>
      <c r="Z539" s="15"/>
      <c r="AA539" s="3"/>
      <c r="AB539" s="3"/>
      <c r="AC539" s="3"/>
      <c r="AD539" s="3"/>
      <c r="AE539" s="3"/>
      <c r="AF539" s="3"/>
    </row>
    <row r="540" ht="15.75" customHeight="1">
      <c r="J540" s="15"/>
      <c r="K540" s="188"/>
      <c r="L540" s="15"/>
      <c r="M540" s="15"/>
      <c r="N540" s="15"/>
      <c r="O540" s="15"/>
      <c r="P540" s="15"/>
      <c r="Q540" s="15"/>
      <c r="R540" s="15"/>
      <c r="S540" s="15"/>
      <c r="T540" s="15"/>
      <c r="U540" s="15"/>
      <c r="V540" s="15"/>
      <c r="W540" s="15"/>
      <c r="X540" s="14"/>
      <c r="Y540" s="14"/>
      <c r="Z540" s="15"/>
      <c r="AA540" s="3"/>
      <c r="AB540" s="3"/>
      <c r="AC540" s="3"/>
      <c r="AD540" s="3"/>
      <c r="AE540" s="3"/>
      <c r="AF540" s="3"/>
    </row>
    <row r="541" ht="15.75" customHeight="1">
      <c r="J541" s="15"/>
      <c r="K541" s="188"/>
      <c r="L541" s="15"/>
      <c r="M541" s="15"/>
      <c r="N541" s="15"/>
      <c r="O541" s="15"/>
      <c r="P541" s="15"/>
      <c r="Q541" s="15"/>
      <c r="R541" s="15"/>
      <c r="S541" s="15"/>
      <c r="T541" s="15"/>
      <c r="U541" s="15"/>
      <c r="V541" s="15"/>
      <c r="W541" s="15"/>
      <c r="X541" s="14"/>
      <c r="Y541" s="14"/>
      <c r="Z541" s="15"/>
      <c r="AA541" s="3"/>
      <c r="AB541" s="3"/>
      <c r="AC541" s="3"/>
      <c r="AD541" s="3"/>
      <c r="AE541" s="3"/>
      <c r="AF541" s="3"/>
    </row>
    <row r="542" ht="15.75" customHeight="1">
      <c r="J542" s="15"/>
      <c r="K542" s="188"/>
      <c r="L542" s="15"/>
      <c r="M542" s="15"/>
      <c r="N542" s="15"/>
      <c r="O542" s="15"/>
      <c r="P542" s="15"/>
      <c r="Q542" s="15"/>
      <c r="R542" s="15"/>
      <c r="S542" s="15"/>
      <c r="T542" s="15"/>
      <c r="U542" s="15"/>
      <c r="V542" s="15"/>
      <c r="W542" s="15"/>
      <c r="X542" s="14"/>
      <c r="Y542" s="14"/>
      <c r="Z542" s="15"/>
      <c r="AA542" s="3"/>
      <c r="AB542" s="3"/>
      <c r="AC542" s="3"/>
      <c r="AD542" s="3"/>
      <c r="AE542" s="3"/>
      <c r="AF542" s="3"/>
    </row>
    <row r="543" ht="15.75" customHeight="1">
      <c r="J543" s="15"/>
      <c r="K543" s="188"/>
      <c r="L543" s="15"/>
      <c r="M543" s="15"/>
      <c r="N543" s="15"/>
      <c r="O543" s="15"/>
      <c r="P543" s="15"/>
      <c r="Q543" s="15"/>
      <c r="R543" s="15"/>
      <c r="S543" s="15"/>
      <c r="T543" s="15"/>
      <c r="U543" s="15"/>
      <c r="V543" s="15"/>
      <c r="W543" s="15"/>
      <c r="X543" s="14"/>
      <c r="Y543" s="14"/>
      <c r="Z543" s="15"/>
      <c r="AA543" s="3"/>
      <c r="AB543" s="3"/>
      <c r="AC543" s="3"/>
      <c r="AD543" s="3"/>
      <c r="AE543" s="3"/>
      <c r="AF543" s="3"/>
    </row>
    <row r="544" ht="15.75" customHeight="1">
      <c r="J544" s="15"/>
      <c r="K544" s="188"/>
      <c r="L544" s="15"/>
      <c r="M544" s="15"/>
      <c r="N544" s="15"/>
      <c r="O544" s="15"/>
      <c r="P544" s="15"/>
      <c r="Q544" s="15"/>
      <c r="R544" s="15"/>
      <c r="S544" s="15"/>
      <c r="T544" s="15"/>
      <c r="U544" s="15"/>
      <c r="V544" s="15"/>
      <c r="W544" s="15"/>
      <c r="X544" s="14"/>
      <c r="Y544" s="14"/>
      <c r="Z544" s="15"/>
      <c r="AA544" s="3"/>
      <c r="AB544" s="3"/>
      <c r="AC544" s="3"/>
      <c r="AD544" s="3"/>
      <c r="AE544" s="3"/>
      <c r="AF544" s="3"/>
    </row>
    <row r="545" ht="15.75" customHeight="1">
      <c r="J545" s="15"/>
      <c r="K545" s="188"/>
      <c r="L545" s="15"/>
      <c r="M545" s="15"/>
      <c r="N545" s="15"/>
      <c r="O545" s="15"/>
      <c r="P545" s="15"/>
      <c r="Q545" s="15"/>
      <c r="R545" s="15"/>
      <c r="S545" s="15"/>
      <c r="T545" s="15"/>
      <c r="U545" s="15"/>
      <c r="V545" s="15"/>
      <c r="W545" s="15"/>
      <c r="X545" s="14"/>
      <c r="Y545" s="14"/>
      <c r="Z545" s="15"/>
      <c r="AA545" s="3"/>
      <c r="AB545" s="3"/>
      <c r="AC545" s="3"/>
      <c r="AD545" s="3"/>
      <c r="AE545" s="3"/>
      <c r="AF545" s="3"/>
    </row>
    <row r="546" ht="15.75" customHeight="1">
      <c r="J546" s="15"/>
      <c r="K546" s="188"/>
      <c r="L546" s="15"/>
      <c r="M546" s="15"/>
      <c r="N546" s="15"/>
      <c r="O546" s="15"/>
      <c r="P546" s="15"/>
      <c r="Q546" s="15"/>
      <c r="R546" s="15"/>
      <c r="S546" s="15"/>
      <c r="T546" s="15"/>
      <c r="U546" s="15"/>
      <c r="V546" s="15"/>
      <c r="W546" s="15"/>
      <c r="X546" s="14"/>
      <c r="Y546" s="14"/>
      <c r="Z546" s="15"/>
      <c r="AA546" s="3"/>
      <c r="AB546" s="3"/>
      <c r="AC546" s="3"/>
      <c r="AD546" s="3"/>
      <c r="AE546" s="3"/>
      <c r="AF546" s="3"/>
    </row>
    <row r="547" ht="15.75" customHeight="1">
      <c r="J547" s="15"/>
      <c r="K547" s="188"/>
      <c r="L547" s="15"/>
      <c r="M547" s="15"/>
      <c r="N547" s="15"/>
      <c r="O547" s="15"/>
      <c r="P547" s="15"/>
      <c r="Q547" s="15"/>
      <c r="R547" s="15"/>
      <c r="S547" s="15"/>
      <c r="T547" s="15"/>
      <c r="U547" s="15"/>
      <c r="V547" s="15"/>
      <c r="W547" s="15"/>
      <c r="X547" s="14"/>
      <c r="Y547" s="14"/>
      <c r="Z547" s="15"/>
      <c r="AA547" s="3"/>
      <c r="AB547" s="3"/>
      <c r="AC547" s="3"/>
      <c r="AD547" s="3"/>
      <c r="AE547" s="3"/>
      <c r="AF547" s="3"/>
    </row>
    <row r="548" ht="15.75" customHeight="1">
      <c r="J548" s="15"/>
      <c r="K548" s="188"/>
      <c r="L548" s="15"/>
      <c r="M548" s="15"/>
      <c r="N548" s="15"/>
      <c r="O548" s="15"/>
      <c r="P548" s="15"/>
      <c r="Q548" s="15"/>
      <c r="R548" s="15"/>
      <c r="S548" s="15"/>
      <c r="T548" s="15"/>
      <c r="U548" s="15"/>
      <c r="V548" s="15"/>
      <c r="W548" s="15"/>
      <c r="X548" s="14"/>
      <c r="Y548" s="14"/>
      <c r="Z548" s="15"/>
      <c r="AA548" s="3"/>
      <c r="AB548" s="3"/>
      <c r="AC548" s="3"/>
      <c r="AD548" s="3"/>
      <c r="AE548" s="3"/>
      <c r="AF548" s="3"/>
    </row>
    <row r="549" ht="15.75" customHeight="1">
      <c r="J549" s="15"/>
      <c r="K549" s="188"/>
      <c r="L549" s="15"/>
      <c r="M549" s="15"/>
      <c r="N549" s="15"/>
      <c r="O549" s="15"/>
      <c r="P549" s="15"/>
      <c r="Q549" s="15"/>
      <c r="R549" s="15"/>
      <c r="S549" s="15"/>
      <c r="T549" s="15"/>
      <c r="U549" s="15"/>
      <c r="V549" s="15"/>
      <c r="W549" s="15"/>
      <c r="X549" s="14"/>
      <c r="Y549" s="14"/>
      <c r="Z549" s="15"/>
      <c r="AA549" s="3"/>
      <c r="AB549" s="3"/>
      <c r="AC549" s="3"/>
      <c r="AD549" s="3"/>
      <c r="AE549" s="3"/>
      <c r="AF549" s="3"/>
    </row>
    <row r="550" ht="15.75" customHeight="1">
      <c r="J550" s="15"/>
      <c r="K550" s="188"/>
      <c r="L550" s="15"/>
      <c r="M550" s="15"/>
      <c r="N550" s="15"/>
      <c r="O550" s="15"/>
      <c r="P550" s="15"/>
      <c r="Q550" s="15"/>
      <c r="R550" s="15"/>
      <c r="S550" s="15"/>
      <c r="T550" s="15"/>
      <c r="U550" s="15"/>
      <c r="V550" s="15"/>
      <c r="W550" s="15"/>
      <c r="X550" s="14"/>
      <c r="Y550" s="14"/>
      <c r="Z550" s="15"/>
      <c r="AA550" s="3"/>
      <c r="AB550" s="3"/>
      <c r="AC550" s="3"/>
      <c r="AD550" s="3"/>
      <c r="AE550" s="3"/>
      <c r="AF550" s="3"/>
    </row>
    <row r="551" ht="15.75" customHeight="1">
      <c r="J551" s="15"/>
      <c r="K551" s="188"/>
      <c r="L551" s="15"/>
      <c r="M551" s="15"/>
      <c r="N551" s="15"/>
      <c r="O551" s="15"/>
      <c r="P551" s="15"/>
      <c r="Q551" s="15"/>
      <c r="R551" s="15"/>
      <c r="S551" s="15"/>
      <c r="T551" s="15"/>
      <c r="U551" s="15"/>
      <c r="V551" s="15"/>
      <c r="W551" s="15"/>
      <c r="X551" s="14"/>
      <c r="Y551" s="14"/>
      <c r="Z551" s="15"/>
      <c r="AA551" s="3"/>
      <c r="AB551" s="3"/>
      <c r="AC551" s="3"/>
      <c r="AD551" s="3"/>
      <c r="AE551" s="3"/>
      <c r="AF551" s="3"/>
    </row>
    <row r="552" ht="15.75" customHeight="1">
      <c r="J552" s="15"/>
      <c r="K552" s="188"/>
      <c r="L552" s="15"/>
      <c r="M552" s="15"/>
      <c r="N552" s="15"/>
      <c r="O552" s="15"/>
      <c r="P552" s="15"/>
      <c r="Q552" s="15"/>
      <c r="R552" s="15"/>
      <c r="S552" s="15"/>
      <c r="T552" s="15"/>
      <c r="U552" s="15"/>
      <c r="V552" s="15"/>
      <c r="W552" s="15"/>
      <c r="X552" s="14"/>
      <c r="Y552" s="14"/>
      <c r="Z552" s="15"/>
      <c r="AA552" s="3"/>
      <c r="AB552" s="3"/>
      <c r="AC552" s="3"/>
      <c r="AD552" s="3"/>
      <c r="AE552" s="3"/>
      <c r="AF552" s="3"/>
    </row>
    <row r="553" ht="15.75" customHeight="1">
      <c r="J553" s="15"/>
      <c r="K553" s="188"/>
      <c r="L553" s="15"/>
      <c r="M553" s="15"/>
      <c r="N553" s="15"/>
      <c r="O553" s="15"/>
      <c r="P553" s="15"/>
      <c r="Q553" s="15"/>
      <c r="R553" s="15"/>
      <c r="S553" s="15"/>
      <c r="T553" s="15"/>
      <c r="U553" s="15"/>
      <c r="V553" s="15"/>
      <c r="W553" s="15"/>
      <c r="X553" s="14"/>
      <c r="Y553" s="14"/>
      <c r="Z553" s="15"/>
      <c r="AA553" s="3"/>
      <c r="AB553" s="3"/>
      <c r="AC553" s="3"/>
      <c r="AD553" s="3"/>
      <c r="AE553" s="3"/>
      <c r="AF553" s="3"/>
    </row>
    <row r="554" ht="15.75" customHeight="1">
      <c r="J554" s="15"/>
      <c r="K554" s="188"/>
      <c r="L554" s="15"/>
      <c r="M554" s="15"/>
      <c r="N554" s="15"/>
      <c r="O554" s="15"/>
      <c r="P554" s="15"/>
      <c r="Q554" s="15"/>
      <c r="R554" s="15"/>
      <c r="S554" s="15"/>
      <c r="T554" s="15"/>
      <c r="U554" s="15"/>
      <c r="V554" s="15"/>
      <c r="W554" s="15"/>
      <c r="X554" s="14"/>
      <c r="Y554" s="14"/>
      <c r="Z554" s="15"/>
      <c r="AA554" s="3"/>
      <c r="AB554" s="3"/>
      <c r="AC554" s="3"/>
      <c r="AD554" s="3"/>
      <c r="AE554" s="3"/>
      <c r="AF554" s="3"/>
    </row>
    <row r="555" ht="15.75" customHeight="1">
      <c r="J555" s="15"/>
      <c r="K555" s="188"/>
      <c r="L555" s="15"/>
      <c r="M555" s="15"/>
      <c r="N555" s="15"/>
      <c r="O555" s="15"/>
      <c r="P555" s="15"/>
      <c r="Q555" s="15"/>
      <c r="R555" s="15"/>
      <c r="S555" s="15"/>
      <c r="T555" s="15"/>
      <c r="U555" s="15"/>
      <c r="V555" s="15"/>
      <c r="W555" s="15"/>
      <c r="X555" s="14"/>
      <c r="Y555" s="14"/>
      <c r="Z555" s="15"/>
      <c r="AA555" s="3"/>
      <c r="AB555" s="3"/>
      <c r="AC555" s="3"/>
      <c r="AD555" s="3"/>
      <c r="AE555" s="3"/>
      <c r="AF555" s="3"/>
    </row>
    <row r="556" ht="15.75" customHeight="1">
      <c r="J556" s="15"/>
      <c r="K556" s="188"/>
      <c r="L556" s="15"/>
      <c r="M556" s="15"/>
      <c r="N556" s="15"/>
      <c r="O556" s="15"/>
      <c r="P556" s="15"/>
      <c r="Q556" s="15"/>
      <c r="R556" s="15"/>
      <c r="S556" s="15"/>
      <c r="T556" s="15"/>
      <c r="U556" s="15"/>
      <c r="V556" s="15"/>
      <c r="W556" s="15"/>
      <c r="X556" s="14"/>
      <c r="Y556" s="14"/>
      <c r="Z556" s="15"/>
      <c r="AA556" s="3"/>
      <c r="AB556" s="3"/>
      <c r="AC556" s="3"/>
      <c r="AD556" s="3"/>
      <c r="AE556" s="3"/>
      <c r="AF556" s="3"/>
    </row>
    <row r="557" ht="15.75" customHeight="1">
      <c r="J557" s="15"/>
      <c r="K557" s="188"/>
      <c r="L557" s="15"/>
      <c r="M557" s="15"/>
      <c r="N557" s="15"/>
      <c r="O557" s="15"/>
      <c r="P557" s="15"/>
      <c r="Q557" s="15"/>
      <c r="R557" s="15"/>
      <c r="S557" s="15"/>
      <c r="T557" s="15"/>
      <c r="U557" s="15"/>
      <c r="V557" s="15"/>
      <c r="W557" s="15"/>
      <c r="X557" s="14"/>
      <c r="Y557" s="14"/>
      <c r="Z557" s="15"/>
      <c r="AA557" s="3"/>
      <c r="AB557" s="3"/>
      <c r="AC557" s="3"/>
      <c r="AD557" s="3"/>
      <c r="AE557" s="3"/>
      <c r="AF557" s="3"/>
    </row>
    <row r="558" ht="15.75" customHeight="1">
      <c r="J558" s="15"/>
      <c r="K558" s="188"/>
      <c r="L558" s="15"/>
      <c r="M558" s="15"/>
      <c r="N558" s="15"/>
      <c r="O558" s="15"/>
      <c r="P558" s="15"/>
      <c r="Q558" s="15"/>
      <c r="R558" s="15"/>
      <c r="S558" s="15"/>
      <c r="T558" s="15"/>
      <c r="U558" s="15"/>
      <c r="V558" s="15"/>
      <c r="W558" s="15"/>
      <c r="X558" s="14"/>
      <c r="Y558" s="14"/>
      <c r="Z558" s="15"/>
      <c r="AA558" s="3"/>
      <c r="AB558" s="3"/>
      <c r="AC558" s="3"/>
      <c r="AD558" s="3"/>
      <c r="AE558" s="3"/>
      <c r="AF558" s="3"/>
    </row>
    <row r="559" ht="15.75" customHeight="1">
      <c r="J559" s="15"/>
      <c r="K559" s="188"/>
      <c r="L559" s="15"/>
      <c r="M559" s="15"/>
      <c r="N559" s="15"/>
      <c r="O559" s="15"/>
      <c r="P559" s="15"/>
      <c r="Q559" s="15"/>
      <c r="R559" s="15"/>
      <c r="S559" s="15"/>
      <c r="T559" s="15"/>
      <c r="U559" s="15"/>
      <c r="V559" s="15"/>
      <c r="W559" s="15"/>
      <c r="X559" s="14"/>
      <c r="Y559" s="14"/>
      <c r="Z559" s="15"/>
      <c r="AA559" s="3"/>
      <c r="AB559" s="3"/>
      <c r="AC559" s="3"/>
      <c r="AD559" s="3"/>
      <c r="AE559" s="3"/>
      <c r="AF559" s="3"/>
    </row>
    <row r="560" ht="15.75" customHeight="1">
      <c r="J560" s="15"/>
      <c r="K560" s="188"/>
      <c r="L560" s="15"/>
      <c r="M560" s="15"/>
      <c r="N560" s="15"/>
      <c r="O560" s="15"/>
      <c r="P560" s="15"/>
      <c r="Q560" s="15"/>
      <c r="R560" s="15"/>
      <c r="S560" s="15"/>
      <c r="T560" s="15"/>
      <c r="U560" s="15"/>
      <c r="V560" s="15"/>
      <c r="W560" s="15"/>
      <c r="X560" s="14"/>
      <c r="Y560" s="14"/>
      <c r="Z560" s="15"/>
      <c r="AA560" s="3"/>
      <c r="AB560" s="3"/>
      <c r="AC560" s="3"/>
      <c r="AD560" s="3"/>
      <c r="AE560" s="3"/>
      <c r="AF560" s="3"/>
    </row>
    <row r="561" ht="15.75" customHeight="1">
      <c r="J561" s="15"/>
      <c r="K561" s="188"/>
      <c r="L561" s="15"/>
      <c r="M561" s="15"/>
      <c r="N561" s="15"/>
      <c r="O561" s="15"/>
      <c r="P561" s="15"/>
      <c r="Q561" s="15"/>
      <c r="R561" s="15"/>
      <c r="S561" s="15"/>
      <c r="T561" s="15"/>
      <c r="U561" s="15"/>
      <c r="V561" s="15"/>
      <c r="W561" s="15"/>
      <c r="X561" s="14"/>
      <c r="Y561" s="14"/>
      <c r="Z561" s="15"/>
      <c r="AA561" s="3"/>
      <c r="AB561" s="3"/>
      <c r="AC561" s="3"/>
      <c r="AD561" s="3"/>
      <c r="AE561" s="3"/>
      <c r="AF561" s="3"/>
    </row>
    <row r="562" ht="15.75" customHeight="1">
      <c r="J562" s="15"/>
      <c r="K562" s="188"/>
      <c r="L562" s="15"/>
      <c r="M562" s="15"/>
      <c r="N562" s="15"/>
      <c r="O562" s="15"/>
      <c r="P562" s="15"/>
      <c r="Q562" s="15"/>
      <c r="R562" s="15"/>
      <c r="S562" s="15"/>
      <c r="T562" s="15"/>
      <c r="U562" s="15"/>
      <c r="V562" s="15"/>
      <c r="W562" s="15"/>
      <c r="X562" s="14"/>
      <c r="Y562" s="14"/>
      <c r="Z562" s="15"/>
      <c r="AA562" s="3"/>
      <c r="AB562" s="3"/>
      <c r="AC562" s="3"/>
      <c r="AD562" s="3"/>
      <c r="AE562" s="3"/>
      <c r="AF562" s="3"/>
    </row>
    <row r="563" ht="15.75" customHeight="1">
      <c r="J563" s="15"/>
      <c r="K563" s="188"/>
      <c r="L563" s="15"/>
      <c r="M563" s="15"/>
      <c r="N563" s="15"/>
      <c r="O563" s="15"/>
      <c r="P563" s="15"/>
      <c r="Q563" s="15"/>
      <c r="R563" s="15"/>
      <c r="S563" s="15"/>
      <c r="T563" s="15"/>
      <c r="U563" s="15"/>
      <c r="V563" s="15"/>
      <c r="W563" s="15"/>
      <c r="X563" s="14"/>
      <c r="Y563" s="14"/>
      <c r="Z563" s="15"/>
      <c r="AA563" s="3"/>
      <c r="AB563" s="3"/>
      <c r="AC563" s="3"/>
      <c r="AD563" s="3"/>
      <c r="AE563" s="3"/>
      <c r="AF563" s="3"/>
    </row>
    <row r="564" ht="15.75" customHeight="1">
      <c r="J564" s="15"/>
      <c r="K564" s="188"/>
      <c r="L564" s="15"/>
      <c r="M564" s="15"/>
      <c r="N564" s="15"/>
      <c r="O564" s="15"/>
      <c r="P564" s="15"/>
      <c r="Q564" s="15"/>
      <c r="R564" s="15"/>
      <c r="S564" s="15"/>
      <c r="T564" s="15"/>
      <c r="U564" s="15"/>
      <c r="V564" s="15"/>
      <c r="W564" s="15"/>
      <c r="X564" s="14"/>
      <c r="Y564" s="14"/>
      <c r="Z564" s="15"/>
      <c r="AA564" s="3"/>
      <c r="AB564" s="3"/>
      <c r="AC564" s="3"/>
      <c r="AD564" s="3"/>
      <c r="AE564" s="3"/>
      <c r="AF564" s="3"/>
    </row>
    <row r="565" ht="15.75" customHeight="1">
      <c r="J565" s="15"/>
      <c r="K565" s="188"/>
      <c r="L565" s="15"/>
      <c r="M565" s="15"/>
      <c r="N565" s="15"/>
      <c r="O565" s="15"/>
      <c r="P565" s="15"/>
      <c r="Q565" s="15"/>
      <c r="R565" s="15"/>
      <c r="S565" s="15"/>
      <c r="T565" s="15"/>
      <c r="U565" s="15"/>
      <c r="V565" s="15"/>
      <c r="W565" s="15"/>
      <c r="X565" s="14"/>
      <c r="Y565" s="14"/>
      <c r="Z565" s="15"/>
      <c r="AA565" s="3"/>
      <c r="AB565" s="3"/>
      <c r="AC565" s="3"/>
      <c r="AD565" s="3"/>
      <c r="AE565" s="3"/>
      <c r="AF565" s="3"/>
    </row>
    <row r="566" ht="15.75" customHeight="1">
      <c r="J566" s="15"/>
      <c r="K566" s="188"/>
      <c r="L566" s="15"/>
      <c r="M566" s="15"/>
      <c r="N566" s="15"/>
      <c r="O566" s="15"/>
      <c r="P566" s="15"/>
      <c r="Q566" s="15"/>
      <c r="R566" s="15"/>
      <c r="S566" s="15"/>
      <c r="T566" s="15"/>
      <c r="U566" s="15"/>
      <c r="V566" s="15"/>
      <c r="W566" s="15"/>
      <c r="X566" s="14"/>
      <c r="Y566" s="14"/>
      <c r="Z566" s="15"/>
      <c r="AA566" s="3"/>
      <c r="AB566" s="3"/>
      <c r="AC566" s="3"/>
      <c r="AD566" s="3"/>
      <c r="AE566" s="3"/>
      <c r="AF566" s="3"/>
    </row>
    <row r="567" ht="15.75" customHeight="1">
      <c r="J567" s="15"/>
      <c r="K567" s="188"/>
      <c r="L567" s="15"/>
      <c r="M567" s="15"/>
      <c r="N567" s="15"/>
      <c r="O567" s="15"/>
      <c r="P567" s="15"/>
      <c r="Q567" s="15"/>
      <c r="R567" s="15"/>
      <c r="S567" s="15"/>
      <c r="T567" s="15"/>
      <c r="U567" s="15"/>
      <c r="V567" s="15"/>
      <c r="W567" s="15"/>
      <c r="X567" s="14"/>
      <c r="Y567" s="14"/>
      <c r="Z567" s="15"/>
      <c r="AA567" s="3"/>
      <c r="AB567" s="3"/>
      <c r="AC567" s="3"/>
      <c r="AD567" s="3"/>
      <c r="AE567" s="3"/>
      <c r="AF567" s="3"/>
    </row>
    <row r="568" ht="15.75" customHeight="1">
      <c r="J568" s="15"/>
      <c r="K568" s="188"/>
      <c r="L568" s="15"/>
      <c r="M568" s="15"/>
      <c r="N568" s="15"/>
      <c r="O568" s="15"/>
      <c r="P568" s="15"/>
      <c r="Q568" s="15"/>
      <c r="R568" s="15"/>
      <c r="S568" s="15"/>
      <c r="T568" s="15"/>
      <c r="U568" s="15"/>
      <c r="V568" s="15"/>
      <c r="W568" s="15"/>
      <c r="X568" s="14"/>
      <c r="Y568" s="14"/>
      <c r="Z568" s="15"/>
      <c r="AA568" s="3"/>
      <c r="AB568" s="3"/>
      <c r="AC568" s="3"/>
      <c r="AD568" s="3"/>
      <c r="AE568" s="3"/>
      <c r="AF568" s="3"/>
    </row>
    <row r="569" ht="15.75" customHeight="1">
      <c r="J569" s="15"/>
      <c r="K569" s="188"/>
      <c r="L569" s="15"/>
      <c r="M569" s="15"/>
      <c r="N569" s="15"/>
      <c r="O569" s="15"/>
      <c r="P569" s="15"/>
      <c r="Q569" s="15"/>
      <c r="R569" s="15"/>
      <c r="S569" s="15"/>
      <c r="T569" s="15"/>
      <c r="U569" s="15"/>
      <c r="V569" s="15"/>
      <c r="W569" s="15"/>
      <c r="X569" s="14"/>
      <c r="Y569" s="14"/>
      <c r="Z569" s="15"/>
      <c r="AA569" s="3"/>
      <c r="AB569" s="3"/>
      <c r="AC569" s="3"/>
      <c r="AD569" s="3"/>
      <c r="AE569" s="3"/>
      <c r="AF569" s="3"/>
    </row>
    <row r="570" ht="15.75" customHeight="1">
      <c r="J570" s="15"/>
      <c r="K570" s="188"/>
      <c r="L570" s="15"/>
      <c r="M570" s="15"/>
      <c r="N570" s="15"/>
      <c r="O570" s="15"/>
      <c r="P570" s="15"/>
      <c r="Q570" s="15"/>
      <c r="R570" s="15"/>
      <c r="S570" s="15"/>
      <c r="T570" s="15"/>
      <c r="U570" s="15"/>
      <c r="V570" s="15"/>
      <c r="W570" s="15"/>
      <c r="X570" s="14"/>
      <c r="Y570" s="14"/>
      <c r="Z570" s="15"/>
      <c r="AA570" s="3"/>
      <c r="AB570" s="3"/>
      <c r="AC570" s="3"/>
      <c r="AD570" s="3"/>
      <c r="AE570" s="3"/>
      <c r="AF570" s="3"/>
    </row>
    <row r="571" ht="15.75" customHeight="1">
      <c r="J571" s="15"/>
      <c r="K571" s="188"/>
      <c r="L571" s="15"/>
      <c r="M571" s="15"/>
      <c r="N571" s="15"/>
      <c r="O571" s="15"/>
      <c r="P571" s="15"/>
      <c r="Q571" s="15"/>
      <c r="R571" s="15"/>
      <c r="S571" s="15"/>
      <c r="T571" s="15"/>
      <c r="U571" s="15"/>
      <c r="V571" s="15"/>
      <c r="W571" s="15"/>
      <c r="X571" s="14"/>
      <c r="Y571" s="14"/>
      <c r="Z571" s="15"/>
      <c r="AA571" s="3"/>
      <c r="AB571" s="3"/>
      <c r="AC571" s="3"/>
      <c r="AD571" s="3"/>
      <c r="AE571" s="3"/>
      <c r="AF571" s="3"/>
    </row>
    <row r="572" ht="15.75" customHeight="1">
      <c r="J572" s="15"/>
      <c r="K572" s="188"/>
      <c r="L572" s="15"/>
      <c r="M572" s="15"/>
      <c r="N572" s="15"/>
      <c r="O572" s="15"/>
      <c r="P572" s="15"/>
      <c r="Q572" s="15"/>
      <c r="R572" s="15"/>
      <c r="S572" s="15"/>
      <c r="T572" s="15"/>
      <c r="U572" s="15"/>
      <c r="V572" s="15"/>
      <c r="W572" s="15"/>
      <c r="X572" s="14"/>
      <c r="Y572" s="14"/>
      <c r="Z572" s="15"/>
      <c r="AA572" s="3"/>
      <c r="AB572" s="3"/>
      <c r="AC572" s="3"/>
      <c r="AD572" s="3"/>
      <c r="AE572" s="3"/>
      <c r="AF572" s="3"/>
    </row>
    <row r="573" ht="15.75" customHeight="1">
      <c r="J573" s="15"/>
      <c r="K573" s="188"/>
      <c r="L573" s="15"/>
      <c r="M573" s="15"/>
      <c r="N573" s="15"/>
      <c r="O573" s="15"/>
      <c r="P573" s="15"/>
      <c r="Q573" s="15"/>
      <c r="R573" s="15"/>
      <c r="S573" s="15"/>
      <c r="T573" s="15"/>
      <c r="U573" s="15"/>
      <c r="V573" s="15"/>
      <c r="W573" s="15"/>
      <c r="X573" s="14"/>
      <c r="Y573" s="14"/>
      <c r="Z573" s="15"/>
      <c r="AA573" s="3"/>
      <c r="AB573" s="3"/>
      <c r="AC573" s="3"/>
      <c r="AD573" s="3"/>
      <c r="AE573" s="3"/>
      <c r="AF573" s="3"/>
    </row>
    <row r="574" ht="15.75" customHeight="1">
      <c r="J574" s="15"/>
      <c r="K574" s="188"/>
      <c r="L574" s="15"/>
      <c r="M574" s="15"/>
      <c r="N574" s="15"/>
      <c r="O574" s="15"/>
      <c r="P574" s="15"/>
      <c r="Q574" s="15"/>
      <c r="R574" s="15"/>
      <c r="S574" s="15"/>
      <c r="T574" s="15"/>
      <c r="U574" s="15"/>
      <c r="V574" s="15"/>
      <c r="W574" s="15"/>
      <c r="X574" s="14"/>
      <c r="Y574" s="14"/>
      <c r="Z574" s="15"/>
      <c r="AA574" s="3"/>
      <c r="AB574" s="3"/>
      <c r="AC574" s="3"/>
      <c r="AD574" s="3"/>
      <c r="AE574" s="3"/>
      <c r="AF574" s="3"/>
    </row>
    <row r="575" ht="15.75" customHeight="1">
      <c r="J575" s="15"/>
      <c r="K575" s="188"/>
      <c r="L575" s="15"/>
      <c r="M575" s="15"/>
      <c r="N575" s="15"/>
      <c r="O575" s="15"/>
      <c r="P575" s="15"/>
      <c r="Q575" s="15"/>
      <c r="R575" s="15"/>
      <c r="S575" s="15"/>
      <c r="T575" s="15"/>
      <c r="U575" s="15"/>
      <c r="V575" s="15"/>
      <c r="W575" s="15"/>
      <c r="X575" s="14"/>
      <c r="Y575" s="14"/>
      <c r="Z575" s="15"/>
      <c r="AA575" s="3"/>
      <c r="AB575" s="3"/>
      <c r="AC575" s="3"/>
      <c r="AD575" s="3"/>
      <c r="AE575" s="3"/>
      <c r="AF575" s="3"/>
    </row>
    <row r="576" ht="15.75" customHeight="1">
      <c r="J576" s="15"/>
      <c r="K576" s="188"/>
      <c r="L576" s="15"/>
      <c r="M576" s="15"/>
      <c r="N576" s="15"/>
      <c r="O576" s="15"/>
      <c r="P576" s="15"/>
      <c r="Q576" s="15"/>
      <c r="R576" s="15"/>
      <c r="S576" s="15"/>
      <c r="T576" s="15"/>
      <c r="U576" s="15"/>
      <c r="V576" s="15"/>
      <c r="W576" s="15"/>
      <c r="X576" s="14"/>
      <c r="Y576" s="14"/>
      <c r="Z576" s="15"/>
      <c r="AA576" s="3"/>
      <c r="AB576" s="3"/>
      <c r="AC576" s="3"/>
      <c r="AD576" s="3"/>
      <c r="AE576" s="3"/>
      <c r="AF576" s="3"/>
    </row>
    <row r="577" ht="15.75" customHeight="1">
      <c r="J577" s="15"/>
      <c r="K577" s="188"/>
      <c r="L577" s="15"/>
      <c r="M577" s="15"/>
      <c r="N577" s="15"/>
      <c r="O577" s="15"/>
      <c r="P577" s="15"/>
      <c r="Q577" s="15"/>
      <c r="R577" s="15"/>
      <c r="S577" s="15"/>
      <c r="T577" s="15"/>
      <c r="U577" s="15"/>
      <c r="V577" s="15"/>
      <c r="W577" s="15"/>
      <c r="X577" s="14"/>
      <c r="Y577" s="14"/>
      <c r="Z577" s="15"/>
      <c r="AA577" s="3"/>
      <c r="AB577" s="3"/>
      <c r="AC577" s="3"/>
      <c r="AD577" s="3"/>
      <c r="AE577" s="3"/>
      <c r="AF577" s="3"/>
    </row>
    <row r="578" ht="15.75" customHeight="1">
      <c r="J578" s="15"/>
      <c r="K578" s="188"/>
      <c r="L578" s="15"/>
      <c r="M578" s="15"/>
      <c r="N578" s="15"/>
      <c r="O578" s="15"/>
      <c r="P578" s="15"/>
      <c r="Q578" s="15"/>
      <c r="R578" s="15"/>
      <c r="S578" s="15"/>
      <c r="T578" s="15"/>
      <c r="U578" s="15"/>
      <c r="V578" s="15"/>
      <c r="W578" s="15"/>
      <c r="X578" s="14"/>
      <c r="Y578" s="14"/>
      <c r="Z578" s="15"/>
      <c r="AA578" s="3"/>
      <c r="AB578" s="3"/>
      <c r="AC578" s="3"/>
      <c r="AD578" s="3"/>
      <c r="AE578" s="3"/>
      <c r="AF578" s="3"/>
    </row>
    <row r="579" ht="15.75" customHeight="1">
      <c r="J579" s="15"/>
      <c r="K579" s="188"/>
      <c r="L579" s="15"/>
      <c r="M579" s="15"/>
      <c r="N579" s="15"/>
      <c r="O579" s="15"/>
      <c r="P579" s="15"/>
      <c r="Q579" s="15"/>
      <c r="R579" s="15"/>
      <c r="S579" s="15"/>
      <c r="T579" s="15"/>
      <c r="U579" s="15"/>
      <c r="V579" s="15"/>
      <c r="W579" s="15"/>
      <c r="X579" s="14"/>
      <c r="Y579" s="14"/>
      <c r="Z579" s="15"/>
      <c r="AA579" s="3"/>
      <c r="AB579" s="3"/>
      <c r="AC579" s="3"/>
      <c r="AD579" s="3"/>
      <c r="AE579" s="3"/>
      <c r="AF579" s="3"/>
    </row>
    <row r="580" ht="15.75" customHeight="1">
      <c r="J580" s="15"/>
      <c r="K580" s="188"/>
      <c r="L580" s="15"/>
      <c r="M580" s="15"/>
      <c r="N580" s="15"/>
      <c r="O580" s="15"/>
      <c r="P580" s="15"/>
      <c r="Q580" s="15"/>
      <c r="R580" s="15"/>
      <c r="S580" s="15"/>
      <c r="T580" s="15"/>
      <c r="U580" s="15"/>
      <c r="V580" s="15"/>
      <c r="W580" s="15"/>
      <c r="X580" s="14"/>
      <c r="Y580" s="14"/>
      <c r="Z580" s="15"/>
      <c r="AA580" s="3"/>
      <c r="AB580" s="3"/>
      <c r="AC580" s="3"/>
      <c r="AD580" s="3"/>
      <c r="AE580" s="3"/>
      <c r="AF580" s="3"/>
    </row>
    <row r="581" ht="15.75" customHeight="1">
      <c r="J581" s="15"/>
      <c r="K581" s="188"/>
      <c r="L581" s="15"/>
      <c r="M581" s="15"/>
      <c r="N581" s="15"/>
      <c r="O581" s="15"/>
      <c r="P581" s="15"/>
      <c r="Q581" s="15"/>
      <c r="R581" s="15"/>
      <c r="S581" s="15"/>
      <c r="T581" s="15"/>
      <c r="U581" s="15"/>
      <c r="V581" s="15"/>
      <c r="W581" s="15"/>
      <c r="X581" s="14"/>
      <c r="Y581" s="14"/>
      <c r="Z581" s="15"/>
      <c r="AA581" s="3"/>
      <c r="AB581" s="3"/>
      <c r="AC581" s="3"/>
      <c r="AD581" s="3"/>
      <c r="AE581" s="3"/>
      <c r="AF581" s="3"/>
    </row>
    <row r="582" ht="15.75" customHeight="1">
      <c r="J582" s="15"/>
      <c r="K582" s="188"/>
      <c r="L582" s="15"/>
      <c r="M582" s="15"/>
      <c r="N582" s="15"/>
      <c r="O582" s="15"/>
      <c r="P582" s="15"/>
      <c r="Q582" s="15"/>
      <c r="R582" s="15"/>
      <c r="S582" s="15"/>
      <c r="T582" s="15"/>
      <c r="U582" s="15"/>
      <c r="V582" s="15"/>
      <c r="W582" s="15"/>
      <c r="X582" s="14"/>
      <c r="Y582" s="14"/>
      <c r="Z582" s="15"/>
      <c r="AA582" s="3"/>
      <c r="AB582" s="3"/>
      <c r="AC582" s="3"/>
      <c r="AD582" s="3"/>
      <c r="AE582" s="3"/>
      <c r="AF582" s="3"/>
    </row>
    <row r="583" ht="15.75" customHeight="1">
      <c r="J583" s="15"/>
      <c r="K583" s="188"/>
      <c r="L583" s="15"/>
      <c r="M583" s="15"/>
      <c r="N583" s="15"/>
      <c r="O583" s="15"/>
      <c r="P583" s="15"/>
      <c r="Q583" s="15"/>
      <c r="R583" s="15"/>
      <c r="S583" s="15"/>
      <c r="T583" s="15"/>
      <c r="U583" s="15"/>
      <c r="V583" s="15"/>
      <c r="W583" s="15"/>
      <c r="X583" s="14"/>
      <c r="Y583" s="14"/>
      <c r="Z583" s="15"/>
      <c r="AA583" s="3"/>
      <c r="AB583" s="3"/>
      <c r="AC583" s="3"/>
      <c r="AD583" s="3"/>
      <c r="AE583" s="3"/>
      <c r="AF583" s="3"/>
    </row>
    <row r="584" ht="15.75" customHeight="1">
      <c r="J584" s="15"/>
      <c r="K584" s="188"/>
      <c r="L584" s="15"/>
      <c r="M584" s="15"/>
      <c r="N584" s="15"/>
      <c r="O584" s="15"/>
      <c r="P584" s="15"/>
      <c r="Q584" s="15"/>
      <c r="R584" s="15"/>
      <c r="S584" s="15"/>
      <c r="T584" s="15"/>
      <c r="U584" s="15"/>
      <c r="V584" s="15"/>
      <c r="W584" s="15"/>
      <c r="X584" s="14"/>
      <c r="Y584" s="14"/>
      <c r="Z584" s="15"/>
      <c r="AA584" s="3"/>
      <c r="AB584" s="3"/>
      <c r="AC584" s="3"/>
      <c r="AD584" s="3"/>
      <c r="AE584" s="3"/>
      <c r="AF584" s="3"/>
    </row>
    <row r="585" ht="15.75" customHeight="1">
      <c r="J585" s="15"/>
      <c r="K585" s="188"/>
      <c r="L585" s="15"/>
      <c r="M585" s="15"/>
      <c r="N585" s="15"/>
      <c r="O585" s="15"/>
      <c r="P585" s="15"/>
      <c r="Q585" s="15"/>
      <c r="R585" s="15"/>
      <c r="S585" s="15"/>
      <c r="T585" s="15"/>
      <c r="U585" s="15"/>
      <c r="V585" s="15"/>
      <c r="W585" s="15"/>
      <c r="X585" s="14"/>
      <c r="Y585" s="14"/>
      <c r="Z585" s="15"/>
      <c r="AA585" s="3"/>
      <c r="AB585" s="3"/>
      <c r="AC585" s="3"/>
      <c r="AD585" s="3"/>
      <c r="AE585" s="3"/>
      <c r="AF585" s="3"/>
    </row>
    <row r="586" ht="15.75" customHeight="1">
      <c r="J586" s="15"/>
      <c r="K586" s="188"/>
      <c r="L586" s="15"/>
      <c r="M586" s="15"/>
      <c r="N586" s="15"/>
      <c r="O586" s="15"/>
      <c r="P586" s="15"/>
      <c r="Q586" s="15"/>
      <c r="R586" s="15"/>
      <c r="S586" s="15"/>
      <c r="T586" s="15"/>
      <c r="U586" s="15"/>
      <c r="V586" s="15"/>
      <c r="W586" s="15"/>
      <c r="X586" s="14"/>
      <c r="Y586" s="14"/>
      <c r="Z586" s="15"/>
      <c r="AA586" s="3"/>
      <c r="AB586" s="3"/>
      <c r="AC586" s="3"/>
      <c r="AD586" s="3"/>
      <c r="AE586" s="3"/>
      <c r="AF586" s="3"/>
    </row>
    <row r="587" ht="15.75" customHeight="1">
      <c r="J587" s="15"/>
      <c r="K587" s="188"/>
      <c r="L587" s="15"/>
      <c r="M587" s="15"/>
      <c r="N587" s="15"/>
      <c r="O587" s="15"/>
      <c r="P587" s="15"/>
      <c r="Q587" s="15"/>
      <c r="R587" s="15"/>
      <c r="S587" s="15"/>
      <c r="T587" s="15"/>
      <c r="U587" s="15"/>
      <c r="V587" s="15"/>
      <c r="W587" s="15"/>
      <c r="X587" s="14"/>
      <c r="Y587" s="14"/>
      <c r="Z587" s="15"/>
      <c r="AA587" s="3"/>
      <c r="AB587" s="3"/>
      <c r="AC587" s="3"/>
      <c r="AD587" s="3"/>
      <c r="AE587" s="3"/>
      <c r="AF587" s="3"/>
    </row>
    <row r="588" ht="15.75" customHeight="1">
      <c r="J588" s="15"/>
      <c r="K588" s="188"/>
      <c r="L588" s="15"/>
      <c r="M588" s="15"/>
      <c r="N588" s="15"/>
      <c r="O588" s="15"/>
      <c r="P588" s="15"/>
      <c r="Q588" s="15"/>
      <c r="R588" s="15"/>
      <c r="S588" s="15"/>
      <c r="T588" s="15"/>
      <c r="U588" s="15"/>
      <c r="V588" s="15"/>
      <c r="W588" s="15"/>
      <c r="X588" s="14"/>
      <c r="Y588" s="14"/>
      <c r="Z588" s="15"/>
      <c r="AA588" s="3"/>
      <c r="AB588" s="3"/>
      <c r="AC588" s="3"/>
      <c r="AD588" s="3"/>
      <c r="AE588" s="3"/>
      <c r="AF588" s="3"/>
    </row>
    <row r="589" ht="15.75" customHeight="1">
      <c r="J589" s="15"/>
      <c r="K589" s="188"/>
      <c r="L589" s="15"/>
      <c r="M589" s="15"/>
      <c r="N589" s="15"/>
      <c r="O589" s="15"/>
      <c r="P589" s="15"/>
      <c r="Q589" s="15"/>
      <c r="R589" s="15"/>
      <c r="S589" s="15"/>
      <c r="T589" s="15"/>
      <c r="U589" s="15"/>
      <c r="V589" s="15"/>
      <c r="W589" s="15"/>
      <c r="X589" s="14"/>
      <c r="Y589" s="14"/>
      <c r="Z589" s="15"/>
      <c r="AA589" s="3"/>
      <c r="AB589" s="3"/>
      <c r="AC589" s="3"/>
      <c r="AD589" s="3"/>
      <c r="AE589" s="3"/>
      <c r="AF589" s="3"/>
    </row>
    <row r="590" ht="15.75" customHeight="1">
      <c r="J590" s="15"/>
      <c r="K590" s="188"/>
      <c r="L590" s="15"/>
      <c r="M590" s="15"/>
      <c r="N590" s="15"/>
      <c r="O590" s="15"/>
      <c r="P590" s="15"/>
      <c r="Q590" s="15"/>
      <c r="R590" s="15"/>
      <c r="S590" s="15"/>
      <c r="T590" s="15"/>
      <c r="U590" s="15"/>
      <c r="V590" s="15"/>
      <c r="W590" s="15"/>
      <c r="X590" s="14"/>
      <c r="Y590" s="14"/>
      <c r="Z590" s="15"/>
      <c r="AA590" s="3"/>
      <c r="AB590" s="3"/>
      <c r="AC590" s="3"/>
      <c r="AD590" s="3"/>
      <c r="AE590" s="3"/>
      <c r="AF590" s="3"/>
    </row>
    <row r="591" ht="15.75" customHeight="1">
      <c r="J591" s="15"/>
      <c r="K591" s="188"/>
      <c r="L591" s="15"/>
      <c r="M591" s="15"/>
      <c r="N591" s="15"/>
      <c r="O591" s="15"/>
      <c r="P591" s="15"/>
      <c r="Q591" s="15"/>
      <c r="R591" s="15"/>
      <c r="S591" s="15"/>
      <c r="T591" s="15"/>
      <c r="U591" s="15"/>
      <c r="V591" s="15"/>
      <c r="W591" s="15"/>
      <c r="X591" s="14"/>
      <c r="Y591" s="14"/>
      <c r="Z591" s="15"/>
      <c r="AA591" s="3"/>
      <c r="AB591" s="3"/>
      <c r="AC591" s="3"/>
      <c r="AD591" s="3"/>
      <c r="AE591" s="3"/>
      <c r="AF591" s="3"/>
    </row>
    <row r="592" ht="15.75" customHeight="1">
      <c r="J592" s="15"/>
      <c r="K592" s="188"/>
      <c r="L592" s="15"/>
      <c r="M592" s="15"/>
      <c r="N592" s="15"/>
      <c r="O592" s="15"/>
      <c r="P592" s="15"/>
      <c r="Q592" s="15"/>
      <c r="R592" s="15"/>
      <c r="S592" s="15"/>
      <c r="T592" s="15"/>
      <c r="U592" s="15"/>
      <c r="V592" s="15"/>
      <c r="W592" s="15"/>
      <c r="X592" s="14"/>
      <c r="Y592" s="14"/>
      <c r="Z592" s="15"/>
      <c r="AA592" s="3"/>
      <c r="AB592" s="3"/>
      <c r="AC592" s="3"/>
      <c r="AD592" s="3"/>
      <c r="AE592" s="3"/>
      <c r="AF592" s="3"/>
    </row>
    <row r="593" ht="15.75" customHeight="1">
      <c r="J593" s="15"/>
      <c r="K593" s="188"/>
      <c r="L593" s="15"/>
      <c r="M593" s="15"/>
      <c r="N593" s="15"/>
      <c r="O593" s="15"/>
      <c r="P593" s="15"/>
      <c r="Q593" s="15"/>
      <c r="R593" s="15"/>
      <c r="S593" s="15"/>
      <c r="T593" s="15"/>
      <c r="U593" s="15"/>
      <c r="V593" s="15"/>
      <c r="W593" s="15"/>
      <c r="X593" s="14"/>
      <c r="Y593" s="14"/>
      <c r="Z593" s="15"/>
      <c r="AA593" s="3"/>
      <c r="AB593" s="3"/>
      <c r="AC593" s="3"/>
      <c r="AD593" s="3"/>
      <c r="AE593" s="3"/>
      <c r="AF593" s="3"/>
    </row>
    <row r="594" ht="15.75" customHeight="1">
      <c r="J594" s="15"/>
      <c r="K594" s="188"/>
      <c r="L594" s="15"/>
      <c r="M594" s="15"/>
      <c r="N594" s="15"/>
      <c r="O594" s="15"/>
      <c r="P594" s="15"/>
      <c r="Q594" s="15"/>
      <c r="R594" s="15"/>
      <c r="S594" s="15"/>
      <c r="T594" s="15"/>
      <c r="U594" s="15"/>
      <c r="V594" s="15"/>
      <c r="W594" s="15"/>
      <c r="X594" s="14"/>
      <c r="Y594" s="14"/>
      <c r="Z594" s="15"/>
      <c r="AA594" s="3"/>
      <c r="AB594" s="3"/>
      <c r="AC594" s="3"/>
      <c r="AD594" s="3"/>
      <c r="AE594" s="3"/>
      <c r="AF594" s="3"/>
    </row>
    <row r="595" ht="15.75" customHeight="1">
      <c r="J595" s="15"/>
      <c r="K595" s="188"/>
      <c r="L595" s="15"/>
      <c r="M595" s="15"/>
      <c r="N595" s="15"/>
      <c r="O595" s="15"/>
      <c r="P595" s="15"/>
      <c r="Q595" s="15"/>
      <c r="R595" s="15"/>
      <c r="S595" s="15"/>
      <c r="T595" s="15"/>
      <c r="U595" s="15"/>
      <c r="V595" s="15"/>
      <c r="W595" s="15"/>
      <c r="X595" s="14"/>
      <c r="Y595" s="14"/>
      <c r="Z595" s="15"/>
      <c r="AA595" s="3"/>
      <c r="AB595" s="3"/>
      <c r="AC595" s="3"/>
      <c r="AD595" s="3"/>
      <c r="AE595" s="3"/>
      <c r="AF595" s="3"/>
    </row>
    <row r="596" ht="15.75" customHeight="1">
      <c r="J596" s="15"/>
      <c r="K596" s="188"/>
      <c r="L596" s="15"/>
      <c r="M596" s="15"/>
      <c r="N596" s="15"/>
      <c r="O596" s="15"/>
      <c r="P596" s="15"/>
      <c r="Q596" s="15"/>
      <c r="R596" s="15"/>
      <c r="S596" s="15"/>
      <c r="T596" s="15"/>
      <c r="U596" s="15"/>
      <c r="V596" s="15"/>
      <c r="W596" s="15"/>
      <c r="X596" s="14"/>
      <c r="Y596" s="14"/>
      <c r="Z596" s="15"/>
      <c r="AA596" s="3"/>
      <c r="AB596" s="3"/>
      <c r="AC596" s="3"/>
      <c r="AD596" s="3"/>
      <c r="AE596" s="3"/>
      <c r="AF596" s="3"/>
    </row>
    <row r="597" ht="15.75" customHeight="1">
      <c r="J597" s="15"/>
      <c r="K597" s="188"/>
      <c r="L597" s="15"/>
      <c r="M597" s="15"/>
      <c r="N597" s="15"/>
      <c r="O597" s="15"/>
      <c r="P597" s="15"/>
      <c r="Q597" s="15"/>
      <c r="R597" s="15"/>
      <c r="S597" s="15"/>
      <c r="T597" s="15"/>
      <c r="U597" s="15"/>
      <c r="V597" s="15"/>
      <c r="W597" s="15"/>
      <c r="X597" s="14"/>
      <c r="Y597" s="14"/>
      <c r="Z597" s="15"/>
      <c r="AA597" s="3"/>
      <c r="AB597" s="3"/>
      <c r="AC597" s="3"/>
      <c r="AD597" s="3"/>
      <c r="AE597" s="3"/>
      <c r="AF597" s="3"/>
    </row>
    <row r="598" ht="15.75" customHeight="1">
      <c r="J598" s="15"/>
      <c r="K598" s="188"/>
      <c r="L598" s="15"/>
      <c r="M598" s="15"/>
      <c r="N598" s="15"/>
      <c r="O598" s="15"/>
      <c r="P598" s="15"/>
      <c r="Q598" s="15"/>
      <c r="R598" s="15"/>
      <c r="S598" s="15"/>
      <c r="T598" s="15"/>
      <c r="U598" s="15"/>
      <c r="V598" s="15"/>
      <c r="W598" s="15"/>
      <c r="X598" s="14"/>
      <c r="Y598" s="14"/>
      <c r="Z598" s="15"/>
      <c r="AA598" s="3"/>
      <c r="AB598" s="3"/>
      <c r="AC598" s="3"/>
      <c r="AD598" s="3"/>
      <c r="AE598" s="3"/>
      <c r="AF598" s="3"/>
    </row>
    <row r="599" ht="15.75" customHeight="1">
      <c r="J599" s="15"/>
      <c r="K599" s="188"/>
      <c r="L599" s="15"/>
      <c r="M599" s="15"/>
      <c r="N599" s="15"/>
      <c r="O599" s="15"/>
      <c r="P599" s="15"/>
      <c r="Q599" s="15"/>
      <c r="R599" s="15"/>
      <c r="S599" s="15"/>
      <c r="T599" s="15"/>
      <c r="U599" s="15"/>
      <c r="V599" s="15"/>
      <c r="W599" s="15"/>
      <c r="X599" s="14"/>
      <c r="Y599" s="14"/>
      <c r="Z599" s="15"/>
      <c r="AA599" s="3"/>
      <c r="AB599" s="3"/>
      <c r="AC599" s="3"/>
      <c r="AD599" s="3"/>
      <c r="AE599" s="3"/>
      <c r="AF599" s="3"/>
    </row>
    <row r="600" ht="15.75" customHeight="1">
      <c r="J600" s="15"/>
      <c r="K600" s="188"/>
      <c r="L600" s="15"/>
      <c r="M600" s="15"/>
      <c r="N600" s="15"/>
      <c r="O600" s="15"/>
      <c r="P600" s="15"/>
      <c r="Q600" s="15"/>
      <c r="R600" s="15"/>
      <c r="S600" s="15"/>
      <c r="T600" s="15"/>
      <c r="U600" s="15"/>
      <c r="V600" s="15"/>
      <c r="W600" s="15"/>
      <c r="X600" s="14"/>
      <c r="Y600" s="14"/>
      <c r="Z600" s="15"/>
      <c r="AA600" s="3"/>
      <c r="AB600" s="3"/>
      <c r="AC600" s="3"/>
      <c r="AD600" s="3"/>
      <c r="AE600" s="3"/>
      <c r="AF600" s="3"/>
    </row>
    <row r="601" ht="15.75" customHeight="1">
      <c r="J601" s="15"/>
      <c r="K601" s="188"/>
      <c r="L601" s="15"/>
      <c r="M601" s="15"/>
      <c r="N601" s="15"/>
      <c r="O601" s="15"/>
      <c r="P601" s="15"/>
      <c r="Q601" s="15"/>
      <c r="R601" s="15"/>
      <c r="S601" s="15"/>
      <c r="T601" s="15"/>
      <c r="U601" s="15"/>
      <c r="V601" s="15"/>
      <c r="W601" s="15"/>
      <c r="X601" s="14"/>
      <c r="Y601" s="14"/>
      <c r="Z601" s="15"/>
      <c r="AA601" s="3"/>
      <c r="AB601" s="3"/>
      <c r="AC601" s="3"/>
      <c r="AD601" s="3"/>
      <c r="AE601" s="3"/>
      <c r="AF601" s="3"/>
    </row>
    <row r="602" ht="15.75" customHeight="1">
      <c r="J602" s="15"/>
      <c r="K602" s="188"/>
      <c r="L602" s="15"/>
      <c r="M602" s="15"/>
      <c r="N602" s="15"/>
      <c r="O602" s="15"/>
      <c r="P602" s="15"/>
      <c r="Q602" s="15"/>
      <c r="R602" s="15"/>
      <c r="S602" s="15"/>
      <c r="T602" s="15"/>
      <c r="U602" s="15"/>
      <c r="V602" s="15"/>
      <c r="W602" s="15"/>
      <c r="X602" s="14"/>
      <c r="Y602" s="14"/>
      <c r="Z602" s="15"/>
      <c r="AA602" s="3"/>
      <c r="AB602" s="3"/>
      <c r="AC602" s="3"/>
      <c r="AD602" s="3"/>
      <c r="AE602" s="3"/>
      <c r="AF602" s="3"/>
    </row>
    <row r="603" ht="15.75" customHeight="1">
      <c r="J603" s="15"/>
      <c r="K603" s="188"/>
      <c r="L603" s="15"/>
      <c r="M603" s="15"/>
      <c r="N603" s="15"/>
      <c r="O603" s="15"/>
      <c r="P603" s="15"/>
      <c r="Q603" s="15"/>
      <c r="R603" s="15"/>
      <c r="S603" s="15"/>
      <c r="T603" s="15"/>
      <c r="U603" s="15"/>
      <c r="V603" s="15"/>
      <c r="W603" s="15"/>
      <c r="X603" s="14"/>
      <c r="Y603" s="14"/>
      <c r="Z603" s="15"/>
      <c r="AA603" s="3"/>
      <c r="AB603" s="3"/>
      <c r="AC603" s="3"/>
      <c r="AD603" s="3"/>
      <c r="AE603" s="3"/>
      <c r="AF603" s="3"/>
    </row>
    <row r="604" ht="15.75" customHeight="1">
      <c r="J604" s="15"/>
      <c r="K604" s="188"/>
      <c r="L604" s="15"/>
      <c r="M604" s="15"/>
      <c r="N604" s="15"/>
      <c r="O604" s="15"/>
      <c r="P604" s="15"/>
      <c r="Q604" s="15"/>
      <c r="R604" s="15"/>
      <c r="S604" s="15"/>
      <c r="T604" s="15"/>
      <c r="U604" s="15"/>
      <c r="V604" s="15"/>
      <c r="W604" s="15"/>
      <c r="X604" s="14"/>
      <c r="Y604" s="14"/>
      <c r="Z604" s="15"/>
      <c r="AA604" s="3"/>
      <c r="AB604" s="3"/>
      <c r="AC604" s="3"/>
      <c r="AD604" s="3"/>
      <c r="AE604" s="3"/>
      <c r="AF604" s="3"/>
    </row>
    <row r="605" ht="15.75" customHeight="1">
      <c r="J605" s="15"/>
      <c r="K605" s="188"/>
      <c r="L605" s="15"/>
      <c r="M605" s="15"/>
      <c r="N605" s="15"/>
      <c r="O605" s="15"/>
      <c r="P605" s="15"/>
      <c r="Q605" s="15"/>
      <c r="R605" s="15"/>
      <c r="S605" s="15"/>
      <c r="T605" s="15"/>
      <c r="U605" s="15"/>
      <c r="V605" s="15"/>
      <c r="W605" s="15"/>
      <c r="X605" s="14"/>
      <c r="Y605" s="14"/>
      <c r="Z605" s="15"/>
      <c r="AA605" s="3"/>
      <c r="AB605" s="3"/>
      <c r="AC605" s="3"/>
      <c r="AD605" s="3"/>
      <c r="AE605" s="3"/>
      <c r="AF605" s="3"/>
    </row>
    <row r="606" ht="15.75" customHeight="1">
      <c r="J606" s="15"/>
      <c r="K606" s="188"/>
      <c r="L606" s="15"/>
      <c r="M606" s="15"/>
      <c r="N606" s="15"/>
      <c r="O606" s="15"/>
      <c r="P606" s="15"/>
      <c r="Q606" s="15"/>
      <c r="R606" s="15"/>
      <c r="S606" s="15"/>
      <c r="T606" s="15"/>
      <c r="U606" s="15"/>
      <c r="V606" s="15"/>
      <c r="W606" s="15"/>
      <c r="X606" s="14"/>
      <c r="Y606" s="14"/>
      <c r="Z606" s="15"/>
      <c r="AA606" s="3"/>
      <c r="AB606" s="3"/>
      <c r="AC606" s="3"/>
      <c r="AD606" s="3"/>
      <c r="AE606" s="3"/>
      <c r="AF606" s="3"/>
    </row>
    <row r="607" ht="15.75" customHeight="1">
      <c r="J607" s="15"/>
      <c r="K607" s="188"/>
      <c r="L607" s="15"/>
      <c r="M607" s="15"/>
      <c r="N607" s="15"/>
      <c r="O607" s="15"/>
      <c r="P607" s="15"/>
      <c r="Q607" s="15"/>
      <c r="R607" s="15"/>
      <c r="S607" s="15"/>
      <c r="T607" s="15"/>
      <c r="U607" s="15"/>
      <c r="V607" s="15"/>
      <c r="W607" s="15"/>
      <c r="X607" s="14"/>
      <c r="Y607" s="14"/>
      <c r="Z607" s="15"/>
      <c r="AA607" s="3"/>
      <c r="AB607" s="3"/>
      <c r="AC607" s="3"/>
      <c r="AD607" s="3"/>
      <c r="AE607" s="3"/>
      <c r="AF607" s="3"/>
    </row>
    <row r="608" ht="15.75" customHeight="1">
      <c r="J608" s="15"/>
      <c r="K608" s="188"/>
      <c r="L608" s="15"/>
      <c r="M608" s="15"/>
      <c r="N608" s="15"/>
      <c r="O608" s="15"/>
      <c r="P608" s="15"/>
      <c r="Q608" s="15"/>
      <c r="R608" s="15"/>
      <c r="S608" s="15"/>
      <c r="T608" s="15"/>
      <c r="U608" s="15"/>
      <c r="V608" s="15"/>
      <c r="W608" s="15"/>
      <c r="X608" s="14"/>
      <c r="Y608" s="14"/>
      <c r="Z608" s="15"/>
      <c r="AA608" s="3"/>
      <c r="AB608" s="3"/>
      <c r="AC608" s="3"/>
      <c r="AD608" s="3"/>
      <c r="AE608" s="3"/>
      <c r="AF608" s="3"/>
    </row>
    <row r="609" ht="15.75" customHeight="1">
      <c r="J609" s="15"/>
      <c r="K609" s="188"/>
      <c r="L609" s="15"/>
      <c r="M609" s="15"/>
      <c r="N609" s="15"/>
      <c r="O609" s="15"/>
      <c r="P609" s="15"/>
      <c r="Q609" s="15"/>
      <c r="R609" s="15"/>
      <c r="S609" s="15"/>
      <c r="T609" s="15"/>
      <c r="U609" s="15"/>
      <c r="V609" s="15"/>
      <c r="W609" s="15"/>
      <c r="X609" s="14"/>
      <c r="Y609" s="14"/>
      <c r="Z609" s="15"/>
      <c r="AA609" s="3"/>
      <c r="AB609" s="3"/>
      <c r="AC609" s="3"/>
      <c r="AD609" s="3"/>
      <c r="AE609" s="3"/>
      <c r="AF609" s="3"/>
    </row>
    <row r="610" ht="15.75" customHeight="1">
      <c r="J610" s="15"/>
      <c r="K610" s="188"/>
      <c r="L610" s="15"/>
      <c r="M610" s="15"/>
      <c r="N610" s="15"/>
      <c r="O610" s="15"/>
      <c r="P610" s="15"/>
      <c r="Q610" s="15"/>
      <c r="R610" s="15"/>
      <c r="S610" s="15"/>
      <c r="T610" s="15"/>
      <c r="U610" s="15"/>
      <c r="V610" s="15"/>
      <c r="W610" s="15"/>
      <c r="X610" s="14"/>
      <c r="Y610" s="14"/>
      <c r="Z610" s="15"/>
      <c r="AA610" s="3"/>
      <c r="AB610" s="3"/>
      <c r="AC610" s="3"/>
      <c r="AD610" s="3"/>
      <c r="AE610" s="3"/>
      <c r="AF610" s="3"/>
    </row>
    <row r="611" ht="15.75" customHeight="1">
      <c r="J611" s="15"/>
      <c r="K611" s="188"/>
      <c r="L611" s="15"/>
      <c r="M611" s="15"/>
      <c r="N611" s="15"/>
      <c r="O611" s="15"/>
      <c r="P611" s="15"/>
      <c r="Q611" s="15"/>
      <c r="R611" s="15"/>
      <c r="S611" s="15"/>
      <c r="T611" s="15"/>
      <c r="U611" s="15"/>
      <c r="V611" s="15"/>
      <c r="W611" s="15"/>
      <c r="X611" s="14"/>
      <c r="Y611" s="14"/>
      <c r="Z611" s="15"/>
      <c r="AA611" s="3"/>
      <c r="AB611" s="3"/>
      <c r="AC611" s="3"/>
      <c r="AD611" s="3"/>
      <c r="AE611" s="3"/>
      <c r="AF611" s="3"/>
    </row>
    <row r="612" ht="15.75" customHeight="1">
      <c r="J612" s="15"/>
      <c r="K612" s="188"/>
      <c r="L612" s="15"/>
      <c r="M612" s="15"/>
      <c r="N612" s="15"/>
      <c r="O612" s="15"/>
      <c r="P612" s="15"/>
      <c r="Q612" s="15"/>
      <c r="R612" s="15"/>
      <c r="S612" s="15"/>
      <c r="T612" s="15"/>
      <c r="U612" s="15"/>
      <c r="V612" s="15"/>
      <c r="W612" s="15"/>
      <c r="X612" s="14"/>
      <c r="Y612" s="14"/>
      <c r="Z612" s="15"/>
      <c r="AA612" s="3"/>
      <c r="AB612" s="3"/>
      <c r="AC612" s="3"/>
      <c r="AD612" s="3"/>
      <c r="AE612" s="3"/>
      <c r="AF612" s="3"/>
    </row>
    <row r="613" ht="15.75" customHeight="1">
      <c r="J613" s="15"/>
      <c r="K613" s="188"/>
      <c r="L613" s="15"/>
      <c r="M613" s="15"/>
      <c r="N613" s="15"/>
      <c r="O613" s="15"/>
      <c r="P613" s="15"/>
      <c r="Q613" s="15"/>
      <c r="R613" s="15"/>
      <c r="S613" s="15"/>
      <c r="T613" s="15"/>
      <c r="U613" s="15"/>
      <c r="V613" s="15"/>
      <c r="W613" s="15"/>
      <c r="X613" s="14"/>
      <c r="Y613" s="14"/>
      <c r="Z613" s="15"/>
      <c r="AA613" s="3"/>
      <c r="AB613" s="3"/>
      <c r="AC613" s="3"/>
      <c r="AD613" s="3"/>
      <c r="AE613" s="3"/>
      <c r="AF613" s="3"/>
    </row>
    <row r="614" ht="15.75" customHeight="1">
      <c r="J614" s="15"/>
      <c r="K614" s="188"/>
      <c r="L614" s="15"/>
      <c r="M614" s="15"/>
      <c r="N614" s="15"/>
      <c r="O614" s="15"/>
      <c r="P614" s="15"/>
      <c r="Q614" s="15"/>
      <c r="R614" s="15"/>
      <c r="S614" s="15"/>
      <c r="T614" s="15"/>
      <c r="U614" s="15"/>
      <c r="V614" s="15"/>
      <c r="W614" s="15"/>
      <c r="X614" s="14"/>
      <c r="Y614" s="14"/>
      <c r="Z614" s="15"/>
      <c r="AA614" s="3"/>
      <c r="AB614" s="3"/>
      <c r="AC614" s="3"/>
      <c r="AD614" s="3"/>
      <c r="AE614" s="3"/>
      <c r="AF614" s="3"/>
    </row>
    <row r="615" ht="15.75" customHeight="1">
      <c r="J615" s="15"/>
      <c r="K615" s="188"/>
      <c r="L615" s="15"/>
      <c r="M615" s="15"/>
      <c r="N615" s="15"/>
      <c r="O615" s="15"/>
      <c r="P615" s="15"/>
      <c r="Q615" s="15"/>
      <c r="R615" s="15"/>
      <c r="S615" s="15"/>
      <c r="T615" s="15"/>
      <c r="U615" s="15"/>
      <c r="V615" s="15"/>
      <c r="W615" s="15"/>
      <c r="X615" s="14"/>
      <c r="Y615" s="14"/>
      <c r="Z615" s="15"/>
      <c r="AA615" s="3"/>
      <c r="AB615" s="3"/>
      <c r="AC615" s="3"/>
      <c r="AD615" s="3"/>
      <c r="AE615" s="3"/>
      <c r="AF615" s="3"/>
    </row>
    <row r="616" ht="15.75" customHeight="1">
      <c r="J616" s="15"/>
      <c r="K616" s="188"/>
      <c r="L616" s="15"/>
      <c r="M616" s="15"/>
      <c r="N616" s="15"/>
      <c r="O616" s="15"/>
      <c r="P616" s="15"/>
      <c r="Q616" s="15"/>
      <c r="R616" s="15"/>
      <c r="S616" s="15"/>
      <c r="T616" s="15"/>
      <c r="U616" s="15"/>
      <c r="V616" s="15"/>
      <c r="W616" s="15"/>
      <c r="X616" s="14"/>
      <c r="Y616" s="14"/>
      <c r="Z616" s="15"/>
      <c r="AA616" s="3"/>
      <c r="AB616" s="3"/>
      <c r="AC616" s="3"/>
      <c r="AD616" s="3"/>
      <c r="AE616" s="3"/>
      <c r="AF616" s="3"/>
    </row>
    <row r="617" ht="15.75" customHeight="1">
      <c r="J617" s="15"/>
      <c r="K617" s="188"/>
      <c r="L617" s="15"/>
      <c r="M617" s="15"/>
      <c r="N617" s="15"/>
      <c r="O617" s="15"/>
      <c r="P617" s="15"/>
      <c r="Q617" s="15"/>
      <c r="R617" s="15"/>
      <c r="S617" s="15"/>
      <c r="T617" s="15"/>
      <c r="U617" s="15"/>
      <c r="V617" s="15"/>
      <c r="W617" s="15"/>
      <c r="X617" s="14"/>
      <c r="Y617" s="14"/>
      <c r="Z617" s="15"/>
      <c r="AA617" s="3"/>
      <c r="AB617" s="3"/>
      <c r="AC617" s="3"/>
      <c r="AD617" s="3"/>
      <c r="AE617" s="3"/>
      <c r="AF617" s="3"/>
    </row>
    <row r="618" ht="15.75" customHeight="1">
      <c r="J618" s="15"/>
      <c r="K618" s="188"/>
      <c r="L618" s="15"/>
      <c r="M618" s="15"/>
      <c r="N618" s="15"/>
      <c r="O618" s="15"/>
      <c r="P618" s="15"/>
      <c r="Q618" s="15"/>
      <c r="R618" s="15"/>
      <c r="S618" s="15"/>
      <c r="T618" s="15"/>
      <c r="U618" s="15"/>
      <c r="V618" s="15"/>
      <c r="W618" s="15"/>
      <c r="X618" s="14"/>
      <c r="Y618" s="14"/>
      <c r="Z618" s="15"/>
      <c r="AA618" s="3"/>
      <c r="AB618" s="3"/>
      <c r="AC618" s="3"/>
      <c r="AD618" s="3"/>
      <c r="AE618" s="3"/>
      <c r="AF618" s="3"/>
    </row>
    <row r="619" ht="15.75" customHeight="1">
      <c r="J619" s="15"/>
      <c r="K619" s="188"/>
      <c r="L619" s="15"/>
      <c r="M619" s="15"/>
      <c r="N619" s="15"/>
      <c r="O619" s="15"/>
      <c r="P619" s="15"/>
      <c r="Q619" s="15"/>
      <c r="R619" s="15"/>
      <c r="S619" s="15"/>
      <c r="T619" s="15"/>
      <c r="U619" s="15"/>
      <c r="V619" s="15"/>
      <c r="W619" s="15"/>
      <c r="X619" s="14"/>
      <c r="Y619" s="14"/>
      <c r="Z619" s="15"/>
      <c r="AA619" s="3"/>
      <c r="AB619" s="3"/>
      <c r="AC619" s="3"/>
      <c r="AD619" s="3"/>
      <c r="AE619" s="3"/>
      <c r="AF619" s="3"/>
    </row>
    <row r="620" ht="15.75" customHeight="1">
      <c r="J620" s="15"/>
      <c r="K620" s="188"/>
      <c r="L620" s="15"/>
      <c r="M620" s="15"/>
      <c r="N620" s="15"/>
      <c r="O620" s="15"/>
      <c r="P620" s="15"/>
      <c r="Q620" s="15"/>
      <c r="R620" s="15"/>
      <c r="S620" s="15"/>
      <c r="T620" s="15"/>
      <c r="U620" s="15"/>
      <c r="V620" s="15"/>
      <c r="W620" s="15"/>
      <c r="X620" s="14"/>
      <c r="Y620" s="14"/>
      <c r="Z620" s="15"/>
      <c r="AA620" s="3"/>
      <c r="AB620" s="3"/>
      <c r="AC620" s="3"/>
      <c r="AD620" s="3"/>
      <c r="AE620" s="3"/>
      <c r="AF620" s="3"/>
    </row>
    <row r="621" ht="15.75" customHeight="1">
      <c r="J621" s="15"/>
      <c r="K621" s="188"/>
      <c r="L621" s="15"/>
      <c r="M621" s="15"/>
      <c r="N621" s="15"/>
      <c r="O621" s="15"/>
      <c r="P621" s="15"/>
      <c r="Q621" s="15"/>
      <c r="R621" s="15"/>
      <c r="S621" s="15"/>
      <c r="T621" s="15"/>
      <c r="U621" s="15"/>
      <c r="V621" s="15"/>
      <c r="W621" s="15"/>
      <c r="X621" s="14"/>
      <c r="Y621" s="14"/>
      <c r="Z621" s="15"/>
      <c r="AA621" s="3"/>
      <c r="AB621" s="3"/>
      <c r="AC621" s="3"/>
      <c r="AD621" s="3"/>
      <c r="AE621" s="3"/>
      <c r="AF621" s="3"/>
    </row>
    <row r="622" ht="15.75" customHeight="1">
      <c r="J622" s="15"/>
      <c r="K622" s="188"/>
      <c r="L622" s="15"/>
      <c r="M622" s="15"/>
      <c r="N622" s="15"/>
      <c r="O622" s="15"/>
      <c r="P622" s="15"/>
      <c r="Q622" s="15"/>
      <c r="R622" s="15"/>
      <c r="S622" s="15"/>
      <c r="T622" s="15"/>
      <c r="U622" s="15"/>
      <c r="V622" s="15"/>
      <c r="W622" s="15"/>
      <c r="X622" s="14"/>
      <c r="Y622" s="14"/>
      <c r="Z622" s="15"/>
      <c r="AA622" s="3"/>
      <c r="AB622" s="3"/>
      <c r="AC622" s="3"/>
      <c r="AD622" s="3"/>
      <c r="AE622" s="3"/>
      <c r="AF622" s="3"/>
    </row>
    <row r="623" ht="15.75" customHeight="1">
      <c r="J623" s="15"/>
      <c r="K623" s="188"/>
      <c r="L623" s="15"/>
      <c r="M623" s="15"/>
      <c r="N623" s="15"/>
      <c r="O623" s="15"/>
      <c r="P623" s="15"/>
      <c r="Q623" s="15"/>
      <c r="R623" s="15"/>
      <c r="S623" s="15"/>
      <c r="T623" s="15"/>
      <c r="U623" s="15"/>
      <c r="V623" s="15"/>
      <c r="W623" s="15"/>
      <c r="X623" s="14"/>
      <c r="Y623" s="14"/>
      <c r="Z623" s="15"/>
      <c r="AA623" s="3"/>
      <c r="AB623" s="3"/>
      <c r="AC623" s="3"/>
      <c r="AD623" s="3"/>
      <c r="AE623" s="3"/>
      <c r="AF623" s="3"/>
    </row>
    <row r="624" ht="15.75" customHeight="1">
      <c r="J624" s="15"/>
      <c r="K624" s="188"/>
      <c r="L624" s="15"/>
      <c r="M624" s="15"/>
      <c r="N624" s="15"/>
      <c r="O624" s="15"/>
      <c r="P624" s="15"/>
      <c r="Q624" s="15"/>
      <c r="R624" s="15"/>
      <c r="S624" s="15"/>
      <c r="T624" s="15"/>
      <c r="U624" s="15"/>
      <c r="V624" s="15"/>
      <c r="W624" s="15"/>
      <c r="X624" s="14"/>
      <c r="Y624" s="14"/>
      <c r="Z624" s="15"/>
      <c r="AA624" s="3"/>
      <c r="AB624" s="3"/>
      <c r="AC624" s="3"/>
      <c r="AD624" s="3"/>
      <c r="AE624" s="3"/>
      <c r="AF624" s="3"/>
    </row>
    <row r="625" ht="15.75" customHeight="1">
      <c r="J625" s="15"/>
      <c r="K625" s="188"/>
      <c r="L625" s="15"/>
      <c r="M625" s="15"/>
      <c r="N625" s="15"/>
      <c r="O625" s="15"/>
      <c r="P625" s="15"/>
      <c r="Q625" s="15"/>
      <c r="R625" s="15"/>
      <c r="S625" s="15"/>
      <c r="T625" s="15"/>
      <c r="U625" s="15"/>
      <c r="V625" s="15"/>
      <c r="W625" s="15"/>
      <c r="X625" s="14"/>
      <c r="Y625" s="14"/>
      <c r="Z625" s="15"/>
      <c r="AA625" s="3"/>
      <c r="AB625" s="3"/>
      <c r="AC625" s="3"/>
      <c r="AD625" s="3"/>
      <c r="AE625" s="3"/>
      <c r="AF625" s="3"/>
    </row>
    <row r="626" ht="15.75" customHeight="1">
      <c r="J626" s="15"/>
      <c r="K626" s="188"/>
      <c r="L626" s="15"/>
      <c r="M626" s="15"/>
      <c r="N626" s="15"/>
      <c r="O626" s="15"/>
      <c r="P626" s="15"/>
      <c r="Q626" s="15"/>
      <c r="R626" s="15"/>
      <c r="S626" s="15"/>
      <c r="T626" s="15"/>
      <c r="U626" s="15"/>
      <c r="V626" s="15"/>
      <c r="W626" s="15"/>
      <c r="X626" s="14"/>
      <c r="Y626" s="14"/>
      <c r="Z626" s="15"/>
      <c r="AA626" s="3"/>
      <c r="AB626" s="3"/>
      <c r="AC626" s="3"/>
      <c r="AD626" s="3"/>
      <c r="AE626" s="3"/>
      <c r="AF626" s="3"/>
    </row>
    <row r="627" ht="15.75" customHeight="1">
      <c r="J627" s="15"/>
      <c r="K627" s="188"/>
      <c r="L627" s="15"/>
      <c r="M627" s="15"/>
      <c r="N627" s="15"/>
      <c r="O627" s="15"/>
      <c r="P627" s="15"/>
      <c r="Q627" s="15"/>
      <c r="R627" s="15"/>
      <c r="S627" s="15"/>
      <c r="T627" s="15"/>
      <c r="U627" s="15"/>
      <c r="V627" s="15"/>
      <c r="W627" s="15"/>
      <c r="X627" s="14"/>
      <c r="Y627" s="14"/>
      <c r="Z627" s="15"/>
      <c r="AA627" s="3"/>
      <c r="AB627" s="3"/>
      <c r="AC627" s="3"/>
      <c r="AD627" s="3"/>
      <c r="AE627" s="3"/>
      <c r="AF627" s="3"/>
    </row>
    <row r="628" ht="15.75" customHeight="1">
      <c r="J628" s="15"/>
      <c r="K628" s="188"/>
      <c r="L628" s="15"/>
      <c r="M628" s="15"/>
      <c r="N628" s="15"/>
      <c r="O628" s="15"/>
      <c r="P628" s="15"/>
      <c r="Q628" s="15"/>
      <c r="R628" s="15"/>
      <c r="S628" s="15"/>
      <c r="T628" s="15"/>
      <c r="U628" s="15"/>
      <c r="V628" s="15"/>
      <c r="W628" s="15"/>
      <c r="X628" s="14"/>
      <c r="Y628" s="14"/>
      <c r="Z628" s="15"/>
      <c r="AA628" s="3"/>
      <c r="AB628" s="3"/>
      <c r="AC628" s="3"/>
      <c r="AD628" s="3"/>
      <c r="AE628" s="3"/>
      <c r="AF628" s="3"/>
    </row>
    <row r="629" ht="15.75" customHeight="1">
      <c r="J629" s="15"/>
      <c r="K629" s="188"/>
      <c r="L629" s="15"/>
      <c r="M629" s="15"/>
      <c r="N629" s="15"/>
      <c r="O629" s="15"/>
      <c r="P629" s="15"/>
      <c r="Q629" s="15"/>
      <c r="R629" s="15"/>
      <c r="S629" s="15"/>
      <c r="T629" s="15"/>
      <c r="U629" s="15"/>
      <c r="V629" s="15"/>
      <c r="W629" s="15"/>
      <c r="X629" s="14"/>
      <c r="Y629" s="14"/>
      <c r="Z629" s="15"/>
      <c r="AA629" s="3"/>
      <c r="AB629" s="3"/>
      <c r="AC629" s="3"/>
      <c r="AD629" s="3"/>
      <c r="AE629" s="3"/>
      <c r="AF629" s="3"/>
    </row>
    <row r="630" ht="15.75" customHeight="1">
      <c r="J630" s="15"/>
      <c r="K630" s="188"/>
      <c r="L630" s="15"/>
      <c r="M630" s="15"/>
      <c r="N630" s="15"/>
      <c r="O630" s="15"/>
      <c r="P630" s="15"/>
      <c r="Q630" s="15"/>
      <c r="R630" s="15"/>
      <c r="S630" s="15"/>
      <c r="T630" s="15"/>
      <c r="U630" s="15"/>
      <c r="V630" s="15"/>
      <c r="W630" s="15"/>
      <c r="X630" s="14"/>
      <c r="Y630" s="14"/>
      <c r="Z630" s="15"/>
      <c r="AA630" s="3"/>
      <c r="AB630" s="3"/>
      <c r="AC630" s="3"/>
      <c r="AD630" s="3"/>
      <c r="AE630" s="3"/>
      <c r="AF630" s="3"/>
    </row>
    <row r="631" ht="15.75" customHeight="1">
      <c r="J631" s="15"/>
      <c r="K631" s="188"/>
      <c r="L631" s="15"/>
      <c r="M631" s="15"/>
      <c r="N631" s="15"/>
      <c r="O631" s="15"/>
      <c r="P631" s="15"/>
      <c r="Q631" s="15"/>
      <c r="R631" s="15"/>
      <c r="S631" s="15"/>
      <c r="T631" s="15"/>
      <c r="U631" s="15"/>
      <c r="V631" s="15"/>
      <c r="W631" s="15"/>
      <c r="X631" s="14"/>
      <c r="Y631" s="14"/>
      <c r="Z631" s="15"/>
      <c r="AA631" s="3"/>
      <c r="AB631" s="3"/>
      <c r="AC631" s="3"/>
      <c r="AD631" s="3"/>
      <c r="AE631" s="3"/>
      <c r="AF631" s="3"/>
    </row>
    <row r="632" ht="15.75" customHeight="1">
      <c r="J632" s="15"/>
      <c r="K632" s="188"/>
      <c r="L632" s="15"/>
      <c r="M632" s="15"/>
      <c r="N632" s="15"/>
      <c r="O632" s="15"/>
      <c r="P632" s="15"/>
      <c r="Q632" s="15"/>
      <c r="R632" s="15"/>
      <c r="S632" s="15"/>
      <c r="T632" s="15"/>
      <c r="U632" s="15"/>
      <c r="V632" s="15"/>
      <c r="W632" s="15"/>
      <c r="X632" s="14"/>
      <c r="Y632" s="14"/>
      <c r="Z632" s="15"/>
      <c r="AA632" s="3"/>
      <c r="AB632" s="3"/>
      <c r="AC632" s="3"/>
      <c r="AD632" s="3"/>
      <c r="AE632" s="3"/>
      <c r="AF632" s="3"/>
    </row>
    <row r="633" ht="15.75" customHeight="1">
      <c r="J633" s="15"/>
      <c r="K633" s="188"/>
      <c r="L633" s="15"/>
      <c r="M633" s="15"/>
      <c r="N633" s="15"/>
      <c r="O633" s="15"/>
      <c r="P633" s="15"/>
      <c r="Q633" s="15"/>
      <c r="R633" s="15"/>
      <c r="S633" s="15"/>
      <c r="T633" s="15"/>
      <c r="U633" s="15"/>
      <c r="V633" s="15"/>
      <c r="W633" s="15"/>
      <c r="X633" s="14"/>
      <c r="Y633" s="14"/>
      <c r="Z633" s="15"/>
      <c r="AA633" s="3"/>
      <c r="AB633" s="3"/>
      <c r="AC633" s="3"/>
      <c r="AD633" s="3"/>
      <c r="AE633" s="3"/>
      <c r="AF633" s="3"/>
    </row>
    <row r="634" ht="15.75" customHeight="1">
      <c r="J634" s="15"/>
      <c r="K634" s="188"/>
      <c r="L634" s="15"/>
      <c r="M634" s="15"/>
      <c r="N634" s="15"/>
      <c r="O634" s="15"/>
      <c r="P634" s="15"/>
      <c r="Q634" s="15"/>
      <c r="R634" s="15"/>
      <c r="S634" s="15"/>
      <c r="T634" s="15"/>
      <c r="U634" s="15"/>
      <c r="V634" s="15"/>
      <c r="W634" s="15"/>
      <c r="X634" s="14"/>
      <c r="Y634" s="14"/>
      <c r="Z634" s="15"/>
      <c r="AA634" s="3"/>
      <c r="AB634" s="3"/>
      <c r="AC634" s="3"/>
      <c r="AD634" s="3"/>
      <c r="AE634" s="3"/>
      <c r="AF634" s="3"/>
    </row>
    <row r="635" ht="15.75" customHeight="1">
      <c r="J635" s="15"/>
      <c r="K635" s="188"/>
      <c r="L635" s="15"/>
      <c r="M635" s="15"/>
      <c r="N635" s="15"/>
      <c r="O635" s="15"/>
      <c r="P635" s="15"/>
      <c r="Q635" s="15"/>
      <c r="R635" s="15"/>
      <c r="S635" s="15"/>
      <c r="T635" s="15"/>
      <c r="U635" s="15"/>
      <c r="V635" s="15"/>
      <c r="W635" s="15"/>
      <c r="X635" s="14"/>
      <c r="Y635" s="14"/>
      <c r="Z635" s="15"/>
      <c r="AA635" s="3"/>
      <c r="AB635" s="3"/>
      <c r="AC635" s="3"/>
      <c r="AD635" s="3"/>
      <c r="AE635" s="3"/>
      <c r="AF635" s="3"/>
    </row>
    <row r="636" ht="15.75" customHeight="1">
      <c r="J636" s="15"/>
      <c r="K636" s="188"/>
      <c r="L636" s="15"/>
      <c r="M636" s="15"/>
      <c r="N636" s="15"/>
      <c r="O636" s="15"/>
      <c r="P636" s="15"/>
      <c r="Q636" s="15"/>
      <c r="R636" s="15"/>
      <c r="S636" s="15"/>
      <c r="T636" s="15"/>
      <c r="U636" s="15"/>
      <c r="V636" s="15"/>
      <c r="W636" s="15"/>
      <c r="X636" s="14"/>
      <c r="Y636" s="14"/>
      <c r="Z636" s="15"/>
      <c r="AA636" s="3"/>
      <c r="AB636" s="3"/>
      <c r="AC636" s="3"/>
      <c r="AD636" s="3"/>
      <c r="AE636" s="3"/>
      <c r="AF636" s="3"/>
    </row>
    <row r="637" ht="15.75" customHeight="1">
      <c r="J637" s="15"/>
      <c r="K637" s="188"/>
      <c r="L637" s="15"/>
      <c r="M637" s="15"/>
      <c r="N637" s="15"/>
      <c r="O637" s="15"/>
      <c r="P637" s="15"/>
      <c r="Q637" s="15"/>
      <c r="R637" s="15"/>
      <c r="S637" s="15"/>
      <c r="T637" s="15"/>
      <c r="U637" s="15"/>
      <c r="V637" s="15"/>
      <c r="W637" s="15"/>
      <c r="X637" s="14"/>
      <c r="Y637" s="14"/>
      <c r="Z637" s="15"/>
      <c r="AA637" s="3"/>
      <c r="AB637" s="3"/>
      <c r="AC637" s="3"/>
      <c r="AD637" s="3"/>
      <c r="AE637" s="3"/>
      <c r="AF637" s="3"/>
    </row>
    <row r="638" ht="15.75" customHeight="1">
      <c r="J638" s="15"/>
      <c r="K638" s="188"/>
      <c r="L638" s="15"/>
      <c r="M638" s="15"/>
      <c r="N638" s="15"/>
      <c r="O638" s="15"/>
      <c r="P638" s="15"/>
      <c r="Q638" s="15"/>
      <c r="R638" s="15"/>
      <c r="S638" s="15"/>
      <c r="T638" s="15"/>
      <c r="U638" s="15"/>
      <c r="V638" s="15"/>
      <c r="W638" s="15"/>
      <c r="X638" s="14"/>
      <c r="Y638" s="14"/>
      <c r="Z638" s="15"/>
      <c r="AA638" s="3"/>
      <c r="AB638" s="3"/>
      <c r="AC638" s="3"/>
      <c r="AD638" s="3"/>
      <c r="AE638" s="3"/>
      <c r="AF638" s="3"/>
    </row>
    <row r="639" ht="15.75" customHeight="1">
      <c r="J639" s="15"/>
      <c r="K639" s="188"/>
      <c r="L639" s="15"/>
      <c r="M639" s="15"/>
      <c r="N639" s="15"/>
      <c r="O639" s="15"/>
      <c r="P639" s="15"/>
      <c r="Q639" s="15"/>
      <c r="R639" s="15"/>
      <c r="S639" s="15"/>
      <c r="T639" s="15"/>
      <c r="U639" s="15"/>
      <c r="V639" s="15"/>
      <c r="W639" s="15"/>
      <c r="X639" s="14"/>
      <c r="Y639" s="14"/>
      <c r="Z639" s="15"/>
      <c r="AA639" s="3"/>
      <c r="AB639" s="3"/>
      <c r="AC639" s="3"/>
      <c r="AD639" s="3"/>
      <c r="AE639" s="3"/>
      <c r="AF639" s="3"/>
    </row>
    <row r="640" ht="15.75" customHeight="1">
      <c r="J640" s="15"/>
      <c r="K640" s="188"/>
      <c r="L640" s="15"/>
      <c r="M640" s="15"/>
      <c r="N640" s="15"/>
      <c r="O640" s="15"/>
      <c r="P640" s="15"/>
      <c r="Q640" s="15"/>
      <c r="R640" s="15"/>
      <c r="S640" s="15"/>
      <c r="T640" s="15"/>
      <c r="U640" s="15"/>
      <c r="V640" s="15"/>
      <c r="W640" s="15"/>
      <c r="X640" s="14"/>
      <c r="Y640" s="14"/>
      <c r="Z640" s="15"/>
      <c r="AA640" s="3"/>
      <c r="AB640" s="3"/>
      <c r="AC640" s="3"/>
      <c r="AD640" s="3"/>
      <c r="AE640" s="3"/>
      <c r="AF640" s="3"/>
    </row>
    <row r="641" ht="15.75" customHeight="1">
      <c r="J641" s="15"/>
      <c r="K641" s="188"/>
      <c r="L641" s="15"/>
      <c r="M641" s="15"/>
      <c r="N641" s="15"/>
      <c r="O641" s="15"/>
      <c r="P641" s="15"/>
      <c r="Q641" s="15"/>
      <c r="R641" s="15"/>
      <c r="S641" s="15"/>
      <c r="T641" s="15"/>
      <c r="U641" s="15"/>
      <c r="V641" s="15"/>
      <c r="W641" s="15"/>
      <c r="X641" s="14"/>
      <c r="Y641" s="14"/>
      <c r="Z641" s="15"/>
      <c r="AA641" s="3"/>
      <c r="AB641" s="3"/>
      <c r="AC641" s="3"/>
      <c r="AD641" s="3"/>
      <c r="AE641" s="3"/>
      <c r="AF641" s="3"/>
    </row>
    <row r="642" ht="15.75" customHeight="1">
      <c r="J642" s="15"/>
      <c r="K642" s="188"/>
      <c r="L642" s="15"/>
      <c r="M642" s="15"/>
      <c r="N642" s="15"/>
      <c r="O642" s="15"/>
      <c r="P642" s="15"/>
      <c r="Q642" s="15"/>
      <c r="R642" s="15"/>
      <c r="S642" s="15"/>
      <c r="T642" s="15"/>
      <c r="U642" s="15"/>
      <c r="V642" s="15"/>
      <c r="W642" s="15"/>
      <c r="X642" s="14"/>
      <c r="Y642" s="14"/>
      <c r="Z642" s="15"/>
      <c r="AA642" s="3"/>
      <c r="AB642" s="3"/>
      <c r="AC642" s="3"/>
      <c r="AD642" s="3"/>
      <c r="AE642" s="3"/>
      <c r="AF642" s="3"/>
    </row>
    <row r="643" ht="15.75" customHeight="1">
      <c r="J643" s="15"/>
      <c r="K643" s="188"/>
      <c r="L643" s="15"/>
      <c r="M643" s="15"/>
      <c r="N643" s="15"/>
      <c r="O643" s="15"/>
      <c r="P643" s="15"/>
      <c r="Q643" s="15"/>
      <c r="R643" s="15"/>
      <c r="S643" s="15"/>
      <c r="T643" s="15"/>
      <c r="U643" s="15"/>
      <c r="V643" s="15"/>
      <c r="W643" s="15"/>
      <c r="X643" s="14"/>
      <c r="Y643" s="14"/>
      <c r="Z643" s="15"/>
      <c r="AA643" s="3"/>
      <c r="AB643" s="3"/>
      <c r="AC643" s="3"/>
      <c r="AD643" s="3"/>
      <c r="AE643" s="3"/>
      <c r="AF643" s="3"/>
    </row>
    <row r="644" ht="15.75" customHeight="1">
      <c r="J644" s="15"/>
      <c r="K644" s="188"/>
      <c r="L644" s="15"/>
      <c r="M644" s="15"/>
      <c r="N644" s="15"/>
      <c r="O644" s="15"/>
      <c r="P644" s="15"/>
      <c r="Q644" s="15"/>
      <c r="R644" s="15"/>
      <c r="S644" s="15"/>
      <c r="T644" s="15"/>
      <c r="U644" s="15"/>
      <c r="V644" s="15"/>
      <c r="W644" s="15"/>
      <c r="X644" s="14"/>
      <c r="Y644" s="14"/>
      <c r="Z644" s="15"/>
      <c r="AA644" s="3"/>
      <c r="AB644" s="3"/>
      <c r="AC644" s="3"/>
      <c r="AD644" s="3"/>
      <c r="AE644" s="3"/>
      <c r="AF644" s="3"/>
    </row>
    <row r="645" ht="15.75" customHeight="1">
      <c r="J645" s="15"/>
      <c r="K645" s="188"/>
      <c r="L645" s="15"/>
      <c r="M645" s="15"/>
      <c r="N645" s="15"/>
      <c r="O645" s="15"/>
      <c r="P645" s="15"/>
      <c r="Q645" s="15"/>
      <c r="R645" s="15"/>
      <c r="S645" s="15"/>
      <c r="T645" s="15"/>
      <c r="U645" s="15"/>
      <c r="V645" s="15"/>
      <c r="W645" s="15"/>
      <c r="X645" s="14"/>
      <c r="Y645" s="14"/>
      <c r="Z645" s="15"/>
      <c r="AA645" s="3"/>
      <c r="AB645" s="3"/>
      <c r="AC645" s="3"/>
      <c r="AD645" s="3"/>
      <c r="AE645" s="3"/>
      <c r="AF645" s="3"/>
    </row>
    <row r="646" ht="15.75" customHeight="1">
      <c r="J646" s="15"/>
      <c r="K646" s="188"/>
      <c r="L646" s="15"/>
      <c r="M646" s="15"/>
      <c r="N646" s="15"/>
      <c r="O646" s="15"/>
      <c r="P646" s="15"/>
      <c r="Q646" s="15"/>
      <c r="R646" s="15"/>
      <c r="S646" s="15"/>
      <c r="T646" s="15"/>
      <c r="U646" s="15"/>
      <c r="V646" s="15"/>
      <c r="W646" s="15"/>
      <c r="X646" s="14"/>
      <c r="Y646" s="14"/>
      <c r="Z646" s="15"/>
      <c r="AA646" s="3"/>
      <c r="AB646" s="3"/>
      <c r="AC646" s="3"/>
      <c r="AD646" s="3"/>
      <c r="AE646" s="3"/>
      <c r="AF646" s="3"/>
    </row>
    <row r="647" ht="15.75" customHeight="1">
      <c r="J647" s="15"/>
      <c r="K647" s="188"/>
      <c r="L647" s="15"/>
      <c r="M647" s="15"/>
      <c r="N647" s="15"/>
      <c r="O647" s="15"/>
      <c r="P647" s="15"/>
      <c r="Q647" s="15"/>
      <c r="R647" s="15"/>
      <c r="S647" s="15"/>
      <c r="T647" s="15"/>
      <c r="U647" s="15"/>
      <c r="V647" s="15"/>
      <c r="W647" s="15"/>
      <c r="X647" s="14"/>
      <c r="Y647" s="14"/>
      <c r="Z647" s="15"/>
      <c r="AA647" s="3"/>
      <c r="AB647" s="3"/>
      <c r="AC647" s="3"/>
      <c r="AD647" s="3"/>
      <c r="AE647" s="3"/>
      <c r="AF647" s="3"/>
    </row>
    <row r="648" ht="15.75" customHeight="1">
      <c r="J648" s="15"/>
      <c r="K648" s="188"/>
      <c r="L648" s="15"/>
      <c r="M648" s="15"/>
      <c r="N648" s="15"/>
      <c r="O648" s="15"/>
      <c r="P648" s="15"/>
      <c r="Q648" s="15"/>
      <c r="R648" s="15"/>
      <c r="S648" s="15"/>
      <c r="T648" s="15"/>
      <c r="U648" s="15"/>
      <c r="V648" s="15"/>
      <c r="W648" s="15"/>
      <c r="X648" s="14"/>
      <c r="Y648" s="14"/>
      <c r="Z648" s="15"/>
      <c r="AA648" s="3"/>
      <c r="AB648" s="3"/>
      <c r="AC648" s="3"/>
      <c r="AD648" s="3"/>
      <c r="AE648" s="3"/>
      <c r="AF648" s="3"/>
    </row>
    <row r="649" ht="15.75" customHeight="1">
      <c r="J649" s="15"/>
      <c r="K649" s="188"/>
      <c r="L649" s="15"/>
      <c r="M649" s="15"/>
      <c r="N649" s="15"/>
      <c r="O649" s="15"/>
      <c r="P649" s="15"/>
      <c r="Q649" s="15"/>
      <c r="R649" s="15"/>
      <c r="S649" s="15"/>
      <c r="T649" s="15"/>
      <c r="U649" s="15"/>
      <c r="V649" s="15"/>
      <c r="W649" s="15"/>
      <c r="X649" s="14"/>
      <c r="Y649" s="14"/>
      <c r="Z649" s="15"/>
      <c r="AA649" s="3"/>
      <c r="AB649" s="3"/>
      <c r="AC649" s="3"/>
      <c r="AD649" s="3"/>
      <c r="AE649" s="3"/>
      <c r="AF649" s="3"/>
    </row>
    <row r="650" ht="15.75" customHeight="1">
      <c r="J650" s="15"/>
      <c r="K650" s="188"/>
      <c r="L650" s="15"/>
      <c r="M650" s="15"/>
      <c r="N650" s="15"/>
      <c r="O650" s="15"/>
      <c r="P650" s="15"/>
      <c r="Q650" s="15"/>
      <c r="R650" s="15"/>
      <c r="S650" s="15"/>
      <c r="T650" s="15"/>
      <c r="U650" s="15"/>
      <c r="V650" s="15"/>
      <c r="W650" s="15"/>
      <c r="X650" s="14"/>
      <c r="Y650" s="14"/>
      <c r="Z650" s="15"/>
      <c r="AA650" s="3"/>
      <c r="AB650" s="3"/>
      <c r="AC650" s="3"/>
      <c r="AD650" s="3"/>
      <c r="AE650" s="3"/>
      <c r="AF650" s="3"/>
    </row>
    <row r="651" ht="15.75" customHeight="1">
      <c r="J651" s="15"/>
      <c r="K651" s="188"/>
      <c r="L651" s="15"/>
      <c r="M651" s="15"/>
      <c r="N651" s="15"/>
      <c r="O651" s="15"/>
      <c r="P651" s="15"/>
      <c r="Q651" s="15"/>
      <c r="R651" s="15"/>
      <c r="S651" s="15"/>
      <c r="T651" s="15"/>
      <c r="U651" s="15"/>
      <c r="V651" s="15"/>
      <c r="W651" s="15"/>
      <c r="X651" s="14"/>
      <c r="Y651" s="14"/>
      <c r="Z651" s="15"/>
      <c r="AA651" s="3"/>
      <c r="AB651" s="3"/>
      <c r="AC651" s="3"/>
      <c r="AD651" s="3"/>
      <c r="AE651" s="3"/>
      <c r="AF651" s="3"/>
    </row>
    <row r="652" ht="15.75" customHeight="1">
      <c r="J652" s="15"/>
      <c r="K652" s="188"/>
      <c r="L652" s="15"/>
      <c r="M652" s="15"/>
      <c r="N652" s="15"/>
      <c r="O652" s="15"/>
      <c r="P652" s="15"/>
      <c r="Q652" s="15"/>
      <c r="R652" s="15"/>
      <c r="S652" s="15"/>
      <c r="T652" s="15"/>
      <c r="U652" s="15"/>
      <c r="V652" s="15"/>
      <c r="W652" s="15"/>
      <c r="X652" s="14"/>
      <c r="Y652" s="14"/>
      <c r="Z652" s="15"/>
      <c r="AA652" s="3"/>
      <c r="AB652" s="3"/>
      <c r="AC652" s="3"/>
      <c r="AD652" s="3"/>
      <c r="AE652" s="3"/>
      <c r="AF652" s="3"/>
    </row>
    <row r="653" ht="15.75" customHeight="1">
      <c r="J653" s="15"/>
      <c r="K653" s="188"/>
      <c r="L653" s="15"/>
      <c r="M653" s="15"/>
      <c r="N653" s="15"/>
      <c r="O653" s="15"/>
      <c r="P653" s="15"/>
      <c r="Q653" s="15"/>
      <c r="R653" s="15"/>
      <c r="S653" s="15"/>
      <c r="T653" s="15"/>
      <c r="U653" s="15"/>
      <c r="V653" s="15"/>
      <c r="W653" s="15"/>
      <c r="X653" s="14"/>
      <c r="Y653" s="14"/>
      <c r="Z653" s="15"/>
      <c r="AA653" s="3"/>
      <c r="AB653" s="3"/>
      <c r="AC653" s="3"/>
      <c r="AD653" s="3"/>
      <c r="AE653" s="3"/>
      <c r="AF653" s="3"/>
    </row>
    <row r="654" ht="15.75" customHeight="1">
      <c r="J654" s="15"/>
      <c r="K654" s="188"/>
      <c r="L654" s="15"/>
      <c r="M654" s="15"/>
      <c r="N654" s="15"/>
      <c r="O654" s="15"/>
      <c r="P654" s="15"/>
      <c r="Q654" s="15"/>
      <c r="R654" s="15"/>
      <c r="S654" s="15"/>
      <c r="T654" s="15"/>
      <c r="U654" s="15"/>
      <c r="V654" s="15"/>
      <c r="W654" s="15"/>
      <c r="X654" s="14"/>
      <c r="Y654" s="14"/>
      <c r="Z654" s="15"/>
      <c r="AA654" s="3"/>
      <c r="AB654" s="3"/>
      <c r="AC654" s="3"/>
      <c r="AD654" s="3"/>
      <c r="AE654" s="3"/>
      <c r="AF654" s="3"/>
    </row>
    <row r="655" ht="15.75" customHeight="1">
      <c r="J655" s="15"/>
      <c r="K655" s="188"/>
      <c r="L655" s="15"/>
      <c r="M655" s="15"/>
      <c r="N655" s="15"/>
      <c r="O655" s="15"/>
      <c r="P655" s="15"/>
      <c r="Q655" s="15"/>
      <c r="R655" s="15"/>
      <c r="S655" s="15"/>
      <c r="T655" s="15"/>
      <c r="U655" s="15"/>
      <c r="V655" s="15"/>
      <c r="W655" s="15"/>
      <c r="X655" s="14"/>
      <c r="Y655" s="14"/>
      <c r="Z655" s="15"/>
      <c r="AA655" s="3"/>
      <c r="AB655" s="3"/>
      <c r="AC655" s="3"/>
      <c r="AD655" s="3"/>
      <c r="AE655" s="3"/>
      <c r="AF655" s="3"/>
    </row>
    <row r="656" ht="15.75" customHeight="1">
      <c r="J656" s="15"/>
      <c r="K656" s="188"/>
      <c r="L656" s="15"/>
      <c r="M656" s="15"/>
      <c r="N656" s="15"/>
      <c r="O656" s="15"/>
      <c r="P656" s="15"/>
      <c r="Q656" s="15"/>
      <c r="R656" s="15"/>
      <c r="S656" s="15"/>
      <c r="T656" s="15"/>
      <c r="U656" s="15"/>
      <c r="V656" s="15"/>
      <c r="W656" s="15"/>
      <c r="X656" s="14"/>
      <c r="Y656" s="14"/>
      <c r="Z656" s="15"/>
      <c r="AA656" s="3"/>
      <c r="AB656" s="3"/>
      <c r="AC656" s="3"/>
      <c r="AD656" s="3"/>
      <c r="AE656" s="3"/>
      <c r="AF656" s="3"/>
    </row>
    <row r="657" ht="15.75" customHeight="1">
      <c r="J657" s="15"/>
      <c r="K657" s="188"/>
      <c r="L657" s="15"/>
      <c r="M657" s="15"/>
      <c r="N657" s="15"/>
      <c r="O657" s="15"/>
      <c r="P657" s="15"/>
      <c r="Q657" s="15"/>
      <c r="R657" s="15"/>
      <c r="S657" s="15"/>
      <c r="T657" s="15"/>
      <c r="U657" s="15"/>
      <c r="V657" s="15"/>
      <c r="W657" s="15"/>
      <c r="X657" s="14"/>
      <c r="Y657" s="14"/>
      <c r="Z657" s="15"/>
      <c r="AA657" s="3"/>
      <c r="AB657" s="3"/>
      <c r="AC657" s="3"/>
      <c r="AD657" s="3"/>
      <c r="AE657" s="3"/>
      <c r="AF657" s="3"/>
    </row>
    <row r="658" ht="15.75" customHeight="1">
      <c r="J658" s="15"/>
      <c r="K658" s="188"/>
      <c r="L658" s="15"/>
      <c r="M658" s="15"/>
      <c r="N658" s="15"/>
      <c r="O658" s="15"/>
      <c r="P658" s="15"/>
      <c r="Q658" s="15"/>
      <c r="R658" s="15"/>
      <c r="S658" s="15"/>
      <c r="T658" s="15"/>
      <c r="U658" s="15"/>
      <c r="V658" s="15"/>
      <c r="W658" s="15"/>
      <c r="X658" s="14"/>
      <c r="Y658" s="14"/>
      <c r="Z658" s="15"/>
      <c r="AA658" s="3"/>
      <c r="AB658" s="3"/>
      <c r="AC658" s="3"/>
      <c r="AD658" s="3"/>
      <c r="AE658" s="3"/>
      <c r="AF658" s="3"/>
    </row>
    <row r="659" ht="15.75" customHeight="1">
      <c r="J659" s="15"/>
      <c r="K659" s="188"/>
      <c r="L659" s="15"/>
      <c r="M659" s="15"/>
      <c r="N659" s="15"/>
      <c r="O659" s="15"/>
      <c r="P659" s="15"/>
      <c r="Q659" s="15"/>
      <c r="R659" s="15"/>
      <c r="S659" s="15"/>
      <c r="T659" s="15"/>
      <c r="U659" s="15"/>
      <c r="V659" s="15"/>
      <c r="W659" s="15"/>
      <c r="X659" s="14"/>
      <c r="Y659" s="14"/>
      <c r="Z659" s="15"/>
      <c r="AA659" s="3"/>
      <c r="AB659" s="3"/>
      <c r="AC659" s="3"/>
      <c r="AD659" s="3"/>
      <c r="AE659" s="3"/>
      <c r="AF659" s="3"/>
    </row>
    <row r="660" ht="15.75" customHeight="1">
      <c r="J660" s="15"/>
      <c r="K660" s="188"/>
      <c r="L660" s="15"/>
      <c r="M660" s="15"/>
      <c r="N660" s="15"/>
      <c r="O660" s="15"/>
      <c r="P660" s="15"/>
      <c r="Q660" s="15"/>
      <c r="R660" s="15"/>
      <c r="S660" s="15"/>
      <c r="T660" s="15"/>
      <c r="U660" s="15"/>
      <c r="V660" s="15"/>
      <c r="W660" s="15"/>
      <c r="X660" s="14"/>
      <c r="Y660" s="14"/>
      <c r="Z660" s="15"/>
      <c r="AA660" s="3"/>
      <c r="AB660" s="3"/>
      <c r="AC660" s="3"/>
      <c r="AD660" s="3"/>
      <c r="AE660" s="3"/>
      <c r="AF660" s="3"/>
    </row>
    <row r="661" ht="15.75" customHeight="1">
      <c r="J661" s="15"/>
      <c r="K661" s="188"/>
      <c r="L661" s="15"/>
      <c r="M661" s="15"/>
      <c r="N661" s="15"/>
      <c r="O661" s="15"/>
      <c r="P661" s="15"/>
      <c r="Q661" s="15"/>
      <c r="R661" s="15"/>
      <c r="S661" s="15"/>
      <c r="T661" s="15"/>
      <c r="U661" s="15"/>
      <c r="V661" s="15"/>
      <c r="W661" s="15"/>
      <c r="X661" s="14"/>
      <c r="Y661" s="14"/>
      <c r="Z661" s="15"/>
      <c r="AA661" s="3"/>
      <c r="AB661" s="3"/>
      <c r="AC661" s="3"/>
      <c r="AD661" s="3"/>
      <c r="AE661" s="3"/>
      <c r="AF661" s="3"/>
    </row>
    <row r="662" ht="15.75" customHeight="1">
      <c r="J662" s="15"/>
      <c r="K662" s="188"/>
      <c r="L662" s="15"/>
      <c r="M662" s="15"/>
      <c r="N662" s="15"/>
      <c r="O662" s="15"/>
      <c r="P662" s="15"/>
      <c r="Q662" s="15"/>
      <c r="R662" s="15"/>
      <c r="S662" s="15"/>
      <c r="T662" s="15"/>
      <c r="U662" s="15"/>
      <c r="V662" s="15"/>
      <c r="W662" s="15"/>
      <c r="X662" s="14"/>
      <c r="Y662" s="14"/>
      <c r="Z662" s="15"/>
      <c r="AA662" s="3"/>
      <c r="AB662" s="3"/>
      <c r="AC662" s="3"/>
      <c r="AD662" s="3"/>
      <c r="AE662" s="3"/>
      <c r="AF662" s="3"/>
    </row>
    <row r="663" ht="15.75" customHeight="1">
      <c r="J663" s="15"/>
      <c r="K663" s="188"/>
      <c r="L663" s="15"/>
      <c r="M663" s="15"/>
      <c r="N663" s="15"/>
      <c r="O663" s="15"/>
      <c r="P663" s="15"/>
      <c r="Q663" s="15"/>
      <c r="R663" s="15"/>
      <c r="S663" s="15"/>
      <c r="T663" s="15"/>
      <c r="U663" s="15"/>
      <c r="V663" s="15"/>
      <c r="W663" s="15"/>
      <c r="X663" s="14"/>
      <c r="Y663" s="14"/>
      <c r="Z663" s="15"/>
      <c r="AA663" s="3"/>
      <c r="AB663" s="3"/>
      <c r="AC663" s="3"/>
      <c r="AD663" s="3"/>
      <c r="AE663" s="3"/>
      <c r="AF663" s="3"/>
    </row>
    <row r="664" ht="15.75" customHeight="1">
      <c r="J664" s="15"/>
      <c r="K664" s="188"/>
      <c r="L664" s="15"/>
      <c r="M664" s="15"/>
      <c r="N664" s="15"/>
      <c r="O664" s="15"/>
      <c r="P664" s="15"/>
      <c r="Q664" s="15"/>
      <c r="R664" s="15"/>
      <c r="S664" s="15"/>
      <c r="T664" s="15"/>
      <c r="U664" s="15"/>
      <c r="V664" s="15"/>
      <c r="W664" s="15"/>
      <c r="X664" s="14"/>
      <c r="Y664" s="14"/>
      <c r="Z664" s="15"/>
      <c r="AA664" s="3"/>
      <c r="AB664" s="3"/>
      <c r="AC664" s="3"/>
      <c r="AD664" s="3"/>
      <c r="AE664" s="3"/>
      <c r="AF664" s="3"/>
    </row>
    <row r="665" ht="15.75" customHeight="1">
      <c r="J665" s="15"/>
      <c r="K665" s="188"/>
      <c r="L665" s="15"/>
      <c r="M665" s="15"/>
      <c r="N665" s="15"/>
      <c r="O665" s="15"/>
      <c r="P665" s="15"/>
      <c r="Q665" s="15"/>
      <c r="R665" s="15"/>
      <c r="S665" s="15"/>
      <c r="T665" s="15"/>
      <c r="U665" s="15"/>
      <c r="V665" s="15"/>
      <c r="W665" s="15"/>
      <c r="X665" s="14"/>
      <c r="Y665" s="14"/>
      <c r="Z665" s="15"/>
      <c r="AA665" s="3"/>
      <c r="AB665" s="3"/>
      <c r="AC665" s="3"/>
      <c r="AD665" s="3"/>
      <c r="AE665" s="3"/>
      <c r="AF665" s="3"/>
    </row>
    <row r="666" ht="15.75" customHeight="1">
      <c r="J666" s="15"/>
      <c r="K666" s="188"/>
      <c r="L666" s="15"/>
      <c r="M666" s="15"/>
      <c r="N666" s="15"/>
      <c r="O666" s="15"/>
      <c r="P666" s="15"/>
      <c r="Q666" s="15"/>
      <c r="R666" s="15"/>
      <c r="S666" s="15"/>
      <c r="T666" s="15"/>
      <c r="U666" s="15"/>
      <c r="V666" s="15"/>
      <c r="W666" s="15"/>
      <c r="X666" s="14"/>
      <c r="Y666" s="14"/>
      <c r="Z666" s="15"/>
      <c r="AA666" s="3"/>
      <c r="AB666" s="3"/>
      <c r="AC666" s="3"/>
      <c r="AD666" s="3"/>
      <c r="AE666" s="3"/>
      <c r="AF666" s="3"/>
    </row>
    <row r="667" ht="15.75" customHeight="1">
      <c r="J667" s="15"/>
      <c r="K667" s="188"/>
      <c r="L667" s="15"/>
      <c r="M667" s="15"/>
      <c r="N667" s="15"/>
      <c r="O667" s="15"/>
      <c r="P667" s="15"/>
      <c r="Q667" s="15"/>
      <c r="R667" s="15"/>
      <c r="S667" s="15"/>
      <c r="T667" s="15"/>
      <c r="U667" s="15"/>
      <c r="V667" s="15"/>
      <c r="W667" s="15"/>
      <c r="X667" s="14"/>
      <c r="Y667" s="14"/>
      <c r="Z667" s="15"/>
      <c r="AA667" s="3"/>
      <c r="AB667" s="3"/>
      <c r="AC667" s="3"/>
      <c r="AD667" s="3"/>
      <c r="AE667" s="3"/>
      <c r="AF667" s="3"/>
    </row>
    <row r="668" ht="15.75" customHeight="1">
      <c r="J668" s="15"/>
      <c r="K668" s="188"/>
      <c r="L668" s="15"/>
      <c r="M668" s="15"/>
      <c r="N668" s="15"/>
      <c r="O668" s="15"/>
      <c r="P668" s="15"/>
      <c r="Q668" s="15"/>
      <c r="R668" s="15"/>
      <c r="S668" s="15"/>
      <c r="T668" s="15"/>
      <c r="U668" s="15"/>
      <c r="V668" s="15"/>
      <c r="W668" s="15"/>
      <c r="X668" s="14"/>
      <c r="Y668" s="14"/>
      <c r="Z668" s="15"/>
      <c r="AA668" s="3"/>
      <c r="AB668" s="3"/>
      <c r="AC668" s="3"/>
      <c r="AD668" s="3"/>
      <c r="AE668" s="3"/>
      <c r="AF668" s="3"/>
    </row>
    <row r="669" ht="15.75" customHeight="1">
      <c r="J669" s="15"/>
      <c r="K669" s="188"/>
      <c r="L669" s="15"/>
      <c r="M669" s="15"/>
      <c r="N669" s="15"/>
      <c r="O669" s="15"/>
      <c r="P669" s="15"/>
      <c r="Q669" s="15"/>
      <c r="R669" s="15"/>
      <c r="S669" s="15"/>
      <c r="T669" s="15"/>
      <c r="U669" s="15"/>
      <c r="V669" s="15"/>
      <c r="W669" s="15"/>
      <c r="X669" s="14"/>
      <c r="Y669" s="14"/>
      <c r="Z669" s="15"/>
      <c r="AA669" s="3"/>
      <c r="AB669" s="3"/>
      <c r="AC669" s="3"/>
      <c r="AD669" s="3"/>
      <c r="AE669" s="3"/>
      <c r="AF669" s="3"/>
    </row>
    <row r="670" ht="15.75" customHeight="1">
      <c r="J670" s="15"/>
      <c r="K670" s="188"/>
      <c r="L670" s="15"/>
      <c r="M670" s="15"/>
      <c r="N670" s="15"/>
      <c r="O670" s="15"/>
      <c r="P670" s="15"/>
      <c r="Q670" s="15"/>
      <c r="R670" s="15"/>
      <c r="S670" s="15"/>
      <c r="T670" s="15"/>
      <c r="U670" s="15"/>
      <c r="V670" s="15"/>
      <c r="W670" s="15"/>
      <c r="X670" s="14"/>
      <c r="Y670" s="14"/>
      <c r="Z670" s="15"/>
      <c r="AA670" s="3"/>
      <c r="AB670" s="3"/>
      <c r="AC670" s="3"/>
      <c r="AD670" s="3"/>
      <c r="AE670" s="3"/>
      <c r="AF670" s="3"/>
    </row>
    <row r="671" ht="15.75" customHeight="1">
      <c r="J671" s="15"/>
      <c r="K671" s="188"/>
      <c r="L671" s="15"/>
      <c r="M671" s="15"/>
      <c r="N671" s="15"/>
      <c r="O671" s="15"/>
      <c r="P671" s="15"/>
      <c r="Q671" s="15"/>
      <c r="R671" s="15"/>
      <c r="S671" s="15"/>
      <c r="T671" s="15"/>
      <c r="U671" s="15"/>
      <c r="V671" s="15"/>
      <c r="W671" s="15"/>
      <c r="X671" s="14"/>
      <c r="Y671" s="14"/>
      <c r="Z671" s="15"/>
      <c r="AA671" s="3"/>
      <c r="AB671" s="3"/>
      <c r="AC671" s="3"/>
      <c r="AD671" s="3"/>
      <c r="AE671" s="3"/>
      <c r="AF671" s="3"/>
    </row>
    <row r="672" ht="15.75" customHeight="1">
      <c r="J672" s="15"/>
      <c r="K672" s="188"/>
      <c r="L672" s="15"/>
      <c r="M672" s="15"/>
      <c r="N672" s="15"/>
      <c r="O672" s="15"/>
      <c r="P672" s="15"/>
      <c r="Q672" s="15"/>
      <c r="R672" s="15"/>
      <c r="S672" s="15"/>
      <c r="T672" s="15"/>
      <c r="U672" s="15"/>
      <c r="V672" s="15"/>
      <c r="W672" s="15"/>
      <c r="X672" s="14"/>
      <c r="Y672" s="14"/>
      <c r="Z672" s="15"/>
      <c r="AA672" s="3"/>
      <c r="AB672" s="3"/>
      <c r="AC672" s="3"/>
      <c r="AD672" s="3"/>
      <c r="AE672" s="3"/>
      <c r="AF672" s="3"/>
    </row>
    <row r="673" ht="15.75" customHeight="1">
      <c r="J673" s="15"/>
      <c r="K673" s="188"/>
      <c r="L673" s="15"/>
      <c r="M673" s="15"/>
      <c r="N673" s="15"/>
      <c r="O673" s="15"/>
      <c r="P673" s="15"/>
      <c r="Q673" s="15"/>
      <c r="R673" s="15"/>
      <c r="S673" s="15"/>
      <c r="T673" s="15"/>
      <c r="U673" s="15"/>
      <c r="V673" s="15"/>
      <c r="W673" s="15"/>
      <c r="X673" s="14"/>
      <c r="Y673" s="14"/>
      <c r="Z673" s="15"/>
      <c r="AA673" s="3"/>
      <c r="AB673" s="3"/>
      <c r="AC673" s="3"/>
      <c r="AD673" s="3"/>
      <c r="AE673" s="3"/>
      <c r="AF673" s="3"/>
    </row>
    <row r="674" ht="15.75" customHeight="1">
      <c r="J674" s="15"/>
      <c r="K674" s="188"/>
      <c r="L674" s="15"/>
      <c r="M674" s="15"/>
      <c r="N674" s="15"/>
      <c r="O674" s="15"/>
      <c r="P674" s="15"/>
      <c r="Q674" s="15"/>
      <c r="R674" s="15"/>
      <c r="S674" s="15"/>
      <c r="T674" s="15"/>
      <c r="U674" s="15"/>
      <c r="V674" s="15"/>
      <c r="W674" s="15"/>
      <c r="X674" s="14"/>
      <c r="Y674" s="14"/>
      <c r="Z674" s="15"/>
      <c r="AA674" s="3"/>
      <c r="AB674" s="3"/>
      <c r="AC674" s="3"/>
      <c r="AD674" s="3"/>
      <c r="AE674" s="3"/>
      <c r="AF674" s="3"/>
    </row>
    <row r="675" ht="15.75" customHeight="1">
      <c r="J675" s="15"/>
      <c r="K675" s="188"/>
      <c r="L675" s="15"/>
      <c r="M675" s="15"/>
      <c r="N675" s="15"/>
      <c r="O675" s="15"/>
      <c r="P675" s="15"/>
      <c r="Q675" s="15"/>
      <c r="R675" s="15"/>
      <c r="S675" s="15"/>
      <c r="T675" s="15"/>
      <c r="U675" s="15"/>
      <c r="V675" s="15"/>
      <c r="W675" s="15"/>
      <c r="X675" s="14"/>
      <c r="Y675" s="14"/>
      <c r="Z675" s="15"/>
      <c r="AA675" s="3"/>
      <c r="AB675" s="3"/>
      <c r="AC675" s="3"/>
      <c r="AD675" s="3"/>
      <c r="AE675" s="3"/>
      <c r="AF675" s="3"/>
    </row>
    <row r="676" ht="15.75" customHeight="1">
      <c r="J676" s="15"/>
      <c r="K676" s="188"/>
      <c r="L676" s="15"/>
      <c r="M676" s="15"/>
      <c r="N676" s="15"/>
      <c r="O676" s="15"/>
      <c r="P676" s="15"/>
      <c r="Q676" s="15"/>
      <c r="R676" s="15"/>
      <c r="S676" s="15"/>
      <c r="T676" s="15"/>
      <c r="U676" s="15"/>
      <c r="V676" s="15"/>
      <c r="W676" s="15"/>
      <c r="X676" s="14"/>
      <c r="Y676" s="14"/>
      <c r="Z676" s="15"/>
      <c r="AA676" s="3"/>
      <c r="AB676" s="3"/>
      <c r="AC676" s="3"/>
      <c r="AD676" s="3"/>
      <c r="AE676" s="3"/>
      <c r="AF676" s="3"/>
    </row>
    <row r="677" ht="15.75" customHeight="1">
      <c r="J677" s="15"/>
      <c r="K677" s="188"/>
      <c r="L677" s="15"/>
      <c r="M677" s="15"/>
      <c r="N677" s="15"/>
      <c r="O677" s="15"/>
      <c r="P677" s="15"/>
      <c r="Q677" s="15"/>
      <c r="R677" s="15"/>
      <c r="S677" s="15"/>
      <c r="T677" s="15"/>
      <c r="U677" s="15"/>
      <c r="V677" s="15"/>
      <c r="W677" s="15"/>
      <c r="X677" s="14"/>
      <c r="Y677" s="14"/>
      <c r="Z677" s="15"/>
      <c r="AA677" s="3"/>
      <c r="AB677" s="3"/>
      <c r="AC677" s="3"/>
      <c r="AD677" s="3"/>
      <c r="AE677" s="3"/>
      <c r="AF677" s="3"/>
    </row>
    <row r="678" ht="15.75" customHeight="1">
      <c r="J678" s="15"/>
      <c r="K678" s="188"/>
      <c r="L678" s="15"/>
      <c r="M678" s="15"/>
      <c r="N678" s="15"/>
      <c r="O678" s="15"/>
      <c r="P678" s="15"/>
      <c r="Q678" s="15"/>
      <c r="R678" s="15"/>
      <c r="S678" s="15"/>
      <c r="T678" s="15"/>
      <c r="U678" s="15"/>
      <c r="V678" s="15"/>
      <c r="W678" s="15"/>
      <c r="X678" s="14"/>
      <c r="Y678" s="14"/>
      <c r="Z678" s="15"/>
      <c r="AA678" s="3"/>
      <c r="AB678" s="3"/>
      <c r="AC678" s="3"/>
      <c r="AD678" s="3"/>
      <c r="AE678" s="3"/>
      <c r="AF678" s="3"/>
    </row>
    <row r="679" ht="15.75" customHeight="1">
      <c r="J679" s="15"/>
      <c r="K679" s="188"/>
      <c r="L679" s="15"/>
      <c r="M679" s="15"/>
      <c r="N679" s="15"/>
      <c r="O679" s="15"/>
      <c r="P679" s="15"/>
      <c r="Q679" s="15"/>
      <c r="R679" s="15"/>
      <c r="S679" s="15"/>
      <c r="T679" s="15"/>
      <c r="U679" s="15"/>
      <c r="V679" s="15"/>
      <c r="W679" s="15"/>
      <c r="X679" s="14"/>
      <c r="Y679" s="14"/>
      <c r="Z679" s="15"/>
      <c r="AA679" s="3"/>
      <c r="AB679" s="3"/>
      <c r="AC679" s="3"/>
      <c r="AD679" s="3"/>
      <c r="AE679" s="3"/>
      <c r="AF679" s="3"/>
    </row>
    <row r="680" ht="15.75" customHeight="1">
      <c r="J680" s="15"/>
      <c r="K680" s="188"/>
      <c r="L680" s="15"/>
      <c r="M680" s="15"/>
      <c r="N680" s="15"/>
      <c r="O680" s="15"/>
      <c r="P680" s="15"/>
      <c r="Q680" s="15"/>
      <c r="R680" s="15"/>
      <c r="S680" s="15"/>
      <c r="T680" s="15"/>
      <c r="U680" s="15"/>
      <c r="V680" s="15"/>
      <c r="W680" s="15"/>
      <c r="X680" s="14"/>
      <c r="Y680" s="14"/>
      <c r="Z680" s="15"/>
      <c r="AA680" s="3"/>
      <c r="AB680" s="3"/>
      <c r="AC680" s="3"/>
      <c r="AD680" s="3"/>
      <c r="AE680" s="3"/>
      <c r="AF680" s="3"/>
    </row>
    <row r="681" ht="15.75" customHeight="1">
      <c r="J681" s="15"/>
      <c r="K681" s="188"/>
      <c r="L681" s="15"/>
      <c r="M681" s="15"/>
      <c r="N681" s="15"/>
      <c r="O681" s="15"/>
      <c r="P681" s="15"/>
      <c r="Q681" s="15"/>
      <c r="R681" s="15"/>
      <c r="S681" s="15"/>
      <c r="T681" s="15"/>
      <c r="U681" s="15"/>
      <c r="V681" s="15"/>
      <c r="W681" s="15"/>
      <c r="X681" s="14"/>
      <c r="Y681" s="14"/>
      <c r="Z681" s="15"/>
      <c r="AA681" s="3"/>
      <c r="AB681" s="3"/>
      <c r="AC681" s="3"/>
      <c r="AD681" s="3"/>
      <c r="AE681" s="3"/>
      <c r="AF681" s="3"/>
    </row>
    <row r="682" ht="15.75" customHeight="1">
      <c r="J682" s="15"/>
      <c r="K682" s="188"/>
      <c r="L682" s="15"/>
      <c r="M682" s="15"/>
      <c r="N682" s="15"/>
      <c r="O682" s="15"/>
      <c r="P682" s="15"/>
      <c r="Q682" s="15"/>
      <c r="R682" s="15"/>
      <c r="S682" s="15"/>
      <c r="T682" s="15"/>
      <c r="U682" s="15"/>
      <c r="V682" s="15"/>
      <c r="W682" s="15"/>
      <c r="X682" s="14"/>
      <c r="Y682" s="14"/>
      <c r="Z682" s="15"/>
      <c r="AA682" s="3"/>
      <c r="AB682" s="3"/>
      <c r="AC682" s="3"/>
      <c r="AD682" s="3"/>
      <c r="AE682" s="3"/>
      <c r="AF682" s="3"/>
    </row>
    <row r="683" ht="15.75" customHeight="1">
      <c r="J683" s="15"/>
      <c r="K683" s="188"/>
      <c r="L683" s="15"/>
      <c r="M683" s="15"/>
      <c r="N683" s="15"/>
      <c r="O683" s="15"/>
      <c r="P683" s="15"/>
      <c r="Q683" s="15"/>
      <c r="R683" s="15"/>
      <c r="S683" s="15"/>
      <c r="T683" s="15"/>
      <c r="U683" s="15"/>
      <c r="V683" s="15"/>
      <c r="W683" s="15"/>
      <c r="X683" s="14"/>
      <c r="Y683" s="14"/>
      <c r="Z683" s="15"/>
      <c r="AA683" s="3"/>
      <c r="AB683" s="3"/>
      <c r="AC683" s="3"/>
      <c r="AD683" s="3"/>
      <c r="AE683" s="3"/>
      <c r="AF683" s="3"/>
    </row>
    <row r="684" ht="15.75" customHeight="1">
      <c r="J684" s="15"/>
      <c r="K684" s="188"/>
      <c r="L684" s="15"/>
      <c r="M684" s="15"/>
      <c r="N684" s="15"/>
      <c r="O684" s="15"/>
      <c r="P684" s="15"/>
      <c r="Q684" s="15"/>
      <c r="R684" s="15"/>
      <c r="S684" s="15"/>
      <c r="T684" s="15"/>
      <c r="U684" s="15"/>
      <c r="V684" s="15"/>
      <c r="W684" s="15"/>
      <c r="X684" s="14"/>
      <c r="Y684" s="14"/>
      <c r="Z684" s="15"/>
      <c r="AA684" s="3"/>
      <c r="AB684" s="3"/>
      <c r="AC684" s="3"/>
      <c r="AD684" s="3"/>
      <c r="AE684" s="3"/>
      <c r="AF684" s="3"/>
    </row>
    <row r="685" ht="15.75" customHeight="1">
      <c r="J685" s="15"/>
      <c r="K685" s="188"/>
      <c r="L685" s="15"/>
      <c r="M685" s="15"/>
      <c r="N685" s="15"/>
      <c r="O685" s="15"/>
      <c r="P685" s="15"/>
      <c r="Q685" s="15"/>
      <c r="R685" s="15"/>
      <c r="S685" s="15"/>
      <c r="T685" s="15"/>
      <c r="U685" s="15"/>
      <c r="V685" s="15"/>
      <c r="W685" s="15"/>
      <c r="X685" s="14"/>
      <c r="Y685" s="14"/>
      <c r="Z685" s="15"/>
      <c r="AA685" s="3"/>
      <c r="AB685" s="3"/>
      <c r="AC685" s="3"/>
      <c r="AD685" s="3"/>
      <c r="AE685" s="3"/>
      <c r="AF685" s="3"/>
    </row>
    <row r="686" ht="15.75" customHeight="1">
      <c r="J686" s="15"/>
      <c r="K686" s="188"/>
      <c r="L686" s="15"/>
      <c r="M686" s="15"/>
      <c r="N686" s="15"/>
      <c r="O686" s="15"/>
      <c r="P686" s="15"/>
      <c r="Q686" s="15"/>
      <c r="R686" s="15"/>
      <c r="S686" s="15"/>
      <c r="T686" s="15"/>
      <c r="U686" s="15"/>
      <c r="V686" s="15"/>
      <c r="W686" s="15"/>
      <c r="X686" s="14"/>
      <c r="Y686" s="14"/>
      <c r="Z686" s="15"/>
      <c r="AA686" s="3"/>
      <c r="AB686" s="3"/>
      <c r="AC686" s="3"/>
      <c r="AD686" s="3"/>
      <c r="AE686" s="3"/>
      <c r="AF686" s="3"/>
    </row>
    <row r="687" ht="15.75" customHeight="1">
      <c r="J687" s="15"/>
      <c r="K687" s="188"/>
      <c r="L687" s="15"/>
      <c r="M687" s="15"/>
      <c r="N687" s="15"/>
      <c r="O687" s="15"/>
      <c r="P687" s="15"/>
      <c r="Q687" s="15"/>
      <c r="R687" s="15"/>
      <c r="S687" s="15"/>
      <c r="T687" s="15"/>
      <c r="U687" s="15"/>
      <c r="V687" s="15"/>
      <c r="W687" s="15"/>
      <c r="X687" s="14"/>
      <c r="Y687" s="14"/>
      <c r="Z687" s="15"/>
      <c r="AA687" s="3"/>
      <c r="AB687" s="3"/>
      <c r="AC687" s="3"/>
      <c r="AD687" s="3"/>
      <c r="AE687" s="3"/>
      <c r="AF687" s="3"/>
    </row>
    <row r="688" ht="15.75" customHeight="1">
      <c r="J688" s="15"/>
      <c r="K688" s="188"/>
      <c r="L688" s="15"/>
      <c r="M688" s="15"/>
      <c r="N688" s="15"/>
      <c r="O688" s="15"/>
      <c r="P688" s="15"/>
      <c r="Q688" s="15"/>
      <c r="R688" s="15"/>
      <c r="S688" s="15"/>
      <c r="T688" s="15"/>
      <c r="U688" s="15"/>
      <c r="V688" s="15"/>
      <c r="W688" s="15"/>
      <c r="X688" s="14"/>
      <c r="Y688" s="14"/>
      <c r="Z688" s="15"/>
      <c r="AA688" s="3"/>
      <c r="AB688" s="3"/>
      <c r="AC688" s="3"/>
      <c r="AD688" s="3"/>
      <c r="AE688" s="3"/>
      <c r="AF688" s="3"/>
    </row>
    <row r="689" ht="15.75" customHeight="1">
      <c r="J689" s="15"/>
      <c r="K689" s="188"/>
      <c r="L689" s="15"/>
      <c r="M689" s="15"/>
      <c r="N689" s="15"/>
      <c r="O689" s="15"/>
      <c r="P689" s="15"/>
      <c r="Q689" s="15"/>
      <c r="R689" s="15"/>
      <c r="S689" s="15"/>
      <c r="T689" s="15"/>
      <c r="U689" s="15"/>
      <c r="V689" s="15"/>
      <c r="W689" s="15"/>
      <c r="X689" s="14"/>
      <c r="Y689" s="14"/>
      <c r="Z689" s="15"/>
      <c r="AA689" s="3"/>
      <c r="AB689" s="3"/>
      <c r="AC689" s="3"/>
      <c r="AD689" s="3"/>
      <c r="AE689" s="3"/>
      <c r="AF689" s="3"/>
    </row>
    <row r="690" ht="15.75" customHeight="1">
      <c r="J690" s="15"/>
      <c r="K690" s="188"/>
      <c r="L690" s="15"/>
      <c r="M690" s="15"/>
      <c r="N690" s="15"/>
      <c r="O690" s="15"/>
      <c r="P690" s="15"/>
      <c r="Q690" s="15"/>
      <c r="R690" s="15"/>
      <c r="S690" s="15"/>
      <c r="T690" s="15"/>
      <c r="U690" s="15"/>
      <c r="V690" s="15"/>
      <c r="W690" s="15"/>
      <c r="X690" s="14"/>
      <c r="Y690" s="14"/>
      <c r="Z690" s="15"/>
      <c r="AA690" s="3"/>
      <c r="AB690" s="3"/>
      <c r="AC690" s="3"/>
      <c r="AD690" s="3"/>
      <c r="AE690" s="3"/>
      <c r="AF690" s="3"/>
    </row>
    <row r="691" ht="15.75" customHeight="1">
      <c r="J691" s="15"/>
      <c r="K691" s="188"/>
      <c r="L691" s="15"/>
      <c r="M691" s="15"/>
      <c r="N691" s="15"/>
      <c r="O691" s="15"/>
      <c r="P691" s="15"/>
      <c r="Q691" s="15"/>
      <c r="R691" s="15"/>
      <c r="S691" s="15"/>
      <c r="T691" s="15"/>
      <c r="U691" s="15"/>
      <c r="V691" s="15"/>
      <c r="W691" s="15"/>
      <c r="X691" s="14"/>
      <c r="Y691" s="14"/>
      <c r="Z691" s="15"/>
      <c r="AA691" s="3"/>
      <c r="AB691" s="3"/>
      <c r="AC691" s="3"/>
      <c r="AD691" s="3"/>
      <c r="AE691" s="3"/>
      <c r="AF691" s="3"/>
    </row>
    <row r="692" ht="15.75" customHeight="1">
      <c r="J692" s="15"/>
      <c r="K692" s="188"/>
      <c r="L692" s="15"/>
      <c r="M692" s="15"/>
      <c r="N692" s="15"/>
      <c r="O692" s="15"/>
      <c r="P692" s="15"/>
      <c r="Q692" s="15"/>
      <c r="R692" s="15"/>
      <c r="S692" s="15"/>
      <c r="T692" s="15"/>
      <c r="U692" s="15"/>
      <c r="V692" s="15"/>
      <c r="W692" s="15"/>
      <c r="X692" s="14"/>
      <c r="Y692" s="14"/>
      <c r="Z692" s="15"/>
      <c r="AA692" s="3"/>
      <c r="AB692" s="3"/>
      <c r="AC692" s="3"/>
      <c r="AD692" s="3"/>
      <c r="AE692" s="3"/>
      <c r="AF692" s="3"/>
    </row>
    <row r="693" ht="15.75" customHeight="1">
      <c r="J693" s="15"/>
      <c r="K693" s="188"/>
      <c r="L693" s="15"/>
      <c r="M693" s="15"/>
      <c r="N693" s="15"/>
      <c r="O693" s="15"/>
      <c r="P693" s="15"/>
      <c r="Q693" s="15"/>
      <c r="R693" s="15"/>
      <c r="S693" s="15"/>
      <c r="T693" s="15"/>
      <c r="U693" s="15"/>
      <c r="V693" s="15"/>
      <c r="W693" s="15"/>
      <c r="X693" s="14"/>
      <c r="Y693" s="14"/>
      <c r="Z693" s="15"/>
      <c r="AA693" s="3"/>
      <c r="AB693" s="3"/>
      <c r="AC693" s="3"/>
      <c r="AD693" s="3"/>
      <c r="AE693" s="3"/>
      <c r="AF693" s="3"/>
    </row>
    <row r="694" ht="15.75" customHeight="1">
      <c r="J694" s="15"/>
      <c r="K694" s="188"/>
      <c r="L694" s="15"/>
      <c r="M694" s="15"/>
      <c r="N694" s="15"/>
      <c r="O694" s="15"/>
      <c r="P694" s="15"/>
      <c r="Q694" s="15"/>
      <c r="R694" s="15"/>
      <c r="S694" s="15"/>
      <c r="T694" s="15"/>
      <c r="U694" s="15"/>
      <c r="V694" s="15"/>
      <c r="W694" s="15"/>
      <c r="X694" s="14"/>
      <c r="Y694" s="14"/>
      <c r="Z694" s="15"/>
      <c r="AA694" s="3"/>
      <c r="AB694" s="3"/>
      <c r="AC694" s="3"/>
      <c r="AD694" s="3"/>
      <c r="AE694" s="3"/>
      <c r="AF694" s="3"/>
    </row>
    <row r="695" ht="15.75" customHeight="1">
      <c r="J695" s="15"/>
      <c r="K695" s="188"/>
      <c r="L695" s="15"/>
      <c r="M695" s="15"/>
      <c r="N695" s="15"/>
      <c r="O695" s="15"/>
      <c r="P695" s="15"/>
      <c r="Q695" s="15"/>
      <c r="R695" s="15"/>
      <c r="S695" s="15"/>
      <c r="T695" s="15"/>
      <c r="U695" s="15"/>
      <c r="V695" s="15"/>
      <c r="W695" s="15"/>
      <c r="X695" s="14"/>
      <c r="Y695" s="14"/>
      <c r="Z695" s="15"/>
      <c r="AA695" s="3"/>
      <c r="AB695" s="3"/>
      <c r="AC695" s="3"/>
      <c r="AD695" s="3"/>
      <c r="AE695" s="3"/>
      <c r="AF695" s="3"/>
    </row>
    <row r="696" ht="15.75" customHeight="1">
      <c r="J696" s="15"/>
      <c r="K696" s="188"/>
      <c r="L696" s="15"/>
      <c r="M696" s="15"/>
      <c r="N696" s="15"/>
      <c r="O696" s="15"/>
      <c r="P696" s="15"/>
      <c r="Q696" s="15"/>
      <c r="R696" s="15"/>
      <c r="S696" s="15"/>
      <c r="T696" s="15"/>
      <c r="U696" s="15"/>
      <c r="V696" s="15"/>
      <c r="W696" s="15"/>
      <c r="X696" s="14"/>
      <c r="Y696" s="14"/>
      <c r="Z696" s="15"/>
      <c r="AA696" s="3"/>
      <c r="AB696" s="3"/>
      <c r="AC696" s="3"/>
      <c r="AD696" s="3"/>
      <c r="AE696" s="3"/>
      <c r="AF696" s="3"/>
    </row>
    <row r="697" ht="15.75" customHeight="1">
      <c r="J697" s="15"/>
      <c r="K697" s="188"/>
      <c r="L697" s="15"/>
      <c r="M697" s="15"/>
      <c r="N697" s="15"/>
      <c r="O697" s="15"/>
      <c r="P697" s="15"/>
      <c r="Q697" s="15"/>
      <c r="R697" s="15"/>
      <c r="S697" s="15"/>
      <c r="T697" s="15"/>
      <c r="U697" s="15"/>
      <c r="V697" s="15"/>
      <c r="W697" s="15"/>
      <c r="X697" s="14"/>
      <c r="Y697" s="14"/>
      <c r="Z697" s="15"/>
      <c r="AA697" s="3"/>
      <c r="AB697" s="3"/>
      <c r="AC697" s="3"/>
      <c r="AD697" s="3"/>
      <c r="AE697" s="3"/>
      <c r="AF697" s="3"/>
    </row>
    <row r="698" ht="15.75" customHeight="1">
      <c r="J698" s="15"/>
      <c r="K698" s="188"/>
      <c r="L698" s="15"/>
      <c r="M698" s="15"/>
      <c r="N698" s="15"/>
      <c r="O698" s="15"/>
      <c r="P698" s="15"/>
      <c r="Q698" s="15"/>
      <c r="R698" s="15"/>
      <c r="S698" s="15"/>
      <c r="T698" s="15"/>
      <c r="U698" s="15"/>
      <c r="V698" s="15"/>
      <c r="W698" s="15"/>
      <c r="X698" s="14"/>
      <c r="Y698" s="14"/>
      <c r="Z698" s="15"/>
      <c r="AA698" s="3"/>
      <c r="AB698" s="3"/>
      <c r="AC698" s="3"/>
      <c r="AD698" s="3"/>
      <c r="AE698" s="3"/>
      <c r="AF698" s="3"/>
    </row>
    <row r="699" ht="15.75" customHeight="1">
      <c r="J699" s="15"/>
      <c r="K699" s="188"/>
      <c r="L699" s="15"/>
      <c r="M699" s="15"/>
      <c r="N699" s="15"/>
      <c r="O699" s="15"/>
      <c r="P699" s="15"/>
      <c r="Q699" s="15"/>
      <c r="R699" s="15"/>
      <c r="S699" s="15"/>
      <c r="T699" s="15"/>
      <c r="U699" s="15"/>
      <c r="V699" s="15"/>
      <c r="W699" s="15"/>
      <c r="X699" s="14"/>
      <c r="Y699" s="14"/>
      <c r="Z699" s="15"/>
      <c r="AA699" s="3"/>
      <c r="AB699" s="3"/>
      <c r="AC699" s="3"/>
      <c r="AD699" s="3"/>
      <c r="AE699" s="3"/>
      <c r="AF699" s="3"/>
    </row>
    <row r="700" ht="15.75" customHeight="1">
      <c r="J700" s="15"/>
      <c r="K700" s="188"/>
      <c r="L700" s="15"/>
      <c r="M700" s="15"/>
      <c r="N700" s="15"/>
      <c r="O700" s="15"/>
      <c r="P700" s="15"/>
      <c r="Q700" s="15"/>
      <c r="R700" s="15"/>
      <c r="S700" s="15"/>
      <c r="T700" s="15"/>
      <c r="U700" s="15"/>
      <c r="V700" s="15"/>
      <c r="W700" s="15"/>
      <c r="X700" s="14"/>
      <c r="Y700" s="14"/>
      <c r="Z700" s="15"/>
      <c r="AA700" s="3"/>
      <c r="AB700" s="3"/>
      <c r="AC700" s="3"/>
      <c r="AD700" s="3"/>
      <c r="AE700" s="3"/>
      <c r="AF700" s="3"/>
    </row>
    <row r="701" ht="15.75" customHeight="1">
      <c r="J701" s="15"/>
      <c r="K701" s="188"/>
      <c r="L701" s="15"/>
      <c r="M701" s="15"/>
      <c r="N701" s="15"/>
      <c r="O701" s="15"/>
      <c r="P701" s="15"/>
      <c r="Q701" s="15"/>
      <c r="R701" s="15"/>
      <c r="S701" s="15"/>
      <c r="T701" s="15"/>
      <c r="U701" s="15"/>
      <c r="V701" s="15"/>
      <c r="W701" s="15"/>
      <c r="X701" s="14"/>
      <c r="Y701" s="14"/>
      <c r="Z701" s="15"/>
      <c r="AA701" s="3"/>
      <c r="AB701" s="3"/>
      <c r="AC701" s="3"/>
      <c r="AD701" s="3"/>
      <c r="AE701" s="3"/>
      <c r="AF701" s="3"/>
    </row>
    <row r="702" ht="15.75" customHeight="1">
      <c r="J702" s="15"/>
      <c r="K702" s="188"/>
      <c r="L702" s="15"/>
      <c r="M702" s="15"/>
      <c r="N702" s="15"/>
      <c r="O702" s="15"/>
      <c r="P702" s="15"/>
      <c r="Q702" s="15"/>
      <c r="R702" s="15"/>
      <c r="S702" s="15"/>
      <c r="T702" s="15"/>
      <c r="U702" s="15"/>
      <c r="V702" s="15"/>
      <c r="W702" s="15"/>
      <c r="X702" s="14"/>
      <c r="Y702" s="14"/>
      <c r="Z702" s="15"/>
      <c r="AA702" s="3"/>
      <c r="AB702" s="3"/>
      <c r="AC702" s="3"/>
      <c r="AD702" s="3"/>
      <c r="AE702" s="3"/>
      <c r="AF702" s="3"/>
    </row>
    <row r="703" ht="15.75" customHeight="1">
      <c r="J703" s="15"/>
      <c r="K703" s="188"/>
      <c r="L703" s="15"/>
      <c r="M703" s="15"/>
      <c r="N703" s="15"/>
      <c r="O703" s="15"/>
      <c r="P703" s="15"/>
      <c r="Q703" s="15"/>
      <c r="R703" s="15"/>
      <c r="S703" s="15"/>
      <c r="T703" s="15"/>
      <c r="U703" s="15"/>
      <c r="V703" s="15"/>
      <c r="W703" s="15"/>
      <c r="X703" s="14"/>
      <c r="Y703" s="14"/>
      <c r="Z703" s="15"/>
      <c r="AA703" s="3"/>
      <c r="AB703" s="3"/>
      <c r="AC703" s="3"/>
      <c r="AD703" s="3"/>
      <c r="AE703" s="3"/>
      <c r="AF703" s="3"/>
    </row>
    <row r="704" ht="15.75" customHeight="1">
      <c r="J704" s="15"/>
      <c r="K704" s="188"/>
      <c r="L704" s="15"/>
      <c r="M704" s="15"/>
      <c r="N704" s="15"/>
      <c r="O704" s="15"/>
      <c r="P704" s="15"/>
      <c r="Q704" s="15"/>
      <c r="R704" s="15"/>
      <c r="S704" s="15"/>
      <c r="T704" s="15"/>
      <c r="U704" s="15"/>
      <c r="V704" s="15"/>
      <c r="W704" s="15"/>
      <c r="X704" s="14"/>
      <c r="Y704" s="14"/>
      <c r="Z704" s="15"/>
      <c r="AA704" s="3"/>
      <c r="AB704" s="3"/>
      <c r="AC704" s="3"/>
      <c r="AD704" s="3"/>
      <c r="AE704" s="3"/>
      <c r="AF704" s="3"/>
    </row>
    <row r="705" ht="15.75" customHeight="1">
      <c r="J705" s="15"/>
      <c r="K705" s="188"/>
      <c r="L705" s="15"/>
      <c r="M705" s="15"/>
      <c r="N705" s="15"/>
      <c r="O705" s="15"/>
      <c r="P705" s="15"/>
      <c r="Q705" s="15"/>
      <c r="R705" s="15"/>
      <c r="S705" s="15"/>
      <c r="T705" s="15"/>
      <c r="U705" s="15"/>
      <c r="V705" s="15"/>
      <c r="W705" s="15"/>
      <c r="X705" s="14"/>
      <c r="Y705" s="14"/>
      <c r="Z705" s="15"/>
      <c r="AA705" s="3"/>
      <c r="AB705" s="3"/>
      <c r="AC705" s="3"/>
      <c r="AD705" s="3"/>
      <c r="AE705" s="3"/>
      <c r="AF705" s="3"/>
    </row>
    <row r="706" ht="15.75" customHeight="1">
      <c r="J706" s="15"/>
      <c r="K706" s="188"/>
      <c r="L706" s="15"/>
      <c r="M706" s="15"/>
      <c r="N706" s="15"/>
      <c r="O706" s="15"/>
      <c r="P706" s="15"/>
      <c r="Q706" s="15"/>
      <c r="R706" s="15"/>
      <c r="S706" s="15"/>
      <c r="T706" s="15"/>
      <c r="U706" s="15"/>
      <c r="V706" s="15"/>
      <c r="W706" s="15"/>
      <c r="X706" s="14"/>
      <c r="Y706" s="14"/>
      <c r="Z706" s="15"/>
      <c r="AA706" s="3"/>
      <c r="AB706" s="3"/>
      <c r="AC706" s="3"/>
      <c r="AD706" s="3"/>
      <c r="AE706" s="3"/>
      <c r="AF706" s="3"/>
    </row>
    <row r="707" ht="15.75" customHeight="1">
      <c r="J707" s="15"/>
      <c r="K707" s="188"/>
      <c r="L707" s="15"/>
      <c r="M707" s="15"/>
      <c r="N707" s="15"/>
      <c r="O707" s="15"/>
      <c r="P707" s="15"/>
      <c r="Q707" s="15"/>
      <c r="R707" s="15"/>
      <c r="S707" s="15"/>
      <c r="T707" s="15"/>
      <c r="U707" s="15"/>
      <c r="V707" s="15"/>
      <c r="W707" s="15"/>
      <c r="X707" s="14"/>
      <c r="Y707" s="14"/>
      <c r="Z707" s="15"/>
      <c r="AA707" s="3"/>
      <c r="AB707" s="3"/>
      <c r="AC707" s="3"/>
      <c r="AD707" s="3"/>
      <c r="AE707" s="3"/>
      <c r="AF707" s="3"/>
    </row>
    <row r="708" ht="15.75" customHeight="1">
      <c r="J708" s="15"/>
      <c r="K708" s="188"/>
      <c r="L708" s="15"/>
      <c r="M708" s="15"/>
      <c r="N708" s="15"/>
      <c r="O708" s="15"/>
      <c r="P708" s="15"/>
      <c r="Q708" s="15"/>
      <c r="R708" s="15"/>
      <c r="S708" s="15"/>
      <c r="T708" s="15"/>
      <c r="U708" s="15"/>
      <c r="V708" s="15"/>
      <c r="W708" s="15"/>
      <c r="X708" s="14"/>
      <c r="Y708" s="14"/>
      <c r="Z708" s="15"/>
      <c r="AA708" s="3"/>
      <c r="AB708" s="3"/>
      <c r="AC708" s="3"/>
      <c r="AD708" s="3"/>
      <c r="AE708" s="3"/>
      <c r="AF708" s="3"/>
    </row>
    <row r="709" ht="15.75" customHeight="1">
      <c r="J709" s="15"/>
      <c r="K709" s="188"/>
      <c r="L709" s="15"/>
      <c r="M709" s="15"/>
      <c r="N709" s="15"/>
      <c r="O709" s="15"/>
      <c r="P709" s="15"/>
      <c r="Q709" s="15"/>
      <c r="R709" s="15"/>
      <c r="S709" s="15"/>
      <c r="T709" s="15"/>
      <c r="U709" s="15"/>
      <c r="V709" s="15"/>
      <c r="W709" s="15"/>
      <c r="X709" s="14"/>
      <c r="Y709" s="14"/>
      <c r="Z709" s="15"/>
      <c r="AA709" s="3"/>
      <c r="AB709" s="3"/>
      <c r="AC709" s="3"/>
      <c r="AD709" s="3"/>
      <c r="AE709" s="3"/>
      <c r="AF709" s="3"/>
    </row>
    <row r="710" ht="15.75" customHeight="1">
      <c r="J710" s="15"/>
      <c r="K710" s="188"/>
      <c r="L710" s="15"/>
      <c r="M710" s="15"/>
      <c r="N710" s="15"/>
      <c r="O710" s="15"/>
      <c r="P710" s="15"/>
      <c r="Q710" s="15"/>
      <c r="R710" s="15"/>
      <c r="S710" s="15"/>
      <c r="T710" s="15"/>
      <c r="U710" s="15"/>
      <c r="V710" s="15"/>
      <c r="W710" s="15"/>
      <c r="X710" s="14"/>
      <c r="Y710" s="14"/>
      <c r="Z710" s="15"/>
      <c r="AA710" s="3"/>
      <c r="AB710" s="3"/>
      <c r="AC710" s="3"/>
      <c r="AD710" s="3"/>
      <c r="AE710" s="3"/>
      <c r="AF710" s="3"/>
    </row>
    <row r="711" ht="15.75" customHeight="1">
      <c r="J711" s="15"/>
      <c r="K711" s="188"/>
      <c r="L711" s="15"/>
      <c r="M711" s="15"/>
      <c r="N711" s="15"/>
      <c r="O711" s="15"/>
      <c r="P711" s="15"/>
      <c r="Q711" s="15"/>
      <c r="R711" s="15"/>
      <c r="S711" s="15"/>
      <c r="T711" s="15"/>
      <c r="U711" s="15"/>
      <c r="V711" s="15"/>
      <c r="W711" s="15"/>
      <c r="X711" s="14"/>
      <c r="Y711" s="14"/>
      <c r="Z711" s="15"/>
      <c r="AA711" s="3"/>
      <c r="AB711" s="3"/>
      <c r="AC711" s="3"/>
      <c r="AD711" s="3"/>
      <c r="AE711" s="3"/>
      <c r="AF711" s="3"/>
    </row>
    <row r="712" ht="15.75" customHeight="1">
      <c r="J712" s="15"/>
      <c r="K712" s="188"/>
      <c r="L712" s="15"/>
      <c r="M712" s="15"/>
      <c r="N712" s="15"/>
      <c r="O712" s="15"/>
      <c r="P712" s="15"/>
      <c r="Q712" s="15"/>
      <c r="R712" s="15"/>
      <c r="S712" s="15"/>
      <c r="T712" s="15"/>
      <c r="U712" s="15"/>
      <c r="V712" s="15"/>
      <c r="W712" s="15"/>
      <c r="X712" s="14"/>
      <c r="Y712" s="14"/>
      <c r="Z712" s="15"/>
      <c r="AA712" s="3"/>
      <c r="AB712" s="3"/>
      <c r="AC712" s="3"/>
      <c r="AD712" s="3"/>
      <c r="AE712" s="3"/>
      <c r="AF712" s="3"/>
    </row>
    <row r="713" ht="15.75" customHeight="1">
      <c r="J713" s="15"/>
      <c r="K713" s="188"/>
      <c r="L713" s="15"/>
      <c r="M713" s="15"/>
      <c r="N713" s="15"/>
      <c r="O713" s="15"/>
      <c r="P713" s="15"/>
      <c r="Q713" s="15"/>
      <c r="R713" s="15"/>
      <c r="S713" s="15"/>
      <c r="T713" s="15"/>
      <c r="U713" s="15"/>
      <c r="V713" s="15"/>
      <c r="W713" s="15"/>
      <c r="X713" s="14"/>
      <c r="Y713" s="14"/>
      <c r="Z713" s="15"/>
      <c r="AA713" s="3"/>
      <c r="AB713" s="3"/>
      <c r="AC713" s="3"/>
      <c r="AD713" s="3"/>
      <c r="AE713" s="3"/>
      <c r="AF713" s="3"/>
    </row>
    <row r="714" ht="15.75" customHeight="1">
      <c r="J714" s="15"/>
      <c r="K714" s="188"/>
      <c r="L714" s="15"/>
      <c r="M714" s="15"/>
      <c r="N714" s="15"/>
      <c r="O714" s="15"/>
      <c r="P714" s="15"/>
      <c r="Q714" s="15"/>
      <c r="R714" s="15"/>
      <c r="S714" s="15"/>
      <c r="T714" s="15"/>
      <c r="U714" s="15"/>
      <c r="V714" s="15"/>
      <c r="W714" s="15"/>
      <c r="X714" s="14"/>
      <c r="Y714" s="14"/>
      <c r="Z714" s="15"/>
      <c r="AA714" s="3"/>
      <c r="AB714" s="3"/>
      <c r="AC714" s="3"/>
      <c r="AD714" s="3"/>
      <c r="AE714" s="3"/>
      <c r="AF714" s="3"/>
    </row>
    <row r="715" ht="15.75" customHeight="1">
      <c r="J715" s="15"/>
      <c r="K715" s="188"/>
      <c r="L715" s="15"/>
      <c r="M715" s="15"/>
      <c r="N715" s="15"/>
      <c r="O715" s="15"/>
      <c r="P715" s="15"/>
      <c r="Q715" s="15"/>
      <c r="R715" s="15"/>
      <c r="S715" s="15"/>
      <c r="T715" s="15"/>
      <c r="U715" s="15"/>
      <c r="V715" s="15"/>
      <c r="W715" s="15"/>
      <c r="X715" s="14"/>
      <c r="Y715" s="14"/>
      <c r="Z715" s="15"/>
      <c r="AA715" s="3"/>
      <c r="AB715" s="3"/>
      <c r="AC715" s="3"/>
      <c r="AD715" s="3"/>
      <c r="AE715" s="3"/>
      <c r="AF715" s="3"/>
    </row>
    <row r="716" ht="15.75" customHeight="1">
      <c r="J716" s="15"/>
      <c r="K716" s="188"/>
      <c r="L716" s="15"/>
      <c r="M716" s="15"/>
      <c r="N716" s="15"/>
      <c r="O716" s="15"/>
      <c r="P716" s="15"/>
      <c r="Q716" s="15"/>
      <c r="R716" s="15"/>
      <c r="S716" s="15"/>
      <c r="T716" s="15"/>
      <c r="U716" s="15"/>
      <c r="V716" s="15"/>
      <c r="W716" s="15"/>
      <c r="X716" s="14"/>
      <c r="Y716" s="14"/>
      <c r="Z716" s="15"/>
      <c r="AA716" s="3"/>
      <c r="AB716" s="3"/>
      <c r="AC716" s="3"/>
      <c r="AD716" s="3"/>
      <c r="AE716" s="3"/>
      <c r="AF716" s="3"/>
    </row>
    <row r="717" ht="15.75" customHeight="1">
      <c r="J717" s="15"/>
      <c r="K717" s="188"/>
      <c r="L717" s="15"/>
      <c r="M717" s="15"/>
      <c r="N717" s="15"/>
      <c r="O717" s="15"/>
      <c r="P717" s="15"/>
      <c r="Q717" s="15"/>
      <c r="R717" s="15"/>
      <c r="S717" s="15"/>
      <c r="T717" s="15"/>
      <c r="U717" s="15"/>
      <c r="V717" s="15"/>
      <c r="W717" s="15"/>
      <c r="X717" s="14"/>
      <c r="Y717" s="14"/>
      <c r="Z717" s="15"/>
      <c r="AA717" s="3"/>
      <c r="AB717" s="3"/>
      <c r="AC717" s="3"/>
      <c r="AD717" s="3"/>
      <c r="AE717" s="3"/>
      <c r="AF717" s="3"/>
    </row>
    <row r="718" ht="15.75" customHeight="1">
      <c r="J718" s="15"/>
      <c r="K718" s="188"/>
      <c r="L718" s="15"/>
      <c r="M718" s="15"/>
      <c r="N718" s="15"/>
      <c r="O718" s="15"/>
      <c r="P718" s="15"/>
      <c r="Q718" s="15"/>
      <c r="R718" s="15"/>
      <c r="S718" s="15"/>
      <c r="T718" s="15"/>
      <c r="U718" s="15"/>
      <c r="V718" s="15"/>
      <c r="W718" s="15"/>
      <c r="X718" s="14"/>
      <c r="Y718" s="14"/>
      <c r="Z718" s="15"/>
      <c r="AA718" s="3"/>
      <c r="AB718" s="3"/>
      <c r="AC718" s="3"/>
      <c r="AD718" s="3"/>
      <c r="AE718" s="3"/>
      <c r="AF718" s="3"/>
    </row>
    <row r="719" ht="15.75" customHeight="1">
      <c r="J719" s="15"/>
      <c r="K719" s="188"/>
      <c r="L719" s="15"/>
      <c r="M719" s="15"/>
      <c r="N719" s="15"/>
      <c r="O719" s="15"/>
      <c r="P719" s="15"/>
      <c r="Q719" s="15"/>
      <c r="R719" s="15"/>
      <c r="S719" s="15"/>
      <c r="T719" s="15"/>
      <c r="U719" s="15"/>
      <c r="V719" s="15"/>
      <c r="W719" s="15"/>
      <c r="X719" s="14"/>
      <c r="Y719" s="14"/>
      <c r="Z719" s="15"/>
      <c r="AA719" s="3"/>
      <c r="AB719" s="3"/>
      <c r="AC719" s="3"/>
      <c r="AD719" s="3"/>
      <c r="AE719" s="3"/>
      <c r="AF719" s="3"/>
    </row>
    <row r="720" ht="15.75" customHeight="1">
      <c r="J720" s="15"/>
      <c r="K720" s="188"/>
      <c r="L720" s="15"/>
      <c r="M720" s="15"/>
      <c r="N720" s="15"/>
      <c r="O720" s="15"/>
      <c r="P720" s="15"/>
      <c r="Q720" s="15"/>
      <c r="R720" s="15"/>
      <c r="S720" s="15"/>
      <c r="T720" s="15"/>
      <c r="U720" s="15"/>
      <c r="V720" s="15"/>
      <c r="W720" s="15"/>
      <c r="X720" s="14"/>
      <c r="Y720" s="14"/>
      <c r="Z720" s="15"/>
      <c r="AA720" s="3"/>
      <c r="AB720" s="3"/>
      <c r="AC720" s="3"/>
      <c r="AD720" s="3"/>
      <c r="AE720" s="3"/>
      <c r="AF720" s="3"/>
    </row>
    <row r="721" ht="15.75" customHeight="1">
      <c r="J721" s="15"/>
      <c r="K721" s="188"/>
      <c r="L721" s="15"/>
      <c r="M721" s="15"/>
      <c r="N721" s="15"/>
      <c r="O721" s="15"/>
      <c r="P721" s="15"/>
      <c r="Q721" s="15"/>
      <c r="R721" s="15"/>
      <c r="S721" s="15"/>
      <c r="T721" s="15"/>
      <c r="U721" s="15"/>
      <c r="V721" s="15"/>
      <c r="W721" s="15"/>
      <c r="X721" s="14"/>
      <c r="Y721" s="14"/>
      <c r="Z721" s="15"/>
      <c r="AA721" s="3"/>
      <c r="AB721" s="3"/>
      <c r="AC721" s="3"/>
      <c r="AD721" s="3"/>
      <c r="AE721" s="3"/>
      <c r="AF721" s="3"/>
    </row>
    <row r="722" ht="15.75" customHeight="1">
      <c r="J722" s="15"/>
      <c r="K722" s="188"/>
      <c r="L722" s="15"/>
      <c r="M722" s="15"/>
      <c r="N722" s="15"/>
      <c r="O722" s="15"/>
      <c r="P722" s="15"/>
      <c r="Q722" s="15"/>
      <c r="R722" s="15"/>
      <c r="S722" s="15"/>
      <c r="T722" s="15"/>
      <c r="U722" s="15"/>
      <c r="V722" s="15"/>
      <c r="W722" s="15"/>
      <c r="X722" s="14"/>
      <c r="Y722" s="14"/>
      <c r="Z722" s="15"/>
      <c r="AA722" s="3"/>
      <c r="AB722" s="3"/>
      <c r="AC722" s="3"/>
      <c r="AD722" s="3"/>
      <c r="AE722" s="3"/>
      <c r="AF722" s="3"/>
    </row>
    <row r="723" ht="15.75" customHeight="1">
      <c r="J723" s="15"/>
      <c r="K723" s="188"/>
      <c r="L723" s="15"/>
      <c r="M723" s="15"/>
      <c r="N723" s="15"/>
      <c r="O723" s="15"/>
      <c r="P723" s="15"/>
      <c r="Q723" s="15"/>
      <c r="R723" s="15"/>
      <c r="S723" s="15"/>
      <c r="T723" s="15"/>
      <c r="U723" s="15"/>
      <c r="V723" s="15"/>
      <c r="W723" s="15"/>
      <c r="X723" s="14"/>
      <c r="Y723" s="14"/>
      <c r="Z723" s="15"/>
      <c r="AA723" s="3"/>
      <c r="AB723" s="3"/>
      <c r="AC723" s="3"/>
      <c r="AD723" s="3"/>
      <c r="AE723" s="3"/>
      <c r="AF723" s="3"/>
    </row>
    <row r="724" ht="15.75" customHeight="1">
      <c r="J724" s="15"/>
      <c r="K724" s="188"/>
      <c r="L724" s="15"/>
      <c r="M724" s="15"/>
      <c r="N724" s="15"/>
      <c r="O724" s="15"/>
      <c r="P724" s="15"/>
      <c r="Q724" s="15"/>
      <c r="R724" s="15"/>
      <c r="S724" s="15"/>
      <c r="T724" s="15"/>
      <c r="U724" s="15"/>
      <c r="V724" s="15"/>
      <c r="W724" s="15"/>
      <c r="X724" s="14"/>
      <c r="Y724" s="14"/>
      <c r="Z724" s="15"/>
      <c r="AA724" s="3"/>
      <c r="AB724" s="3"/>
      <c r="AC724" s="3"/>
      <c r="AD724" s="3"/>
      <c r="AE724" s="3"/>
      <c r="AF724" s="3"/>
    </row>
    <row r="725" ht="15.75" customHeight="1">
      <c r="J725" s="15"/>
      <c r="K725" s="188"/>
      <c r="L725" s="15"/>
      <c r="M725" s="15"/>
      <c r="N725" s="15"/>
      <c r="O725" s="15"/>
      <c r="P725" s="15"/>
      <c r="Q725" s="15"/>
      <c r="R725" s="15"/>
      <c r="S725" s="15"/>
      <c r="T725" s="15"/>
      <c r="U725" s="15"/>
      <c r="V725" s="15"/>
      <c r="W725" s="15"/>
      <c r="X725" s="14"/>
      <c r="Y725" s="14"/>
      <c r="Z725" s="15"/>
      <c r="AA725" s="3"/>
      <c r="AB725" s="3"/>
      <c r="AC725" s="3"/>
      <c r="AD725" s="3"/>
      <c r="AE725" s="3"/>
      <c r="AF725" s="3"/>
    </row>
    <row r="726" ht="15.75" customHeight="1">
      <c r="J726" s="15"/>
      <c r="K726" s="188"/>
      <c r="L726" s="15"/>
      <c r="M726" s="15"/>
      <c r="N726" s="15"/>
      <c r="O726" s="15"/>
      <c r="P726" s="15"/>
      <c r="Q726" s="15"/>
      <c r="R726" s="15"/>
      <c r="S726" s="15"/>
      <c r="T726" s="15"/>
      <c r="U726" s="15"/>
      <c r="V726" s="15"/>
      <c r="W726" s="15"/>
      <c r="X726" s="14"/>
      <c r="Y726" s="14"/>
      <c r="Z726" s="15"/>
      <c r="AA726" s="3"/>
      <c r="AB726" s="3"/>
      <c r="AC726" s="3"/>
      <c r="AD726" s="3"/>
      <c r="AE726" s="3"/>
      <c r="AF726" s="3"/>
    </row>
    <row r="727" ht="15.75" customHeight="1">
      <c r="J727" s="15"/>
      <c r="K727" s="188"/>
      <c r="L727" s="15"/>
      <c r="M727" s="15"/>
      <c r="N727" s="15"/>
      <c r="O727" s="15"/>
      <c r="P727" s="15"/>
      <c r="Q727" s="15"/>
      <c r="R727" s="15"/>
      <c r="S727" s="15"/>
      <c r="T727" s="15"/>
      <c r="U727" s="15"/>
      <c r="V727" s="15"/>
      <c r="W727" s="15"/>
      <c r="X727" s="14"/>
      <c r="Y727" s="14"/>
      <c r="Z727" s="15"/>
      <c r="AA727" s="3"/>
      <c r="AB727" s="3"/>
      <c r="AC727" s="3"/>
      <c r="AD727" s="3"/>
      <c r="AE727" s="3"/>
      <c r="AF727" s="3"/>
    </row>
    <row r="728" ht="15.75" customHeight="1">
      <c r="J728" s="15"/>
      <c r="K728" s="188"/>
      <c r="L728" s="15"/>
      <c r="M728" s="15"/>
      <c r="N728" s="15"/>
      <c r="O728" s="15"/>
      <c r="P728" s="15"/>
      <c r="Q728" s="15"/>
      <c r="R728" s="15"/>
      <c r="S728" s="15"/>
      <c r="T728" s="15"/>
      <c r="U728" s="15"/>
      <c r="V728" s="15"/>
      <c r="W728" s="15"/>
      <c r="X728" s="14"/>
      <c r="Y728" s="14"/>
      <c r="Z728" s="15"/>
      <c r="AA728" s="3"/>
      <c r="AB728" s="3"/>
      <c r="AC728" s="3"/>
      <c r="AD728" s="3"/>
      <c r="AE728" s="3"/>
      <c r="AF728" s="3"/>
    </row>
    <row r="729" ht="15.75" customHeight="1">
      <c r="J729" s="15"/>
      <c r="K729" s="188"/>
      <c r="L729" s="15"/>
      <c r="M729" s="15"/>
      <c r="N729" s="15"/>
      <c r="O729" s="15"/>
      <c r="P729" s="15"/>
      <c r="Q729" s="15"/>
      <c r="R729" s="15"/>
      <c r="S729" s="15"/>
      <c r="T729" s="15"/>
      <c r="U729" s="15"/>
      <c r="V729" s="15"/>
      <c r="W729" s="15"/>
      <c r="X729" s="14"/>
      <c r="Y729" s="14"/>
      <c r="Z729" s="15"/>
      <c r="AA729" s="3"/>
      <c r="AB729" s="3"/>
      <c r="AC729" s="3"/>
      <c r="AD729" s="3"/>
      <c r="AE729" s="3"/>
      <c r="AF729" s="3"/>
    </row>
    <row r="730" ht="15.75" customHeight="1">
      <c r="J730" s="15"/>
      <c r="K730" s="188"/>
      <c r="L730" s="15"/>
      <c r="M730" s="15"/>
      <c r="N730" s="15"/>
      <c r="O730" s="15"/>
      <c r="P730" s="15"/>
      <c r="Q730" s="15"/>
      <c r="R730" s="15"/>
      <c r="S730" s="15"/>
      <c r="T730" s="15"/>
      <c r="U730" s="15"/>
      <c r="V730" s="15"/>
      <c r="W730" s="15"/>
      <c r="X730" s="14"/>
      <c r="Y730" s="14"/>
      <c r="Z730" s="15"/>
      <c r="AA730" s="3"/>
      <c r="AB730" s="3"/>
      <c r="AC730" s="3"/>
      <c r="AD730" s="3"/>
      <c r="AE730" s="3"/>
      <c r="AF730" s="3"/>
    </row>
    <row r="731" ht="15.75" customHeight="1">
      <c r="J731" s="15"/>
      <c r="K731" s="188"/>
      <c r="L731" s="15"/>
      <c r="M731" s="15"/>
      <c r="N731" s="15"/>
      <c r="O731" s="15"/>
      <c r="P731" s="15"/>
      <c r="Q731" s="15"/>
      <c r="R731" s="15"/>
      <c r="S731" s="15"/>
      <c r="T731" s="15"/>
      <c r="U731" s="15"/>
      <c r="V731" s="15"/>
      <c r="W731" s="15"/>
      <c r="X731" s="14"/>
      <c r="Y731" s="14"/>
      <c r="Z731" s="15"/>
      <c r="AA731" s="3"/>
      <c r="AB731" s="3"/>
      <c r="AC731" s="3"/>
      <c r="AD731" s="3"/>
      <c r="AE731" s="3"/>
      <c r="AF731" s="3"/>
    </row>
    <row r="732" ht="15.75" customHeight="1">
      <c r="J732" s="15"/>
      <c r="K732" s="188"/>
      <c r="L732" s="15"/>
      <c r="M732" s="15"/>
      <c r="N732" s="15"/>
      <c r="O732" s="15"/>
      <c r="P732" s="15"/>
      <c r="Q732" s="15"/>
      <c r="R732" s="15"/>
      <c r="S732" s="15"/>
      <c r="T732" s="15"/>
      <c r="U732" s="15"/>
      <c r="V732" s="15"/>
      <c r="W732" s="15"/>
      <c r="X732" s="14"/>
      <c r="Y732" s="14"/>
      <c r="Z732" s="15"/>
      <c r="AA732" s="3"/>
      <c r="AB732" s="3"/>
      <c r="AC732" s="3"/>
      <c r="AD732" s="3"/>
      <c r="AE732" s="3"/>
      <c r="AF732" s="3"/>
    </row>
    <row r="733" ht="15.75" customHeight="1">
      <c r="J733" s="15"/>
      <c r="K733" s="188"/>
      <c r="L733" s="15"/>
      <c r="M733" s="15"/>
      <c r="N733" s="15"/>
      <c r="O733" s="15"/>
      <c r="P733" s="15"/>
      <c r="Q733" s="15"/>
      <c r="R733" s="15"/>
      <c r="S733" s="15"/>
      <c r="T733" s="15"/>
      <c r="U733" s="15"/>
      <c r="V733" s="15"/>
      <c r="W733" s="15"/>
      <c r="X733" s="14"/>
      <c r="Y733" s="14"/>
      <c r="Z733" s="15"/>
      <c r="AA733" s="3"/>
      <c r="AB733" s="3"/>
      <c r="AC733" s="3"/>
      <c r="AD733" s="3"/>
      <c r="AE733" s="3"/>
      <c r="AF733" s="3"/>
    </row>
    <row r="734" ht="15.75" customHeight="1">
      <c r="J734" s="15"/>
      <c r="K734" s="188"/>
      <c r="L734" s="15"/>
      <c r="M734" s="15"/>
      <c r="N734" s="15"/>
      <c r="O734" s="15"/>
      <c r="P734" s="15"/>
      <c r="Q734" s="15"/>
      <c r="R734" s="15"/>
      <c r="S734" s="15"/>
      <c r="T734" s="15"/>
      <c r="U734" s="15"/>
      <c r="V734" s="15"/>
      <c r="W734" s="15"/>
      <c r="X734" s="14"/>
      <c r="Y734" s="14"/>
      <c r="Z734" s="15"/>
      <c r="AA734" s="3"/>
      <c r="AB734" s="3"/>
      <c r="AC734" s="3"/>
      <c r="AD734" s="3"/>
      <c r="AE734" s="3"/>
      <c r="AF734" s="3"/>
    </row>
    <row r="735" ht="15.75" customHeight="1">
      <c r="J735" s="15"/>
      <c r="K735" s="188"/>
      <c r="L735" s="15"/>
      <c r="M735" s="15"/>
      <c r="N735" s="15"/>
      <c r="O735" s="15"/>
      <c r="P735" s="15"/>
      <c r="Q735" s="15"/>
      <c r="R735" s="15"/>
      <c r="S735" s="15"/>
      <c r="T735" s="15"/>
      <c r="U735" s="15"/>
      <c r="V735" s="15"/>
      <c r="W735" s="15"/>
      <c r="X735" s="14"/>
      <c r="Y735" s="14"/>
      <c r="Z735" s="15"/>
      <c r="AA735" s="3"/>
      <c r="AB735" s="3"/>
      <c r="AC735" s="3"/>
      <c r="AD735" s="3"/>
      <c r="AE735" s="3"/>
      <c r="AF735" s="3"/>
    </row>
    <row r="736" ht="15.75" customHeight="1">
      <c r="J736" s="15"/>
      <c r="K736" s="188"/>
      <c r="L736" s="15"/>
      <c r="M736" s="15"/>
      <c r="N736" s="15"/>
      <c r="O736" s="15"/>
      <c r="P736" s="15"/>
      <c r="Q736" s="15"/>
      <c r="R736" s="15"/>
      <c r="S736" s="15"/>
      <c r="T736" s="15"/>
      <c r="U736" s="15"/>
      <c r="V736" s="15"/>
      <c r="W736" s="15"/>
      <c r="X736" s="14"/>
      <c r="Y736" s="14"/>
      <c r="Z736" s="15"/>
      <c r="AA736" s="3"/>
      <c r="AB736" s="3"/>
      <c r="AC736" s="3"/>
      <c r="AD736" s="3"/>
      <c r="AE736" s="3"/>
      <c r="AF736" s="3"/>
    </row>
    <row r="737" ht="15.75" customHeight="1">
      <c r="J737" s="15"/>
      <c r="K737" s="188"/>
      <c r="L737" s="15"/>
      <c r="M737" s="15"/>
      <c r="N737" s="15"/>
      <c r="O737" s="15"/>
      <c r="P737" s="15"/>
      <c r="Q737" s="15"/>
      <c r="R737" s="15"/>
      <c r="S737" s="15"/>
      <c r="T737" s="15"/>
      <c r="U737" s="15"/>
      <c r="V737" s="15"/>
      <c r="W737" s="15"/>
      <c r="X737" s="14"/>
      <c r="Y737" s="14"/>
      <c r="Z737" s="15"/>
      <c r="AA737" s="3"/>
      <c r="AB737" s="3"/>
      <c r="AC737" s="3"/>
      <c r="AD737" s="3"/>
      <c r="AE737" s="3"/>
      <c r="AF737" s="3"/>
    </row>
    <row r="738" ht="15.75" customHeight="1">
      <c r="J738" s="15"/>
      <c r="K738" s="188"/>
      <c r="L738" s="15"/>
      <c r="M738" s="15"/>
      <c r="N738" s="15"/>
      <c r="O738" s="15"/>
      <c r="P738" s="15"/>
      <c r="Q738" s="15"/>
      <c r="R738" s="15"/>
      <c r="S738" s="15"/>
      <c r="T738" s="15"/>
      <c r="U738" s="15"/>
      <c r="V738" s="15"/>
      <c r="W738" s="15"/>
      <c r="X738" s="14"/>
      <c r="Y738" s="14"/>
      <c r="Z738" s="15"/>
      <c r="AA738" s="3"/>
      <c r="AB738" s="3"/>
      <c r="AC738" s="3"/>
      <c r="AD738" s="3"/>
      <c r="AE738" s="3"/>
      <c r="AF738" s="3"/>
    </row>
    <row r="739" ht="15.75" customHeight="1">
      <c r="J739" s="15"/>
      <c r="K739" s="188"/>
      <c r="L739" s="15"/>
      <c r="M739" s="15"/>
      <c r="N739" s="15"/>
      <c r="O739" s="15"/>
      <c r="P739" s="15"/>
      <c r="Q739" s="15"/>
      <c r="R739" s="15"/>
      <c r="S739" s="15"/>
      <c r="T739" s="15"/>
      <c r="U739" s="15"/>
      <c r="V739" s="15"/>
      <c r="W739" s="15"/>
      <c r="X739" s="14"/>
      <c r="Y739" s="14"/>
      <c r="Z739" s="15"/>
      <c r="AA739" s="3"/>
      <c r="AB739" s="3"/>
      <c r="AC739" s="3"/>
      <c r="AD739" s="3"/>
      <c r="AE739" s="3"/>
      <c r="AF739" s="3"/>
    </row>
    <row r="740" ht="15.75" customHeight="1">
      <c r="J740" s="15"/>
      <c r="K740" s="188"/>
      <c r="L740" s="15"/>
      <c r="M740" s="15"/>
      <c r="N740" s="15"/>
      <c r="O740" s="15"/>
      <c r="P740" s="15"/>
      <c r="Q740" s="15"/>
      <c r="R740" s="15"/>
      <c r="S740" s="15"/>
      <c r="T740" s="15"/>
      <c r="U740" s="15"/>
      <c r="V740" s="15"/>
      <c r="W740" s="15"/>
      <c r="X740" s="14"/>
      <c r="Y740" s="14"/>
      <c r="Z740" s="15"/>
      <c r="AA740" s="3"/>
      <c r="AB740" s="3"/>
      <c r="AC740" s="3"/>
      <c r="AD740" s="3"/>
      <c r="AE740" s="3"/>
      <c r="AF740" s="3"/>
    </row>
    <row r="741" ht="15.75" customHeight="1">
      <c r="J741" s="15"/>
      <c r="K741" s="188"/>
      <c r="L741" s="15"/>
      <c r="M741" s="15"/>
      <c r="N741" s="15"/>
      <c r="O741" s="15"/>
      <c r="P741" s="15"/>
      <c r="Q741" s="15"/>
      <c r="R741" s="15"/>
      <c r="S741" s="15"/>
      <c r="T741" s="15"/>
      <c r="U741" s="15"/>
      <c r="V741" s="15"/>
      <c r="W741" s="15"/>
      <c r="X741" s="14"/>
      <c r="Y741" s="14"/>
      <c r="Z741" s="15"/>
      <c r="AA741" s="3"/>
      <c r="AB741" s="3"/>
      <c r="AC741" s="3"/>
      <c r="AD741" s="3"/>
      <c r="AE741" s="3"/>
      <c r="AF741" s="3"/>
    </row>
    <row r="742" ht="15.75" customHeight="1">
      <c r="J742" s="15"/>
      <c r="K742" s="188"/>
      <c r="L742" s="15"/>
      <c r="M742" s="15"/>
      <c r="N742" s="15"/>
      <c r="O742" s="15"/>
      <c r="P742" s="15"/>
      <c r="Q742" s="15"/>
      <c r="R742" s="15"/>
      <c r="S742" s="15"/>
      <c r="T742" s="15"/>
      <c r="U742" s="15"/>
      <c r="V742" s="15"/>
      <c r="W742" s="15"/>
      <c r="X742" s="14"/>
      <c r="Y742" s="14"/>
      <c r="Z742" s="15"/>
      <c r="AA742" s="3"/>
      <c r="AB742" s="3"/>
      <c r="AC742" s="3"/>
      <c r="AD742" s="3"/>
      <c r="AE742" s="3"/>
      <c r="AF742" s="3"/>
    </row>
    <row r="743" ht="15.75" customHeight="1">
      <c r="J743" s="15"/>
      <c r="K743" s="188"/>
      <c r="L743" s="15"/>
      <c r="M743" s="15"/>
      <c r="N743" s="15"/>
      <c r="O743" s="15"/>
      <c r="P743" s="15"/>
      <c r="Q743" s="15"/>
      <c r="R743" s="15"/>
      <c r="S743" s="15"/>
      <c r="T743" s="15"/>
      <c r="U743" s="15"/>
      <c r="V743" s="15"/>
      <c r="W743" s="15"/>
      <c r="X743" s="14"/>
      <c r="Y743" s="14"/>
      <c r="Z743" s="15"/>
      <c r="AA743" s="3"/>
      <c r="AB743" s="3"/>
      <c r="AC743" s="3"/>
      <c r="AD743" s="3"/>
      <c r="AE743" s="3"/>
      <c r="AF743" s="3"/>
    </row>
    <row r="744" ht="15.75" customHeight="1">
      <c r="J744" s="15"/>
      <c r="K744" s="188"/>
      <c r="L744" s="15"/>
      <c r="M744" s="15"/>
      <c r="N744" s="15"/>
      <c r="O744" s="15"/>
      <c r="P744" s="15"/>
      <c r="Q744" s="15"/>
      <c r="R744" s="15"/>
      <c r="S744" s="15"/>
      <c r="T744" s="15"/>
      <c r="U744" s="15"/>
      <c r="V744" s="15"/>
      <c r="W744" s="15"/>
      <c r="X744" s="14"/>
      <c r="Y744" s="14"/>
      <c r="Z744" s="15"/>
      <c r="AA744" s="3"/>
      <c r="AB744" s="3"/>
      <c r="AC744" s="3"/>
      <c r="AD744" s="3"/>
      <c r="AE744" s="3"/>
      <c r="AF744" s="3"/>
    </row>
    <row r="745" ht="15.75" customHeight="1">
      <c r="J745" s="15"/>
      <c r="K745" s="188"/>
      <c r="L745" s="15"/>
      <c r="M745" s="15"/>
      <c r="N745" s="15"/>
      <c r="O745" s="15"/>
      <c r="P745" s="15"/>
      <c r="Q745" s="15"/>
      <c r="R745" s="15"/>
      <c r="S745" s="15"/>
      <c r="T745" s="15"/>
      <c r="U745" s="15"/>
      <c r="V745" s="15"/>
      <c r="W745" s="15"/>
      <c r="X745" s="14"/>
      <c r="Y745" s="14"/>
      <c r="Z745" s="15"/>
      <c r="AA745" s="3"/>
      <c r="AB745" s="3"/>
      <c r="AC745" s="3"/>
      <c r="AD745" s="3"/>
      <c r="AE745" s="3"/>
      <c r="AF745" s="3"/>
    </row>
    <row r="746" ht="15.75" customHeight="1">
      <c r="J746" s="15"/>
      <c r="K746" s="188"/>
      <c r="L746" s="15"/>
      <c r="M746" s="15"/>
      <c r="N746" s="15"/>
      <c r="O746" s="15"/>
      <c r="P746" s="15"/>
      <c r="Q746" s="15"/>
      <c r="R746" s="15"/>
      <c r="S746" s="15"/>
      <c r="T746" s="15"/>
      <c r="U746" s="15"/>
      <c r="V746" s="15"/>
      <c r="W746" s="15"/>
      <c r="X746" s="14"/>
      <c r="Y746" s="14"/>
      <c r="Z746" s="15"/>
      <c r="AA746" s="3"/>
      <c r="AB746" s="3"/>
      <c r="AC746" s="3"/>
      <c r="AD746" s="3"/>
      <c r="AE746" s="3"/>
      <c r="AF746" s="3"/>
    </row>
    <row r="747" ht="15.75" customHeight="1">
      <c r="J747" s="15"/>
      <c r="K747" s="188"/>
      <c r="L747" s="15"/>
      <c r="M747" s="15"/>
      <c r="N747" s="15"/>
      <c r="O747" s="15"/>
      <c r="P747" s="15"/>
      <c r="Q747" s="15"/>
      <c r="R747" s="15"/>
      <c r="S747" s="15"/>
      <c r="T747" s="15"/>
      <c r="U747" s="15"/>
      <c r="V747" s="15"/>
      <c r="W747" s="15"/>
      <c r="X747" s="14"/>
      <c r="Y747" s="14"/>
      <c r="Z747" s="15"/>
      <c r="AA747" s="3"/>
      <c r="AB747" s="3"/>
      <c r="AC747" s="3"/>
      <c r="AD747" s="3"/>
      <c r="AE747" s="3"/>
      <c r="AF747" s="3"/>
    </row>
    <row r="748" ht="15.75" customHeight="1">
      <c r="J748" s="15"/>
      <c r="K748" s="188"/>
      <c r="L748" s="15"/>
      <c r="M748" s="15"/>
      <c r="N748" s="15"/>
      <c r="O748" s="15"/>
      <c r="P748" s="15"/>
      <c r="Q748" s="15"/>
      <c r="R748" s="15"/>
      <c r="S748" s="15"/>
      <c r="T748" s="15"/>
      <c r="U748" s="15"/>
      <c r="V748" s="15"/>
      <c r="W748" s="15"/>
      <c r="X748" s="14"/>
      <c r="Y748" s="14"/>
      <c r="Z748" s="15"/>
      <c r="AA748" s="3"/>
      <c r="AB748" s="3"/>
      <c r="AC748" s="3"/>
      <c r="AD748" s="3"/>
      <c r="AE748" s="3"/>
      <c r="AF748" s="3"/>
    </row>
    <row r="749" ht="15.75" customHeight="1">
      <c r="J749" s="15"/>
      <c r="K749" s="188"/>
      <c r="L749" s="15"/>
      <c r="M749" s="15"/>
      <c r="N749" s="15"/>
      <c r="O749" s="15"/>
      <c r="P749" s="15"/>
      <c r="Q749" s="15"/>
      <c r="R749" s="15"/>
      <c r="S749" s="15"/>
      <c r="T749" s="15"/>
      <c r="U749" s="15"/>
      <c r="V749" s="15"/>
      <c r="W749" s="15"/>
      <c r="X749" s="14"/>
      <c r="Y749" s="14"/>
      <c r="Z749" s="15"/>
      <c r="AA749" s="3"/>
      <c r="AB749" s="3"/>
      <c r="AC749" s="3"/>
      <c r="AD749" s="3"/>
      <c r="AE749" s="3"/>
      <c r="AF749" s="3"/>
    </row>
    <row r="750" ht="15.75" customHeight="1">
      <c r="J750" s="15"/>
      <c r="K750" s="188"/>
      <c r="L750" s="15"/>
      <c r="M750" s="15"/>
      <c r="N750" s="15"/>
      <c r="O750" s="15"/>
      <c r="P750" s="15"/>
      <c r="Q750" s="15"/>
      <c r="R750" s="15"/>
      <c r="S750" s="15"/>
      <c r="T750" s="15"/>
      <c r="U750" s="15"/>
      <c r="V750" s="15"/>
      <c r="W750" s="15"/>
      <c r="X750" s="14"/>
      <c r="Y750" s="14"/>
      <c r="Z750" s="15"/>
      <c r="AA750" s="3"/>
      <c r="AB750" s="3"/>
      <c r="AC750" s="3"/>
      <c r="AD750" s="3"/>
      <c r="AE750" s="3"/>
      <c r="AF750" s="3"/>
    </row>
    <row r="751" ht="15.75" customHeight="1">
      <c r="J751" s="15"/>
      <c r="K751" s="188"/>
      <c r="L751" s="15"/>
      <c r="M751" s="15"/>
      <c r="N751" s="15"/>
      <c r="O751" s="15"/>
      <c r="P751" s="15"/>
      <c r="Q751" s="15"/>
      <c r="R751" s="15"/>
      <c r="S751" s="15"/>
      <c r="T751" s="15"/>
      <c r="U751" s="15"/>
      <c r="V751" s="15"/>
      <c r="W751" s="15"/>
      <c r="X751" s="14"/>
      <c r="Y751" s="14"/>
      <c r="Z751" s="15"/>
      <c r="AA751" s="3"/>
      <c r="AB751" s="3"/>
      <c r="AC751" s="3"/>
      <c r="AD751" s="3"/>
      <c r="AE751" s="3"/>
      <c r="AF751" s="3"/>
    </row>
    <row r="752" ht="15.75" customHeight="1">
      <c r="J752" s="15"/>
      <c r="K752" s="188"/>
      <c r="L752" s="15"/>
      <c r="M752" s="15"/>
      <c r="N752" s="15"/>
      <c r="O752" s="15"/>
      <c r="P752" s="15"/>
      <c r="Q752" s="15"/>
      <c r="R752" s="15"/>
      <c r="S752" s="15"/>
      <c r="T752" s="15"/>
      <c r="U752" s="15"/>
      <c r="V752" s="15"/>
      <c r="W752" s="15"/>
      <c r="X752" s="14"/>
      <c r="Y752" s="14"/>
      <c r="Z752" s="15"/>
      <c r="AA752" s="3"/>
      <c r="AB752" s="3"/>
      <c r="AC752" s="3"/>
      <c r="AD752" s="3"/>
      <c r="AE752" s="3"/>
      <c r="AF752" s="3"/>
    </row>
    <row r="753" ht="15.75" customHeight="1">
      <c r="J753" s="15"/>
      <c r="K753" s="188"/>
      <c r="L753" s="15"/>
      <c r="M753" s="15"/>
      <c r="N753" s="15"/>
      <c r="O753" s="15"/>
      <c r="P753" s="15"/>
      <c r="Q753" s="15"/>
      <c r="R753" s="15"/>
      <c r="S753" s="15"/>
      <c r="T753" s="15"/>
      <c r="U753" s="15"/>
      <c r="V753" s="15"/>
      <c r="W753" s="15"/>
      <c r="X753" s="14"/>
      <c r="Y753" s="14"/>
      <c r="Z753" s="15"/>
      <c r="AA753" s="3"/>
      <c r="AB753" s="3"/>
      <c r="AC753" s="3"/>
      <c r="AD753" s="3"/>
      <c r="AE753" s="3"/>
      <c r="AF753" s="3"/>
    </row>
    <row r="754" ht="15.75" customHeight="1">
      <c r="J754" s="15"/>
      <c r="K754" s="188"/>
      <c r="L754" s="15"/>
      <c r="M754" s="15"/>
      <c r="N754" s="15"/>
      <c r="O754" s="15"/>
      <c r="P754" s="15"/>
      <c r="Q754" s="15"/>
      <c r="R754" s="15"/>
      <c r="S754" s="15"/>
      <c r="T754" s="15"/>
      <c r="U754" s="15"/>
      <c r="V754" s="15"/>
      <c r="W754" s="15"/>
      <c r="X754" s="14"/>
      <c r="Y754" s="14"/>
      <c r="Z754" s="15"/>
      <c r="AA754" s="3"/>
      <c r="AB754" s="3"/>
      <c r="AC754" s="3"/>
      <c r="AD754" s="3"/>
      <c r="AE754" s="3"/>
      <c r="AF754" s="3"/>
    </row>
    <row r="755" ht="15.75" customHeight="1">
      <c r="J755" s="15"/>
      <c r="K755" s="188"/>
      <c r="L755" s="15"/>
      <c r="M755" s="15"/>
      <c r="N755" s="15"/>
      <c r="O755" s="15"/>
      <c r="P755" s="15"/>
      <c r="Q755" s="15"/>
      <c r="R755" s="15"/>
      <c r="S755" s="15"/>
      <c r="T755" s="15"/>
      <c r="U755" s="15"/>
      <c r="V755" s="15"/>
      <c r="W755" s="15"/>
      <c r="X755" s="14"/>
      <c r="Y755" s="14"/>
      <c r="Z755" s="15"/>
      <c r="AA755" s="3"/>
      <c r="AB755" s="3"/>
      <c r="AC755" s="3"/>
      <c r="AD755" s="3"/>
      <c r="AE755" s="3"/>
      <c r="AF755" s="3"/>
    </row>
    <row r="756" ht="15.75" customHeight="1">
      <c r="J756" s="15"/>
      <c r="K756" s="188"/>
      <c r="L756" s="15"/>
      <c r="M756" s="15"/>
      <c r="N756" s="15"/>
      <c r="O756" s="15"/>
      <c r="P756" s="15"/>
      <c r="Q756" s="15"/>
      <c r="R756" s="15"/>
      <c r="S756" s="15"/>
      <c r="T756" s="15"/>
      <c r="U756" s="15"/>
      <c r="V756" s="15"/>
      <c r="W756" s="15"/>
      <c r="X756" s="14"/>
      <c r="Y756" s="14"/>
      <c r="Z756" s="15"/>
      <c r="AA756" s="3"/>
      <c r="AB756" s="3"/>
      <c r="AC756" s="3"/>
      <c r="AD756" s="3"/>
      <c r="AE756" s="3"/>
      <c r="AF756" s="3"/>
    </row>
    <row r="757" ht="15.75" customHeight="1">
      <c r="J757" s="15"/>
      <c r="K757" s="188"/>
      <c r="L757" s="15"/>
      <c r="M757" s="15"/>
      <c r="N757" s="15"/>
      <c r="O757" s="15"/>
      <c r="P757" s="15"/>
      <c r="Q757" s="15"/>
      <c r="R757" s="15"/>
      <c r="S757" s="15"/>
      <c r="T757" s="15"/>
      <c r="U757" s="15"/>
      <c r="V757" s="15"/>
      <c r="W757" s="15"/>
      <c r="X757" s="14"/>
      <c r="Y757" s="14"/>
      <c r="Z757" s="15"/>
      <c r="AA757" s="3"/>
      <c r="AB757" s="3"/>
      <c r="AC757" s="3"/>
      <c r="AD757" s="3"/>
      <c r="AE757" s="3"/>
      <c r="AF757" s="3"/>
    </row>
    <row r="758" ht="15.75" customHeight="1">
      <c r="J758" s="15"/>
      <c r="K758" s="188"/>
      <c r="L758" s="15"/>
      <c r="M758" s="15"/>
      <c r="N758" s="15"/>
      <c r="O758" s="15"/>
      <c r="P758" s="15"/>
      <c r="Q758" s="15"/>
      <c r="R758" s="15"/>
      <c r="S758" s="15"/>
      <c r="T758" s="15"/>
      <c r="U758" s="15"/>
      <c r="V758" s="15"/>
      <c r="W758" s="15"/>
      <c r="X758" s="14"/>
      <c r="Y758" s="14"/>
      <c r="Z758" s="15"/>
      <c r="AA758" s="3"/>
      <c r="AB758" s="3"/>
      <c r="AC758" s="3"/>
      <c r="AD758" s="3"/>
      <c r="AE758" s="3"/>
      <c r="AF758" s="3"/>
    </row>
    <row r="759" ht="15.75" customHeight="1">
      <c r="J759" s="15"/>
      <c r="K759" s="188"/>
      <c r="L759" s="15"/>
      <c r="M759" s="15"/>
      <c r="N759" s="15"/>
      <c r="O759" s="15"/>
      <c r="P759" s="15"/>
      <c r="Q759" s="15"/>
      <c r="R759" s="15"/>
      <c r="S759" s="15"/>
      <c r="T759" s="15"/>
      <c r="U759" s="15"/>
      <c r="V759" s="15"/>
      <c r="W759" s="15"/>
      <c r="X759" s="14"/>
      <c r="Y759" s="14"/>
      <c r="Z759" s="15"/>
      <c r="AA759" s="3"/>
      <c r="AB759" s="3"/>
      <c r="AC759" s="3"/>
      <c r="AD759" s="3"/>
      <c r="AE759" s="3"/>
      <c r="AF759" s="3"/>
    </row>
    <row r="760" ht="15.75" customHeight="1">
      <c r="J760" s="15"/>
      <c r="K760" s="188"/>
      <c r="L760" s="15"/>
      <c r="M760" s="15"/>
      <c r="N760" s="15"/>
      <c r="O760" s="15"/>
      <c r="P760" s="15"/>
      <c r="Q760" s="15"/>
      <c r="R760" s="15"/>
      <c r="S760" s="15"/>
      <c r="T760" s="15"/>
      <c r="U760" s="15"/>
      <c r="V760" s="15"/>
      <c r="W760" s="15"/>
      <c r="X760" s="14"/>
      <c r="Y760" s="14"/>
      <c r="Z760" s="15"/>
      <c r="AA760" s="3"/>
      <c r="AB760" s="3"/>
      <c r="AC760" s="3"/>
      <c r="AD760" s="3"/>
      <c r="AE760" s="3"/>
      <c r="AF760" s="3"/>
    </row>
    <row r="761" ht="15.75" customHeight="1">
      <c r="J761" s="15"/>
      <c r="K761" s="188"/>
      <c r="L761" s="15"/>
      <c r="M761" s="15"/>
      <c r="N761" s="15"/>
      <c r="O761" s="15"/>
      <c r="P761" s="15"/>
      <c r="Q761" s="15"/>
      <c r="R761" s="15"/>
      <c r="S761" s="15"/>
      <c r="T761" s="15"/>
      <c r="U761" s="15"/>
      <c r="V761" s="15"/>
      <c r="W761" s="15"/>
      <c r="X761" s="14"/>
      <c r="Y761" s="14"/>
      <c r="Z761" s="15"/>
      <c r="AA761" s="3"/>
      <c r="AB761" s="3"/>
      <c r="AC761" s="3"/>
      <c r="AD761" s="3"/>
      <c r="AE761" s="3"/>
      <c r="AF761" s="3"/>
    </row>
    <row r="762" ht="15.75" customHeight="1">
      <c r="J762" s="15"/>
      <c r="K762" s="188"/>
      <c r="L762" s="15"/>
      <c r="M762" s="15"/>
      <c r="N762" s="15"/>
      <c r="O762" s="15"/>
      <c r="P762" s="15"/>
      <c r="Q762" s="15"/>
      <c r="R762" s="15"/>
      <c r="S762" s="15"/>
      <c r="T762" s="15"/>
      <c r="U762" s="15"/>
      <c r="V762" s="15"/>
      <c r="W762" s="15"/>
      <c r="X762" s="14"/>
      <c r="Y762" s="14"/>
      <c r="Z762" s="15"/>
      <c r="AA762" s="3"/>
      <c r="AB762" s="3"/>
      <c r="AC762" s="3"/>
      <c r="AD762" s="3"/>
      <c r="AE762" s="3"/>
      <c r="AF762" s="3"/>
    </row>
    <row r="763" ht="15.75" customHeight="1">
      <c r="J763" s="15"/>
      <c r="K763" s="188"/>
      <c r="L763" s="15"/>
      <c r="M763" s="15"/>
      <c r="N763" s="15"/>
      <c r="O763" s="15"/>
      <c r="P763" s="15"/>
      <c r="Q763" s="15"/>
      <c r="R763" s="15"/>
      <c r="S763" s="15"/>
      <c r="T763" s="15"/>
      <c r="U763" s="15"/>
      <c r="V763" s="15"/>
      <c r="W763" s="15"/>
      <c r="X763" s="14"/>
      <c r="Y763" s="14"/>
      <c r="Z763" s="15"/>
      <c r="AA763" s="3"/>
      <c r="AB763" s="3"/>
      <c r="AC763" s="3"/>
      <c r="AD763" s="3"/>
      <c r="AE763" s="3"/>
      <c r="AF763" s="3"/>
    </row>
    <row r="764" ht="15.75" customHeight="1">
      <c r="J764" s="15"/>
      <c r="K764" s="188"/>
      <c r="L764" s="15"/>
      <c r="M764" s="15"/>
      <c r="N764" s="15"/>
      <c r="O764" s="15"/>
      <c r="P764" s="15"/>
      <c r="Q764" s="15"/>
      <c r="R764" s="15"/>
      <c r="S764" s="15"/>
      <c r="T764" s="15"/>
      <c r="U764" s="15"/>
      <c r="V764" s="15"/>
      <c r="W764" s="15"/>
      <c r="X764" s="14"/>
      <c r="Y764" s="14"/>
      <c r="Z764" s="15"/>
      <c r="AA764" s="3"/>
      <c r="AB764" s="3"/>
      <c r="AC764" s="3"/>
      <c r="AD764" s="3"/>
      <c r="AE764" s="3"/>
      <c r="AF764" s="3"/>
    </row>
    <row r="765" ht="15.75" customHeight="1">
      <c r="J765" s="15"/>
      <c r="K765" s="188"/>
      <c r="L765" s="15"/>
      <c r="M765" s="15"/>
      <c r="N765" s="15"/>
      <c r="O765" s="15"/>
      <c r="P765" s="15"/>
      <c r="Q765" s="15"/>
      <c r="R765" s="15"/>
      <c r="S765" s="15"/>
      <c r="T765" s="15"/>
      <c r="U765" s="15"/>
      <c r="V765" s="15"/>
      <c r="W765" s="15"/>
      <c r="X765" s="14"/>
      <c r="Y765" s="14"/>
      <c r="Z765" s="15"/>
      <c r="AA765" s="3"/>
      <c r="AB765" s="3"/>
      <c r="AC765" s="3"/>
      <c r="AD765" s="3"/>
      <c r="AE765" s="3"/>
      <c r="AF765" s="3"/>
    </row>
    <row r="766" ht="15.75" customHeight="1">
      <c r="J766" s="15"/>
      <c r="K766" s="188"/>
      <c r="L766" s="15"/>
      <c r="M766" s="15"/>
      <c r="N766" s="15"/>
      <c r="O766" s="15"/>
      <c r="P766" s="15"/>
      <c r="Q766" s="15"/>
      <c r="R766" s="15"/>
      <c r="S766" s="15"/>
      <c r="T766" s="15"/>
      <c r="U766" s="15"/>
      <c r="V766" s="15"/>
      <c r="W766" s="15"/>
      <c r="X766" s="14"/>
      <c r="Y766" s="14"/>
      <c r="Z766" s="15"/>
      <c r="AA766" s="3"/>
      <c r="AB766" s="3"/>
      <c r="AC766" s="3"/>
      <c r="AD766" s="3"/>
      <c r="AE766" s="3"/>
      <c r="AF766" s="3"/>
    </row>
    <row r="767" ht="15.75" customHeight="1">
      <c r="J767" s="15"/>
      <c r="K767" s="188"/>
      <c r="L767" s="15"/>
      <c r="M767" s="15"/>
      <c r="N767" s="15"/>
      <c r="O767" s="15"/>
      <c r="P767" s="15"/>
      <c r="Q767" s="15"/>
      <c r="R767" s="15"/>
      <c r="S767" s="15"/>
      <c r="T767" s="15"/>
      <c r="U767" s="15"/>
      <c r="V767" s="15"/>
      <c r="W767" s="15"/>
      <c r="X767" s="14"/>
      <c r="Y767" s="14"/>
      <c r="Z767" s="15"/>
      <c r="AA767" s="3"/>
      <c r="AB767" s="3"/>
      <c r="AC767" s="3"/>
      <c r="AD767" s="3"/>
      <c r="AE767" s="3"/>
      <c r="AF767" s="3"/>
    </row>
    <row r="768" ht="15.75" customHeight="1">
      <c r="J768" s="15"/>
      <c r="K768" s="188"/>
      <c r="L768" s="15"/>
      <c r="M768" s="15"/>
      <c r="N768" s="15"/>
      <c r="O768" s="15"/>
      <c r="P768" s="15"/>
      <c r="Q768" s="15"/>
      <c r="R768" s="15"/>
      <c r="S768" s="15"/>
      <c r="T768" s="15"/>
      <c r="U768" s="15"/>
      <c r="V768" s="15"/>
      <c r="W768" s="15"/>
      <c r="X768" s="14"/>
      <c r="Y768" s="14"/>
      <c r="Z768" s="15"/>
      <c r="AA768" s="3"/>
      <c r="AB768" s="3"/>
      <c r="AC768" s="3"/>
      <c r="AD768" s="3"/>
      <c r="AE768" s="3"/>
      <c r="AF768" s="3"/>
    </row>
    <row r="769" ht="15.75" customHeight="1">
      <c r="J769" s="15"/>
      <c r="K769" s="188"/>
      <c r="L769" s="15"/>
      <c r="M769" s="15"/>
      <c r="N769" s="15"/>
      <c r="O769" s="15"/>
      <c r="P769" s="15"/>
      <c r="Q769" s="15"/>
      <c r="R769" s="15"/>
      <c r="S769" s="15"/>
      <c r="T769" s="15"/>
      <c r="U769" s="15"/>
      <c r="V769" s="15"/>
      <c r="W769" s="15"/>
      <c r="X769" s="14"/>
      <c r="Y769" s="14"/>
      <c r="Z769" s="15"/>
      <c r="AA769" s="3"/>
      <c r="AB769" s="3"/>
      <c r="AC769" s="3"/>
      <c r="AD769" s="3"/>
      <c r="AE769" s="3"/>
      <c r="AF769" s="3"/>
    </row>
    <row r="770" ht="15.75" customHeight="1">
      <c r="J770" s="15"/>
      <c r="K770" s="188"/>
      <c r="L770" s="15"/>
      <c r="M770" s="15"/>
      <c r="N770" s="15"/>
      <c r="O770" s="15"/>
      <c r="P770" s="15"/>
      <c r="Q770" s="15"/>
      <c r="R770" s="15"/>
      <c r="S770" s="15"/>
      <c r="T770" s="15"/>
      <c r="U770" s="15"/>
      <c r="V770" s="15"/>
      <c r="W770" s="15"/>
      <c r="X770" s="14"/>
      <c r="Y770" s="14"/>
      <c r="Z770" s="15"/>
      <c r="AA770" s="3"/>
      <c r="AB770" s="3"/>
      <c r="AC770" s="3"/>
      <c r="AD770" s="3"/>
      <c r="AE770" s="3"/>
      <c r="AF770" s="3"/>
    </row>
    <row r="771" ht="15.75" customHeight="1">
      <c r="J771" s="15"/>
      <c r="K771" s="188"/>
      <c r="L771" s="15"/>
      <c r="M771" s="15"/>
      <c r="N771" s="15"/>
      <c r="O771" s="15"/>
      <c r="P771" s="15"/>
      <c r="Q771" s="15"/>
      <c r="R771" s="15"/>
      <c r="S771" s="15"/>
      <c r="T771" s="15"/>
      <c r="U771" s="15"/>
      <c r="V771" s="15"/>
      <c r="W771" s="15"/>
      <c r="X771" s="14"/>
      <c r="Y771" s="14"/>
      <c r="Z771" s="15"/>
      <c r="AA771" s="3"/>
      <c r="AB771" s="3"/>
      <c r="AC771" s="3"/>
      <c r="AD771" s="3"/>
      <c r="AE771" s="3"/>
      <c r="AF771" s="3"/>
    </row>
    <row r="772" ht="15.75" customHeight="1">
      <c r="J772" s="15"/>
      <c r="K772" s="188"/>
      <c r="L772" s="15"/>
      <c r="M772" s="15"/>
      <c r="N772" s="15"/>
      <c r="O772" s="15"/>
      <c r="P772" s="15"/>
      <c r="Q772" s="15"/>
      <c r="R772" s="15"/>
      <c r="S772" s="15"/>
      <c r="T772" s="15"/>
      <c r="U772" s="15"/>
      <c r="V772" s="15"/>
      <c r="W772" s="15"/>
      <c r="X772" s="14"/>
      <c r="Y772" s="14"/>
      <c r="Z772" s="15"/>
      <c r="AA772" s="3"/>
      <c r="AB772" s="3"/>
      <c r="AC772" s="3"/>
      <c r="AD772" s="3"/>
      <c r="AE772" s="3"/>
      <c r="AF772" s="3"/>
    </row>
    <row r="773" ht="15.75" customHeight="1">
      <c r="J773" s="15"/>
      <c r="K773" s="188"/>
      <c r="L773" s="15"/>
      <c r="M773" s="15"/>
      <c r="N773" s="15"/>
      <c r="O773" s="15"/>
      <c r="P773" s="15"/>
      <c r="Q773" s="15"/>
      <c r="R773" s="15"/>
      <c r="S773" s="15"/>
      <c r="T773" s="15"/>
      <c r="U773" s="15"/>
      <c r="V773" s="15"/>
      <c r="W773" s="15"/>
      <c r="X773" s="14"/>
      <c r="Y773" s="14"/>
      <c r="Z773" s="15"/>
      <c r="AA773" s="3"/>
      <c r="AB773" s="3"/>
      <c r="AC773" s="3"/>
      <c r="AD773" s="3"/>
      <c r="AE773" s="3"/>
      <c r="AF773" s="3"/>
    </row>
    <row r="774" ht="15.75" customHeight="1">
      <c r="J774" s="15"/>
      <c r="K774" s="188"/>
      <c r="L774" s="15"/>
      <c r="M774" s="15"/>
      <c r="N774" s="15"/>
      <c r="O774" s="15"/>
      <c r="P774" s="15"/>
      <c r="Q774" s="15"/>
      <c r="R774" s="15"/>
      <c r="S774" s="15"/>
      <c r="T774" s="15"/>
      <c r="U774" s="15"/>
      <c r="V774" s="15"/>
      <c r="W774" s="15"/>
      <c r="X774" s="14"/>
      <c r="Y774" s="14"/>
      <c r="Z774" s="15"/>
      <c r="AA774" s="3"/>
      <c r="AB774" s="3"/>
      <c r="AC774" s="3"/>
      <c r="AD774" s="3"/>
      <c r="AE774" s="3"/>
      <c r="AF774" s="3"/>
    </row>
    <row r="775" ht="15.75" customHeight="1">
      <c r="J775" s="15"/>
      <c r="K775" s="188"/>
      <c r="L775" s="15"/>
      <c r="M775" s="15"/>
      <c r="N775" s="15"/>
      <c r="O775" s="15"/>
      <c r="P775" s="15"/>
      <c r="Q775" s="15"/>
      <c r="R775" s="15"/>
      <c r="S775" s="15"/>
      <c r="T775" s="15"/>
      <c r="U775" s="15"/>
      <c r="V775" s="15"/>
      <c r="W775" s="15"/>
      <c r="X775" s="14"/>
      <c r="Y775" s="14"/>
      <c r="Z775" s="15"/>
      <c r="AA775" s="3"/>
      <c r="AB775" s="3"/>
      <c r="AC775" s="3"/>
      <c r="AD775" s="3"/>
      <c r="AE775" s="3"/>
      <c r="AF775" s="3"/>
    </row>
    <row r="776" ht="15.75" customHeight="1">
      <c r="J776" s="15"/>
      <c r="K776" s="188"/>
      <c r="L776" s="15"/>
      <c r="M776" s="15"/>
      <c r="N776" s="15"/>
      <c r="O776" s="15"/>
      <c r="P776" s="15"/>
      <c r="Q776" s="15"/>
      <c r="R776" s="15"/>
      <c r="S776" s="15"/>
      <c r="T776" s="15"/>
      <c r="U776" s="15"/>
      <c r="V776" s="15"/>
      <c r="W776" s="15"/>
      <c r="X776" s="14"/>
      <c r="Y776" s="14"/>
      <c r="Z776" s="15"/>
      <c r="AA776" s="3"/>
      <c r="AB776" s="3"/>
      <c r="AC776" s="3"/>
      <c r="AD776" s="3"/>
      <c r="AE776" s="3"/>
      <c r="AF776" s="3"/>
    </row>
    <row r="777" ht="15.75" customHeight="1">
      <c r="J777" s="15"/>
      <c r="K777" s="188"/>
      <c r="L777" s="15"/>
      <c r="M777" s="15"/>
      <c r="N777" s="15"/>
      <c r="O777" s="15"/>
      <c r="P777" s="15"/>
      <c r="Q777" s="15"/>
      <c r="R777" s="15"/>
      <c r="S777" s="15"/>
      <c r="T777" s="15"/>
      <c r="U777" s="15"/>
      <c r="V777" s="15"/>
      <c r="W777" s="15"/>
      <c r="X777" s="14"/>
      <c r="Y777" s="14"/>
      <c r="Z777" s="15"/>
      <c r="AA777" s="3"/>
      <c r="AB777" s="3"/>
      <c r="AC777" s="3"/>
      <c r="AD777" s="3"/>
      <c r="AE777" s="3"/>
      <c r="AF777" s="3"/>
    </row>
    <row r="778" ht="15.75" customHeight="1">
      <c r="J778" s="15"/>
      <c r="K778" s="188"/>
      <c r="L778" s="15"/>
      <c r="M778" s="15"/>
      <c r="N778" s="15"/>
      <c r="O778" s="15"/>
      <c r="P778" s="15"/>
      <c r="Q778" s="15"/>
      <c r="R778" s="15"/>
      <c r="S778" s="15"/>
      <c r="T778" s="15"/>
      <c r="U778" s="15"/>
      <c r="V778" s="15"/>
      <c r="W778" s="15"/>
      <c r="X778" s="14"/>
      <c r="Y778" s="14"/>
      <c r="Z778" s="15"/>
      <c r="AA778" s="3"/>
      <c r="AB778" s="3"/>
      <c r="AC778" s="3"/>
      <c r="AD778" s="3"/>
      <c r="AE778" s="3"/>
      <c r="AF778" s="3"/>
    </row>
    <row r="779" ht="15.75" customHeight="1">
      <c r="J779" s="15"/>
      <c r="K779" s="188"/>
      <c r="L779" s="15"/>
      <c r="M779" s="15"/>
      <c r="N779" s="15"/>
      <c r="O779" s="15"/>
      <c r="P779" s="15"/>
      <c r="Q779" s="15"/>
      <c r="R779" s="15"/>
      <c r="S779" s="15"/>
      <c r="T779" s="15"/>
      <c r="U779" s="15"/>
      <c r="V779" s="15"/>
      <c r="W779" s="15"/>
      <c r="X779" s="14"/>
      <c r="Y779" s="14"/>
      <c r="Z779" s="15"/>
      <c r="AA779" s="3"/>
      <c r="AB779" s="3"/>
      <c r="AC779" s="3"/>
      <c r="AD779" s="3"/>
      <c r="AE779" s="3"/>
      <c r="AF779" s="3"/>
    </row>
    <row r="780" ht="15.75" customHeight="1">
      <c r="J780" s="15"/>
      <c r="K780" s="188"/>
      <c r="L780" s="15"/>
      <c r="M780" s="15"/>
      <c r="N780" s="15"/>
      <c r="O780" s="15"/>
      <c r="P780" s="15"/>
      <c r="Q780" s="15"/>
      <c r="R780" s="15"/>
      <c r="S780" s="15"/>
      <c r="T780" s="15"/>
      <c r="U780" s="15"/>
      <c r="V780" s="15"/>
      <c r="W780" s="15"/>
      <c r="X780" s="14"/>
      <c r="Y780" s="14"/>
      <c r="Z780" s="15"/>
      <c r="AA780" s="3"/>
      <c r="AB780" s="3"/>
      <c r="AC780" s="3"/>
      <c r="AD780" s="3"/>
      <c r="AE780" s="3"/>
      <c r="AF780" s="3"/>
    </row>
    <row r="781" ht="15.75" customHeight="1">
      <c r="J781" s="15"/>
      <c r="K781" s="188"/>
      <c r="L781" s="15"/>
      <c r="M781" s="15"/>
      <c r="N781" s="15"/>
      <c r="O781" s="15"/>
      <c r="P781" s="15"/>
      <c r="Q781" s="15"/>
      <c r="R781" s="15"/>
      <c r="S781" s="15"/>
      <c r="T781" s="15"/>
      <c r="U781" s="15"/>
      <c r="V781" s="15"/>
      <c r="W781" s="15"/>
      <c r="X781" s="14"/>
      <c r="Y781" s="14"/>
      <c r="Z781" s="15"/>
      <c r="AA781" s="3"/>
      <c r="AB781" s="3"/>
      <c r="AC781" s="3"/>
      <c r="AD781" s="3"/>
      <c r="AE781" s="3"/>
      <c r="AF781" s="3"/>
    </row>
    <row r="782" ht="15.75" customHeight="1">
      <c r="J782" s="15"/>
      <c r="K782" s="188"/>
      <c r="L782" s="15"/>
      <c r="M782" s="15"/>
      <c r="N782" s="15"/>
      <c r="O782" s="15"/>
      <c r="P782" s="15"/>
      <c r="Q782" s="15"/>
      <c r="R782" s="15"/>
      <c r="S782" s="15"/>
      <c r="T782" s="15"/>
      <c r="U782" s="15"/>
      <c r="V782" s="15"/>
      <c r="W782" s="15"/>
      <c r="X782" s="14"/>
      <c r="Y782" s="14"/>
      <c r="Z782" s="15"/>
      <c r="AA782" s="3"/>
      <c r="AB782" s="3"/>
      <c r="AC782" s="3"/>
      <c r="AD782" s="3"/>
      <c r="AE782" s="3"/>
      <c r="AF782" s="3"/>
    </row>
    <row r="783" ht="15.75" customHeight="1">
      <c r="J783" s="15"/>
      <c r="K783" s="188"/>
      <c r="L783" s="15"/>
      <c r="M783" s="15"/>
      <c r="N783" s="15"/>
      <c r="O783" s="15"/>
      <c r="P783" s="15"/>
      <c r="Q783" s="15"/>
      <c r="R783" s="15"/>
      <c r="S783" s="15"/>
      <c r="T783" s="15"/>
      <c r="U783" s="15"/>
      <c r="V783" s="15"/>
      <c r="W783" s="15"/>
      <c r="X783" s="14"/>
      <c r="Y783" s="14"/>
      <c r="Z783" s="15"/>
      <c r="AA783" s="3"/>
      <c r="AB783" s="3"/>
      <c r="AC783" s="3"/>
      <c r="AD783" s="3"/>
      <c r="AE783" s="3"/>
      <c r="AF783" s="3"/>
    </row>
    <row r="784" ht="15.75" customHeight="1">
      <c r="J784" s="15"/>
      <c r="K784" s="188"/>
      <c r="L784" s="15"/>
      <c r="M784" s="15"/>
      <c r="N784" s="15"/>
      <c r="O784" s="15"/>
      <c r="P784" s="15"/>
      <c r="Q784" s="15"/>
      <c r="R784" s="15"/>
      <c r="S784" s="15"/>
      <c r="T784" s="15"/>
      <c r="U784" s="15"/>
      <c r="V784" s="15"/>
      <c r="W784" s="15"/>
      <c r="X784" s="14"/>
      <c r="Y784" s="14"/>
      <c r="Z784" s="15"/>
      <c r="AA784" s="3"/>
      <c r="AB784" s="3"/>
      <c r="AC784" s="3"/>
      <c r="AD784" s="3"/>
      <c r="AE784" s="3"/>
      <c r="AF784" s="3"/>
    </row>
    <row r="785" ht="15.75" customHeight="1">
      <c r="J785" s="15"/>
      <c r="K785" s="188"/>
      <c r="L785" s="15"/>
      <c r="M785" s="15"/>
      <c r="N785" s="15"/>
      <c r="O785" s="15"/>
      <c r="P785" s="15"/>
      <c r="Q785" s="15"/>
      <c r="R785" s="15"/>
      <c r="S785" s="15"/>
      <c r="T785" s="15"/>
      <c r="U785" s="15"/>
      <c r="V785" s="15"/>
      <c r="W785" s="15"/>
      <c r="X785" s="14"/>
      <c r="Y785" s="14"/>
      <c r="Z785" s="15"/>
      <c r="AA785" s="3"/>
      <c r="AB785" s="3"/>
      <c r="AC785" s="3"/>
      <c r="AD785" s="3"/>
      <c r="AE785" s="3"/>
      <c r="AF785" s="3"/>
    </row>
    <row r="786" ht="15.75" customHeight="1">
      <c r="J786" s="15"/>
      <c r="K786" s="188"/>
      <c r="L786" s="15"/>
      <c r="M786" s="15"/>
      <c r="N786" s="15"/>
      <c r="O786" s="15"/>
      <c r="P786" s="15"/>
      <c r="Q786" s="15"/>
      <c r="R786" s="15"/>
      <c r="S786" s="15"/>
      <c r="T786" s="15"/>
      <c r="U786" s="15"/>
      <c r="V786" s="15"/>
      <c r="W786" s="15"/>
      <c r="X786" s="14"/>
      <c r="Y786" s="14"/>
      <c r="Z786" s="15"/>
      <c r="AA786" s="3"/>
      <c r="AB786" s="3"/>
      <c r="AC786" s="3"/>
      <c r="AD786" s="3"/>
      <c r="AE786" s="3"/>
      <c r="AF786" s="3"/>
    </row>
    <row r="787" ht="15.75" customHeight="1">
      <c r="J787" s="15"/>
      <c r="K787" s="188"/>
      <c r="L787" s="15"/>
      <c r="M787" s="15"/>
      <c r="N787" s="15"/>
      <c r="O787" s="15"/>
      <c r="P787" s="15"/>
      <c r="Q787" s="15"/>
      <c r="R787" s="15"/>
      <c r="S787" s="15"/>
      <c r="T787" s="15"/>
      <c r="U787" s="15"/>
      <c r="V787" s="15"/>
      <c r="W787" s="15"/>
      <c r="X787" s="14"/>
      <c r="Y787" s="14"/>
      <c r="Z787" s="15"/>
      <c r="AA787" s="3"/>
      <c r="AB787" s="3"/>
      <c r="AC787" s="3"/>
      <c r="AD787" s="3"/>
      <c r="AE787" s="3"/>
      <c r="AF787" s="3"/>
    </row>
    <row r="788" ht="15.75" customHeight="1">
      <c r="J788" s="15"/>
      <c r="K788" s="188"/>
      <c r="L788" s="15"/>
      <c r="M788" s="15"/>
      <c r="N788" s="15"/>
      <c r="O788" s="15"/>
      <c r="P788" s="15"/>
      <c r="Q788" s="15"/>
      <c r="R788" s="15"/>
      <c r="S788" s="15"/>
      <c r="T788" s="15"/>
      <c r="U788" s="15"/>
      <c r="V788" s="15"/>
      <c r="W788" s="15"/>
      <c r="X788" s="14"/>
      <c r="Y788" s="14"/>
      <c r="Z788" s="15"/>
      <c r="AA788" s="3"/>
      <c r="AB788" s="3"/>
      <c r="AC788" s="3"/>
      <c r="AD788" s="3"/>
      <c r="AE788" s="3"/>
      <c r="AF788" s="3"/>
    </row>
    <row r="789" ht="15.75" customHeight="1">
      <c r="J789" s="15"/>
      <c r="K789" s="188"/>
      <c r="L789" s="15"/>
      <c r="M789" s="15"/>
      <c r="N789" s="15"/>
      <c r="O789" s="15"/>
      <c r="P789" s="15"/>
      <c r="Q789" s="15"/>
      <c r="R789" s="15"/>
      <c r="S789" s="15"/>
      <c r="T789" s="15"/>
      <c r="U789" s="15"/>
      <c r="V789" s="15"/>
      <c r="W789" s="15"/>
      <c r="X789" s="14"/>
      <c r="Y789" s="14"/>
      <c r="Z789" s="15"/>
      <c r="AA789" s="3"/>
      <c r="AB789" s="3"/>
      <c r="AC789" s="3"/>
      <c r="AD789" s="3"/>
      <c r="AE789" s="3"/>
      <c r="AF789" s="3"/>
    </row>
    <row r="790" ht="15.75" customHeight="1">
      <c r="J790" s="15"/>
      <c r="K790" s="188"/>
      <c r="L790" s="15"/>
      <c r="M790" s="15"/>
      <c r="N790" s="15"/>
      <c r="O790" s="15"/>
      <c r="P790" s="15"/>
      <c r="Q790" s="15"/>
      <c r="R790" s="15"/>
      <c r="S790" s="15"/>
      <c r="T790" s="15"/>
      <c r="U790" s="15"/>
      <c r="V790" s="15"/>
      <c r="W790" s="15"/>
      <c r="X790" s="14"/>
      <c r="Y790" s="14"/>
      <c r="Z790" s="15"/>
      <c r="AA790" s="3"/>
      <c r="AB790" s="3"/>
      <c r="AC790" s="3"/>
      <c r="AD790" s="3"/>
      <c r="AE790" s="3"/>
      <c r="AF790" s="3"/>
    </row>
    <row r="791" ht="15.75" customHeight="1">
      <c r="J791" s="15"/>
      <c r="K791" s="188"/>
      <c r="L791" s="15"/>
      <c r="M791" s="15"/>
      <c r="N791" s="15"/>
      <c r="O791" s="15"/>
      <c r="P791" s="15"/>
      <c r="Q791" s="15"/>
      <c r="R791" s="15"/>
      <c r="S791" s="15"/>
      <c r="T791" s="15"/>
      <c r="U791" s="15"/>
      <c r="V791" s="15"/>
      <c r="W791" s="15"/>
      <c r="X791" s="14"/>
      <c r="Y791" s="14"/>
      <c r="Z791" s="15"/>
      <c r="AA791" s="3"/>
      <c r="AB791" s="3"/>
      <c r="AC791" s="3"/>
      <c r="AD791" s="3"/>
      <c r="AE791" s="3"/>
      <c r="AF791" s="3"/>
    </row>
    <row r="792" ht="15.75" customHeight="1">
      <c r="J792" s="15"/>
      <c r="K792" s="188"/>
      <c r="L792" s="15"/>
      <c r="M792" s="15"/>
      <c r="N792" s="15"/>
      <c r="O792" s="15"/>
      <c r="P792" s="15"/>
      <c r="Q792" s="15"/>
      <c r="R792" s="15"/>
      <c r="S792" s="15"/>
      <c r="T792" s="15"/>
      <c r="U792" s="15"/>
      <c r="V792" s="15"/>
      <c r="W792" s="15"/>
      <c r="X792" s="14"/>
      <c r="Y792" s="14"/>
      <c r="Z792" s="15"/>
      <c r="AA792" s="3"/>
      <c r="AB792" s="3"/>
      <c r="AC792" s="3"/>
      <c r="AD792" s="3"/>
      <c r="AE792" s="3"/>
      <c r="AF792" s="3"/>
    </row>
    <row r="793" ht="15.75" customHeight="1">
      <c r="J793" s="15"/>
      <c r="K793" s="188"/>
      <c r="L793" s="15"/>
      <c r="M793" s="15"/>
      <c r="N793" s="15"/>
      <c r="O793" s="15"/>
      <c r="P793" s="15"/>
      <c r="Q793" s="15"/>
      <c r="R793" s="15"/>
      <c r="S793" s="15"/>
      <c r="T793" s="15"/>
      <c r="U793" s="15"/>
      <c r="V793" s="15"/>
      <c r="W793" s="15"/>
      <c r="X793" s="14"/>
      <c r="Y793" s="14"/>
      <c r="Z793" s="15"/>
      <c r="AA793" s="3"/>
      <c r="AB793" s="3"/>
      <c r="AC793" s="3"/>
      <c r="AD793" s="3"/>
      <c r="AE793" s="3"/>
      <c r="AF793" s="3"/>
    </row>
    <row r="794" ht="15.75" customHeight="1">
      <c r="J794" s="15"/>
      <c r="K794" s="188"/>
      <c r="L794" s="15"/>
      <c r="M794" s="15"/>
      <c r="N794" s="15"/>
      <c r="O794" s="15"/>
      <c r="P794" s="15"/>
      <c r="Q794" s="15"/>
      <c r="R794" s="15"/>
      <c r="S794" s="15"/>
      <c r="T794" s="15"/>
      <c r="U794" s="15"/>
      <c r="V794" s="15"/>
      <c r="W794" s="15"/>
      <c r="X794" s="14"/>
      <c r="Y794" s="14"/>
      <c r="Z794" s="15"/>
      <c r="AA794" s="3"/>
      <c r="AB794" s="3"/>
      <c r="AC794" s="3"/>
      <c r="AD794" s="3"/>
      <c r="AE794" s="3"/>
      <c r="AF794" s="3"/>
    </row>
    <row r="795" ht="15.75" customHeight="1">
      <c r="J795" s="15"/>
      <c r="K795" s="188"/>
      <c r="L795" s="15"/>
      <c r="M795" s="15"/>
      <c r="N795" s="15"/>
      <c r="O795" s="15"/>
      <c r="P795" s="15"/>
      <c r="Q795" s="15"/>
      <c r="R795" s="15"/>
      <c r="S795" s="15"/>
      <c r="T795" s="15"/>
      <c r="U795" s="15"/>
      <c r="V795" s="15"/>
      <c r="W795" s="15"/>
      <c r="X795" s="14"/>
      <c r="Y795" s="14"/>
      <c r="Z795" s="15"/>
      <c r="AA795" s="3"/>
      <c r="AB795" s="3"/>
      <c r="AC795" s="3"/>
      <c r="AD795" s="3"/>
      <c r="AE795" s="3"/>
      <c r="AF795" s="3"/>
    </row>
    <row r="796" ht="15.75" customHeight="1">
      <c r="J796" s="15"/>
      <c r="K796" s="188"/>
      <c r="L796" s="15"/>
      <c r="M796" s="15"/>
      <c r="N796" s="15"/>
      <c r="O796" s="15"/>
      <c r="P796" s="15"/>
      <c r="Q796" s="15"/>
      <c r="R796" s="15"/>
      <c r="S796" s="15"/>
      <c r="T796" s="15"/>
      <c r="U796" s="15"/>
      <c r="V796" s="15"/>
      <c r="W796" s="15"/>
      <c r="X796" s="14"/>
      <c r="Y796" s="14"/>
      <c r="Z796" s="15"/>
      <c r="AA796" s="3"/>
      <c r="AB796" s="3"/>
      <c r="AC796" s="3"/>
      <c r="AD796" s="3"/>
      <c r="AE796" s="3"/>
      <c r="AF796" s="3"/>
    </row>
    <row r="797" ht="15.75" customHeight="1">
      <c r="J797" s="15"/>
      <c r="K797" s="188"/>
      <c r="L797" s="15"/>
      <c r="M797" s="15"/>
      <c r="N797" s="15"/>
      <c r="O797" s="15"/>
      <c r="P797" s="15"/>
      <c r="Q797" s="15"/>
      <c r="R797" s="15"/>
      <c r="S797" s="15"/>
      <c r="T797" s="15"/>
      <c r="U797" s="15"/>
      <c r="V797" s="15"/>
      <c r="W797" s="15"/>
      <c r="X797" s="14"/>
      <c r="Y797" s="14"/>
      <c r="Z797" s="15"/>
      <c r="AA797" s="3"/>
      <c r="AB797" s="3"/>
      <c r="AC797" s="3"/>
      <c r="AD797" s="3"/>
      <c r="AE797" s="3"/>
      <c r="AF797" s="3"/>
    </row>
    <row r="798" ht="15.75" customHeight="1">
      <c r="J798" s="15"/>
      <c r="K798" s="188"/>
      <c r="L798" s="15"/>
      <c r="M798" s="15"/>
      <c r="N798" s="15"/>
      <c r="O798" s="15"/>
      <c r="P798" s="15"/>
      <c r="Q798" s="15"/>
      <c r="R798" s="15"/>
      <c r="S798" s="15"/>
      <c r="T798" s="15"/>
      <c r="U798" s="15"/>
      <c r="V798" s="15"/>
      <c r="W798" s="15"/>
      <c r="X798" s="14"/>
      <c r="Y798" s="14"/>
      <c r="Z798" s="15"/>
      <c r="AA798" s="3"/>
      <c r="AB798" s="3"/>
      <c r="AC798" s="3"/>
      <c r="AD798" s="3"/>
      <c r="AE798" s="3"/>
      <c r="AF798" s="3"/>
    </row>
    <row r="799" ht="15.75" customHeight="1">
      <c r="J799" s="15"/>
      <c r="K799" s="188"/>
      <c r="L799" s="15"/>
      <c r="M799" s="15"/>
      <c r="N799" s="15"/>
      <c r="O799" s="15"/>
      <c r="P799" s="15"/>
      <c r="Q799" s="15"/>
      <c r="R799" s="15"/>
      <c r="S799" s="15"/>
      <c r="T799" s="15"/>
      <c r="U799" s="15"/>
      <c r="V799" s="15"/>
      <c r="W799" s="15"/>
      <c r="X799" s="14"/>
      <c r="Y799" s="14"/>
      <c r="Z799" s="15"/>
      <c r="AA799" s="3"/>
      <c r="AB799" s="3"/>
      <c r="AC799" s="3"/>
      <c r="AD799" s="3"/>
      <c r="AE799" s="3"/>
      <c r="AF799" s="3"/>
    </row>
    <row r="800" ht="15.75" customHeight="1">
      <c r="J800" s="15"/>
      <c r="K800" s="188"/>
      <c r="L800" s="15"/>
      <c r="M800" s="15"/>
      <c r="N800" s="15"/>
      <c r="O800" s="15"/>
      <c r="P800" s="15"/>
      <c r="Q800" s="15"/>
      <c r="R800" s="15"/>
      <c r="S800" s="15"/>
      <c r="T800" s="15"/>
      <c r="U800" s="15"/>
      <c r="V800" s="15"/>
      <c r="W800" s="15"/>
      <c r="X800" s="14"/>
      <c r="Y800" s="14"/>
      <c r="Z800" s="15"/>
      <c r="AA800" s="3"/>
      <c r="AB800" s="3"/>
      <c r="AC800" s="3"/>
      <c r="AD800" s="3"/>
      <c r="AE800" s="3"/>
      <c r="AF800" s="3"/>
    </row>
    <row r="801" ht="15.75" customHeight="1">
      <c r="J801" s="15"/>
      <c r="K801" s="188"/>
      <c r="L801" s="15"/>
      <c r="M801" s="15"/>
      <c r="N801" s="15"/>
      <c r="O801" s="15"/>
      <c r="P801" s="15"/>
      <c r="Q801" s="15"/>
      <c r="R801" s="15"/>
      <c r="S801" s="15"/>
      <c r="T801" s="15"/>
      <c r="U801" s="15"/>
      <c r="V801" s="15"/>
      <c r="W801" s="15"/>
      <c r="X801" s="14"/>
      <c r="Y801" s="14"/>
      <c r="Z801" s="15"/>
      <c r="AA801" s="3"/>
      <c r="AB801" s="3"/>
      <c r="AC801" s="3"/>
      <c r="AD801" s="3"/>
      <c r="AE801" s="3"/>
      <c r="AF801" s="3"/>
    </row>
    <row r="802" ht="15.75" customHeight="1">
      <c r="J802" s="15"/>
      <c r="K802" s="188"/>
      <c r="L802" s="15"/>
      <c r="M802" s="15"/>
      <c r="N802" s="15"/>
      <c r="O802" s="15"/>
      <c r="P802" s="15"/>
      <c r="Q802" s="15"/>
      <c r="R802" s="15"/>
      <c r="S802" s="15"/>
      <c r="T802" s="15"/>
      <c r="U802" s="15"/>
      <c r="V802" s="15"/>
      <c r="W802" s="15"/>
      <c r="X802" s="14"/>
      <c r="Y802" s="14"/>
      <c r="Z802" s="15"/>
      <c r="AA802" s="3"/>
      <c r="AB802" s="3"/>
      <c r="AC802" s="3"/>
      <c r="AD802" s="3"/>
      <c r="AE802" s="3"/>
      <c r="AF802" s="3"/>
    </row>
    <row r="803" ht="15.75" customHeight="1">
      <c r="J803" s="15"/>
      <c r="K803" s="188"/>
      <c r="L803" s="15"/>
      <c r="M803" s="15"/>
      <c r="N803" s="15"/>
      <c r="O803" s="15"/>
      <c r="P803" s="15"/>
      <c r="Q803" s="15"/>
      <c r="R803" s="15"/>
      <c r="S803" s="15"/>
      <c r="T803" s="15"/>
      <c r="U803" s="15"/>
      <c r="V803" s="15"/>
      <c r="W803" s="15"/>
      <c r="X803" s="14"/>
      <c r="Y803" s="14"/>
      <c r="Z803" s="15"/>
      <c r="AA803" s="3"/>
      <c r="AB803" s="3"/>
      <c r="AC803" s="3"/>
      <c r="AD803" s="3"/>
      <c r="AE803" s="3"/>
      <c r="AF803" s="3"/>
    </row>
    <row r="804" ht="15.75" customHeight="1">
      <c r="J804" s="15"/>
      <c r="K804" s="188"/>
      <c r="L804" s="15"/>
      <c r="M804" s="15"/>
      <c r="N804" s="15"/>
      <c r="O804" s="15"/>
      <c r="P804" s="15"/>
      <c r="Q804" s="15"/>
      <c r="R804" s="15"/>
      <c r="S804" s="15"/>
      <c r="T804" s="15"/>
      <c r="U804" s="15"/>
      <c r="V804" s="15"/>
      <c r="W804" s="15"/>
      <c r="X804" s="14"/>
      <c r="Y804" s="14"/>
      <c r="Z804" s="15"/>
      <c r="AA804" s="3"/>
      <c r="AB804" s="3"/>
      <c r="AC804" s="3"/>
      <c r="AD804" s="3"/>
      <c r="AE804" s="3"/>
      <c r="AF804" s="3"/>
    </row>
    <row r="805" ht="15.75" customHeight="1">
      <c r="J805" s="15"/>
      <c r="K805" s="188"/>
      <c r="L805" s="15"/>
      <c r="M805" s="15"/>
      <c r="N805" s="15"/>
      <c r="O805" s="15"/>
      <c r="P805" s="15"/>
      <c r="Q805" s="15"/>
      <c r="R805" s="15"/>
      <c r="S805" s="15"/>
      <c r="T805" s="15"/>
      <c r="U805" s="15"/>
      <c r="V805" s="15"/>
      <c r="W805" s="15"/>
      <c r="X805" s="14"/>
      <c r="Y805" s="14"/>
      <c r="Z805" s="15"/>
      <c r="AA805" s="3"/>
      <c r="AB805" s="3"/>
      <c r="AC805" s="3"/>
      <c r="AD805" s="3"/>
      <c r="AE805" s="3"/>
      <c r="AF805" s="3"/>
    </row>
    <row r="806" ht="15.75" customHeight="1">
      <c r="J806" s="15"/>
      <c r="K806" s="188"/>
      <c r="L806" s="15"/>
      <c r="M806" s="15"/>
      <c r="N806" s="15"/>
      <c r="O806" s="15"/>
      <c r="P806" s="15"/>
      <c r="Q806" s="15"/>
      <c r="R806" s="15"/>
      <c r="S806" s="15"/>
      <c r="T806" s="15"/>
      <c r="U806" s="15"/>
      <c r="V806" s="15"/>
      <c r="W806" s="15"/>
      <c r="X806" s="14"/>
      <c r="Y806" s="14"/>
      <c r="Z806" s="15"/>
      <c r="AA806" s="3"/>
      <c r="AB806" s="3"/>
      <c r="AC806" s="3"/>
      <c r="AD806" s="3"/>
      <c r="AE806" s="3"/>
      <c r="AF806" s="3"/>
    </row>
    <row r="807" ht="15.75" customHeight="1">
      <c r="J807" s="15"/>
      <c r="K807" s="188"/>
      <c r="L807" s="15"/>
      <c r="M807" s="15"/>
      <c r="N807" s="15"/>
      <c r="O807" s="15"/>
      <c r="P807" s="15"/>
      <c r="Q807" s="15"/>
      <c r="R807" s="15"/>
      <c r="S807" s="15"/>
      <c r="T807" s="15"/>
      <c r="U807" s="15"/>
      <c r="V807" s="15"/>
      <c r="W807" s="15"/>
      <c r="X807" s="14"/>
      <c r="Y807" s="14"/>
      <c r="Z807" s="15"/>
      <c r="AA807" s="3"/>
      <c r="AB807" s="3"/>
      <c r="AC807" s="3"/>
      <c r="AD807" s="3"/>
      <c r="AE807" s="3"/>
      <c r="AF807" s="3"/>
    </row>
    <row r="808" ht="15.75" customHeight="1">
      <c r="J808" s="15"/>
      <c r="K808" s="188"/>
      <c r="L808" s="15"/>
      <c r="M808" s="15"/>
      <c r="N808" s="15"/>
      <c r="O808" s="15"/>
      <c r="P808" s="15"/>
      <c r="Q808" s="15"/>
      <c r="R808" s="15"/>
      <c r="S808" s="15"/>
      <c r="T808" s="15"/>
      <c r="U808" s="15"/>
      <c r="V808" s="15"/>
      <c r="W808" s="15"/>
      <c r="X808" s="14"/>
      <c r="Y808" s="14"/>
      <c r="Z808" s="15"/>
      <c r="AA808" s="3"/>
      <c r="AB808" s="3"/>
      <c r="AC808" s="3"/>
      <c r="AD808" s="3"/>
      <c r="AE808" s="3"/>
      <c r="AF808" s="3"/>
    </row>
    <row r="809" ht="15.75" customHeight="1">
      <c r="J809" s="15"/>
      <c r="K809" s="188"/>
      <c r="L809" s="15"/>
      <c r="M809" s="15"/>
      <c r="N809" s="15"/>
      <c r="O809" s="15"/>
      <c r="P809" s="15"/>
      <c r="Q809" s="15"/>
      <c r="R809" s="15"/>
      <c r="S809" s="15"/>
      <c r="T809" s="15"/>
      <c r="U809" s="15"/>
      <c r="V809" s="15"/>
      <c r="W809" s="15"/>
      <c r="X809" s="14"/>
      <c r="Y809" s="14"/>
      <c r="Z809" s="15"/>
      <c r="AA809" s="3"/>
      <c r="AB809" s="3"/>
      <c r="AC809" s="3"/>
      <c r="AD809" s="3"/>
      <c r="AE809" s="3"/>
      <c r="AF809" s="3"/>
    </row>
    <row r="810" ht="15.75" customHeight="1">
      <c r="J810" s="15"/>
      <c r="K810" s="188"/>
      <c r="L810" s="15"/>
      <c r="M810" s="15"/>
      <c r="N810" s="15"/>
      <c r="O810" s="15"/>
      <c r="P810" s="15"/>
      <c r="Q810" s="15"/>
      <c r="R810" s="15"/>
      <c r="S810" s="15"/>
      <c r="T810" s="15"/>
      <c r="U810" s="15"/>
      <c r="V810" s="15"/>
      <c r="W810" s="15"/>
      <c r="X810" s="14"/>
      <c r="Y810" s="14"/>
      <c r="Z810" s="15"/>
      <c r="AA810" s="3"/>
      <c r="AB810" s="3"/>
      <c r="AC810" s="3"/>
      <c r="AD810" s="3"/>
      <c r="AE810" s="3"/>
      <c r="AF810" s="3"/>
    </row>
    <row r="811" ht="15.75" customHeight="1">
      <c r="J811" s="15"/>
      <c r="K811" s="188"/>
      <c r="L811" s="15"/>
      <c r="M811" s="15"/>
      <c r="N811" s="15"/>
      <c r="O811" s="15"/>
      <c r="P811" s="15"/>
      <c r="Q811" s="15"/>
      <c r="R811" s="15"/>
      <c r="S811" s="15"/>
      <c r="T811" s="15"/>
      <c r="U811" s="15"/>
      <c r="V811" s="15"/>
      <c r="W811" s="15"/>
      <c r="X811" s="14"/>
      <c r="Y811" s="14"/>
      <c r="Z811" s="15"/>
      <c r="AA811" s="3"/>
      <c r="AB811" s="3"/>
      <c r="AC811" s="3"/>
      <c r="AD811" s="3"/>
      <c r="AE811" s="3"/>
      <c r="AF811" s="3"/>
    </row>
    <row r="812" ht="15.75" customHeight="1">
      <c r="J812" s="15"/>
      <c r="K812" s="188"/>
      <c r="L812" s="15"/>
      <c r="M812" s="15"/>
      <c r="N812" s="15"/>
      <c r="O812" s="15"/>
      <c r="P812" s="15"/>
      <c r="Q812" s="15"/>
      <c r="R812" s="15"/>
      <c r="S812" s="15"/>
      <c r="T812" s="15"/>
      <c r="U812" s="15"/>
      <c r="V812" s="15"/>
      <c r="W812" s="15"/>
      <c r="X812" s="14"/>
      <c r="Y812" s="14"/>
      <c r="Z812" s="15"/>
      <c r="AA812" s="3"/>
      <c r="AB812" s="3"/>
      <c r="AC812" s="3"/>
      <c r="AD812" s="3"/>
      <c r="AE812" s="3"/>
      <c r="AF812" s="3"/>
    </row>
    <row r="813" ht="15.75" customHeight="1">
      <c r="J813" s="15"/>
      <c r="K813" s="188"/>
      <c r="L813" s="15"/>
      <c r="M813" s="15"/>
      <c r="N813" s="15"/>
      <c r="O813" s="15"/>
      <c r="P813" s="15"/>
      <c r="Q813" s="15"/>
      <c r="R813" s="15"/>
      <c r="S813" s="15"/>
      <c r="T813" s="15"/>
      <c r="U813" s="15"/>
      <c r="V813" s="15"/>
      <c r="W813" s="15"/>
      <c r="X813" s="14"/>
      <c r="Y813" s="14"/>
      <c r="Z813" s="15"/>
      <c r="AA813" s="3"/>
      <c r="AB813" s="3"/>
      <c r="AC813" s="3"/>
      <c r="AD813" s="3"/>
      <c r="AE813" s="3"/>
      <c r="AF813" s="3"/>
    </row>
    <row r="814" ht="15.75" customHeight="1">
      <c r="J814" s="15"/>
      <c r="K814" s="188"/>
      <c r="L814" s="15"/>
      <c r="M814" s="15"/>
      <c r="N814" s="15"/>
      <c r="O814" s="15"/>
      <c r="P814" s="15"/>
      <c r="Q814" s="15"/>
      <c r="R814" s="15"/>
      <c r="S814" s="15"/>
      <c r="T814" s="15"/>
      <c r="U814" s="15"/>
      <c r="V814" s="15"/>
      <c r="W814" s="15"/>
      <c r="X814" s="14"/>
      <c r="Y814" s="14"/>
      <c r="Z814" s="15"/>
      <c r="AA814" s="3"/>
      <c r="AB814" s="3"/>
      <c r="AC814" s="3"/>
      <c r="AD814" s="3"/>
      <c r="AE814" s="3"/>
      <c r="AF814" s="3"/>
    </row>
    <row r="815" ht="15.75" customHeight="1">
      <c r="J815" s="15"/>
      <c r="K815" s="188"/>
      <c r="L815" s="15"/>
      <c r="M815" s="15"/>
      <c r="N815" s="15"/>
      <c r="O815" s="15"/>
      <c r="P815" s="15"/>
      <c r="Q815" s="15"/>
      <c r="R815" s="15"/>
      <c r="S815" s="15"/>
      <c r="T815" s="15"/>
      <c r="U815" s="15"/>
      <c r="V815" s="15"/>
      <c r="W815" s="15"/>
      <c r="X815" s="14"/>
      <c r="Y815" s="14"/>
      <c r="Z815" s="15"/>
      <c r="AA815" s="3"/>
      <c r="AB815" s="3"/>
      <c r="AC815" s="3"/>
      <c r="AD815" s="3"/>
      <c r="AE815" s="3"/>
      <c r="AF815" s="3"/>
    </row>
    <row r="816" ht="15.75" customHeight="1">
      <c r="J816" s="15"/>
      <c r="K816" s="188"/>
      <c r="L816" s="15"/>
      <c r="M816" s="15"/>
      <c r="N816" s="15"/>
      <c r="O816" s="15"/>
      <c r="P816" s="15"/>
      <c r="Q816" s="15"/>
      <c r="R816" s="15"/>
      <c r="S816" s="15"/>
      <c r="T816" s="15"/>
      <c r="U816" s="15"/>
      <c r="V816" s="15"/>
      <c r="W816" s="15"/>
      <c r="X816" s="14"/>
      <c r="Y816" s="14"/>
      <c r="Z816" s="15"/>
      <c r="AA816" s="3"/>
      <c r="AB816" s="3"/>
      <c r="AC816" s="3"/>
      <c r="AD816" s="3"/>
      <c r="AE816" s="3"/>
      <c r="AF816" s="3"/>
    </row>
    <row r="817" ht="15.75" customHeight="1">
      <c r="J817" s="15"/>
      <c r="K817" s="188"/>
      <c r="L817" s="15"/>
      <c r="M817" s="15"/>
      <c r="N817" s="15"/>
      <c r="O817" s="15"/>
      <c r="P817" s="15"/>
      <c r="Q817" s="15"/>
      <c r="R817" s="15"/>
      <c r="S817" s="15"/>
      <c r="T817" s="15"/>
      <c r="U817" s="15"/>
      <c r="V817" s="15"/>
      <c r="W817" s="15"/>
      <c r="X817" s="14"/>
      <c r="Y817" s="14"/>
      <c r="Z817" s="15"/>
      <c r="AA817" s="3"/>
      <c r="AB817" s="3"/>
      <c r="AC817" s="3"/>
      <c r="AD817" s="3"/>
      <c r="AE817" s="3"/>
      <c r="AF817" s="3"/>
    </row>
    <row r="818" ht="15.75" customHeight="1">
      <c r="J818" s="15"/>
      <c r="K818" s="188"/>
      <c r="L818" s="15"/>
      <c r="M818" s="15"/>
      <c r="N818" s="15"/>
      <c r="O818" s="15"/>
      <c r="P818" s="15"/>
      <c r="Q818" s="15"/>
      <c r="R818" s="15"/>
      <c r="S818" s="15"/>
      <c r="T818" s="15"/>
      <c r="U818" s="15"/>
      <c r="V818" s="15"/>
      <c r="W818" s="15"/>
      <c r="X818" s="14"/>
      <c r="Y818" s="14"/>
      <c r="Z818" s="15"/>
      <c r="AA818" s="3"/>
      <c r="AB818" s="3"/>
      <c r="AC818" s="3"/>
      <c r="AD818" s="3"/>
      <c r="AE818" s="3"/>
      <c r="AF818" s="3"/>
    </row>
    <row r="819" ht="15.75" customHeight="1">
      <c r="J819" s="15"/>
      <c r="K819" s="188"/>
      <c r="L819" s="15"/>
      <c r="M819" s="15"/>
      <c r="N819" s="15"/>
      <c r="O819" s="15"/>
      <c r="P819" s="15"/>
      <c r="Q819" s="15"/>
      <c r="R819" s="15"/>
      <c r="S819" s="15"/>
      <c r="T819" s="15"/>
      <c r="U819" s="15"/>
      <c r="V819" s="15"/>
      <c r="W819" s="15"/>
      <c r="X819" s="14"/>
      <c r="Y819" s="14"/>
      <c r="Z819" s="15"/>
      <c r="AA819" s="3"/>
      <c r="AB819" s="3"/>
      <c r="AC819" s="3"/>
      <c r="AD819" s="3"/>
      <c r="AE819" s="3"/>
      <c r="AF819" s="3"/>
    </row>
    <row r="820" ht="15.75" customHeight="1">
      <c r="J820" s="15"/>
      <c r="K820" s="188"/>
      <c r="L820" s="15"/>
      <c r="M820" s="15"/>
      <c r="N820" s="15"/>
      <c r="O820" s="15"/>
      <c r="P820" s="15"/>
      <c r="Q820" s="15"/>
      <c r="R820" s="15"/>
      <c r="S820" s="15"/>
      <c r="T820" s="15"/>
      <c r="U820" s="15"/>
      <c r="V820" s="15"/>
      <c r="W820" s="15"/>
      <c r="X820" s="14"/>
      <c r="Y820" s="14"/>
      <c r="Z820" s="15"/>
      <c r="AA820" s="3"/>
      <c r="AB820" s="3"/>
      <c r="AC820" s="3"/>
      <c r="AD820" s="3"/>
      <c r="AE820" s="3"/>
      <c r="AF820" s="3"/>
    </row>
    <row r="821" ht="15.75" customHeight="1">
      <c r="J821" s="15"/>
      <c r="K821" s="188"/>
      <c r="L821" s="15"/>
      <c r="M821" s="15"/>
      <c r="N821" s="15"/>
      <c r="O821" s="15"/>
      <c r="P821" s="15"/>
      <c r="Q821" s="15"/>
      <c r="R821" s="15"/>
      <c r="S821" s="15"/>
      <c r="T821" s="15"/>
      <c r="U821" s="15"/>
      <c r="V821" s="15"/>
      <c r="W821" s="15"/>
      <c r="X821" s="14"/>
      <c r="Y821" s="14"/>
      <c r="Z821" s="15"/>
      <c r="AA821" s="3"/>
      <c r="AB821" s="3"/>
      <c r="AC821" s="3"/>
      <c r="AD821" s="3"/>
      <c r="AE821" s="3"/>
      <c r="AF821" s="3"/>
    </row>
    <row r="822" ht="15.75" customHeight="1">
      <c r="J822" s="15"/>
      <c r="K822" s="188"/>
      <c r="L822" s="15"/>
      <c r="M822" s="15"/>
      <c r="N822" s="15"/>
      <c r="O822" s="15"/>
      <c r="P822" s="15"/>
      <c r="Q822" s="15"/>
      <c r="R822" s="15"/>
      <c r="S822" s="15"/>
      <c r="T822" s="15"/>
      <c r="U822" s="15"/>
      <c r="V822" s="15"/>
      <c r="W822" s="15"/>
      <c r="X822" s="14"/>
      <c r="Y822" s="14"/>
      <c r="Z822" s="15"/>
      <c r="AA822" s="3"/>
      <c r="AB822" s="3"/>
      <c r="AC822" s="3"/>
      <c r="AD822" s="3"/>
      <c r="AE822" s="3"/>
      <c r="AF822" s="3"/>
    </row>
    <row r="823" ht="15.75" customHeight="1">
      <c r="J823" s="15"/>
      <c r="K823" s="188"/>
      <c r="L823" s="15"/>
      <c r="M823" s="15"/>
      <c r="N823" s="15"/>
      <c r="O823" s="15"/>
      <c r="P823" s="15"/>
      <c r="Q823" s="15"/>
      <c r="R823" s="15"/>
      <c r="S823" s="15"/>
      <c r="T823" s="15"/>
      <c r="U823" s="15"/>
      <c r="V823" s="15"/>
      <c r="W823" s="15"/>
      <c r="X823" s="14"/>
      <c r="Y823" s="14"/>
      <c r="Z823" s="15"/>
      <c r="AA823" s="3"/>
      <c r="AB823" s="3"/>
      <c r="AC823" s="3"/>
      <c r="AD823" s="3"/>
      <c r="AE823" s="3"/>
      <c r="AF823" s="3"/>
    </row>
    <row r="824" ht="15.75" customHeight="1">
      <c r="J824" s="15"/>
      <c r="K824" s="188"/>
      <c r="L824" s="15"/>
      <c r="M824" s="15"/>
      <c r="N824" s="15"/>
      <c r="O824" s="15"/>
      <c r="P824" s="15"/>
      <c r="Q824" s="15"/>
      <c r="R824" s="15"/>
      <c r="S824" s="15"/>
      <c r="T824" s="15"/>
      <c r="U824" s="15"/>
      <c r="V824" s="15"/>
      <c r="W824" s="15"/>
      <c r="X824" s="14"/>
      <c r="Y824" s="14"/>
      <c r="Z824" s="15"/>
      <c r="AA824" s="3"/>
      <c r="AB824" s="3"/>
      <c r="AC824" s="3"/>
      <c r="AD824" s="3"/>
      <c r="AE824" s="3"/>
      <c r="AF824" s="3"/>
    </row>
    <row r="825" ht="15.75" customHeight="1">
      <c r="J825" s="15"/>
      <c r="K825" s="188"/>
      <c r="L825" s="15"/>
      <c r="M825" s="15"/>
      <c r="N825" s="15"/>
      <c r="O825" s="15"/>
      <c r="P825" s="15"/>
      <c r="Q825" s="15"/>
      <c r="R825" s="15"/>
      <c r="S825" s="15"/>
      <c r="T825" s="15"/>
      <c r="U825" s="15"/>
      <c r="V825" s="15"/>
      <c r="W825" s="15"/>
      <c r="X825" s="14"/>
      <c r="Y825" s="14"/>
      <c r="Z825" s="15"/>
      <c r="AA825" s="3"/>
      <c r="AB825" s="3"/>
      <c r="AC825" s="3"/>
      <c r="AD825" s="3"/>
      <c r="AE825" s="3"/>
      <c r="AF825" s="3"/>
    </row>
    <row r="826" ht="15.75" customHeight="1">
      <c r="J826" s="15"/>
      <c r="K826" s="188"/>
      <c r="L826" s="15"/>
      <c r="M826" s="15"/>
      <c r="N826" s="15"/>
      <c r="O826" s="15"/>
      <c r="P826" s="15"/>
      <c r="Q826" s="15"/>
      <c r="R826" s="15"/>
      <c r="S826" s="15"/>
      <c r="T826" s="15"/>
      <c r="U826" s="15"/>
      <c r="V826" s="15"/>
      <c r="W826" s="15"/>
      <c r="X826" s="14"/>
      <c r="Y826" s="14"/>
      <c r="Z826" s="15"/>
      <c r="AA826" s="3"/>
      <c r="AB826" s="3"/>
      <c r="AC826" s="3"/>
      <c r="AD826" s="3"/>
      <c r="AE826" s="3"/>
      <c r="AF826" s="3"/>
    </row>
    <row r="827" ht="15.75" customHeight="1">
      <c r="J827" s="15"/>
      <c r="K827" s="188"/>
      <c r="L827" s="15"/>
      <c r="M827" s="15"/>
      <c r="N827" s="15"/>
      <c r="O827" s="15"/>
      <c r="P827" s="15"/>
      <c r="Q827" s="15"/>
      <c r="R827" s="15"/>
      <c r="S827" s="15"/>
      <c r="T827" s="15"/>
      <c r="U827" s="15"/>
      <c r="V827" s="15"/>
      <c r="W827" s="15"/>
      <c r="X827" s="14"/>
      <c r="Y827" s="14"/>
      <c r="Z827" s="15"/>
      <c r="AA827" s="3"/>
      <c r="AB827" s="3"/>
      <c r="AC827" s="3"/>
      <c r="AD827" s="3"/>
      <c r="AE827" s="3"/>
      <c r="AF827" s="3"/>
    </row>
    <row r="828" ht="15.75" customHeight="1">
      <c r="J828" s="15"/>
      <c r="K828" s="188"/>
      <c r="L828" s="15"/>
      <c r="M828" s="15"/>
      <c r="N828" s="15"/>
      <c r="O828" s="15"/>
      <c r="P828" s="15"/>
      <c r="Q828" s="15"/>
      <c r="R828" s="15"/>
      <c r="S828" s="15"/>
      <c r="T828" s="15"/>
      <c r="U828" s="15"/>
      <c r="V828" s="15"/>
      <c r="W828" s="15"/>
      <c r="X828" s="14"/>
      <c r="Y828" s="14"/>
      <c r="Z828" s="15"/>
      <c r="AA828" s="3"/>
      <c r="AB828" s="3"/>
      <c r="AC828" s="3"/>
      <c r="AD828" s="3"/>
      <c r="AE828" s="3"/>
      <c r="AF828" s="3"/>
    </row>
    <row r="829" ht="15.75" customHeight="1">
      <c r="J829" s="15"/>
      <c r="K829" s="188"/>
      <c r="L829" s="15"/>
      <c r="M829" s="15"/>
      <c r="N829" s="15"/>
      <c r="O829" s="15"/>
      <c r="P829" s="15"/>
      <c r="Q829" s="15"/>
      <c r="R829" s="15"/>
      <c r="S829" s="15"/>
      <c r="T829" s="15"/>
      <c r="U829" s="15"/>
      <c r="V829" s="15"/>
      <c r="W829" s="15"/>
      <c r="X829" s="14"/>
      <c r="Y829" s="14"/>
      <c r="Z829" s="15"/>
      <c r="AA829" s="3"/>
      <c r="AB829" s="3"/>
      <c r="AC829" s="3"/>
      <c r="AD829" s="3"/>
      <c r="AE829" s="3"/>
      <c r="AF829" s="3"/>
    </row>
    <row r="830" ht="15.75" customHeight="1">
      <c r="J830" s="15"/>
      <c r="K830" s="188"/>
      <c r="L830" s="15"/>
      <c r="M830" s="15"/>
      <c r="N830" s="15"/>
      <c r="O830" s="15"/>
      <c r="P830" s="15"/>
      <c r="Q830" s="15"/>
      <c r="R830" s="15"/>
      <c r="S830" s="15"/>
      <c r="T830" s="15"/>
      <c r="U830" s="15"/>
      <c r="V830" s="15"/>
      <c r="W830" s="15"/>
      <c r="X830" s="14"/>
      <c r="Y830" s="14"/>
      <c r="Z830" s="15"/>
      <c r="AA830" s="3"/>
      <c r="AB830" s="3"/>
      <c r="AC830" s="3"/>
      <c r="AD830" s="3"/>
      <c r="AE830" s="3"/>
      <c r="AF830" s="3"/>
    </row>
    <row r="831" ht="15.75" customHeight="1">
      <c r="J831" s="15"/>
      <c r="K831" s="188"/>
      <c r="L831" s="15"/>
      <c r="M831" s="15"/>
      <c r="N831" s="15"/>
      <c r="O831" s="15"/>
      <c r="P831" s="15"/>
      <c r="Q831" s="15"/>
      <c r="R831" s="15"/>
      <c r="S831" s="15"/>
      <c r="T831" s="15"/>
      <c r="U831" s="15"/>
      <c r="V831" s="15"/>
      <c r="W831" s="15"/>
      <c r="X831" s="14"/>
      <c r="Y831" s="14"/>
      <c r="Z831" s="15"/>
      <c r="AA831" s="3"/>
      <c r="AB831" s="3"/>
      <c r="AC831" s="3"/>
      <c r="AD831" s="3"/>
      <c r="AE831" s="3"/>
      <c r="AF831" s="3"/>
    </row>
    <row r="832" ht="15.75" customHeight="1">
      <c r="J832" s="15"/>
      <c r="K832" s="188"/>
      <c r="L832" s="15"/>
      <c r="M832" s="15"/>
      <c r="N832" s="15"/>
      <c r="O832" s="15"/>
      <c r="P832" s="15"/>
      <c r="Q832" s="15"/>
      <c r="R832" s="15"/>
      <c r="S832" s="15"/>
      <c r="T832" s="15"/>
      <c r="U832" s="15"/>
      <c r="V832" s="15"/>
      <c r="W832" s="15"/>
      <c r="X832" s="14"/>
      <c r="Y832" s="14"/>
      <c r="Z832" s="15"/>
      <c r="AA832" s="3"/>
      <c r="AB832" s="3"/>
      <c r="AC832" s="3"/>
      <c r="AD832" s="3"/>
      <c r="AE832" s="3"/>
      <c r="AF832" s="3"/>
    </row>
    <row r="833" ht="15.75" customHeight="1">
      <c r="J833" s="15"/>
      <c r="K833" s="188"/>
      <c r="L833" s="15"/>
      <c r="M833" s="15"/>
      <c r="N833" s="15"/>
      <c r="O833" s="15"/>
      <c r="P833" s="15"/>
      <c r="Q833" s="15"/>
      <c r="R833" s="15"/>
      <c r="S833" s="15"/>
      <c r="T833" s="15"/>
      <c r="U833" s="15"/>
      <c r="V833" s="15"/>
      <c r="W833" s="15"/>
      <c r="X833" s="14"/>
      <c r="Y833" s="14"/>
      <c r="Z833" s="15"/>
      <c r="AA833" s="3"/>
      <c r="AB833" s="3"/>
      <c r="AC833" s="3"/>
      <c r="AD833" s="3"/>
      <c r="AE833" s="3"/>
      <c r="AF833" s="3"/>
    </row>
    <row r="834" ht="15.75" customHeight="1">
      <c r="J834" s="15"/>
      <c r="K834" s="188"/>
      <c r="L834" s="15"/>
      <c r="M834" s="15"/>
      <c r="N834" s="15"/>
      <c r="O834" s="15"/>
      <c r="P834" s="15"/>
      <c r="Q834" s="15"/>
      <c r="R834" s="15"/>
      <c r="S834" s="15"/>
      <c r="T834" s="15"/>
      <c r="U834" s="15"/>
      <c r="V834" s="15"/>
      <c r="W834" s="15"/>
      <c r="X834" s="14"/>
      <c r="Y834" s="14"/>
      <c r="Z834" s="15"/>
      <c r="AA834" s="3"/>
      <c r="AB834" s="3"/>
      <c r="AC834" s="3"/>
      <c r="AD834" s="3"/>
      <c r="AE834" s="3"/>
      <c r="AF834" s="3"/>
    </row>
    <row r="835" ht="15.75" customHeight="1">
      <c r="J835" s="15"/>
      <c r="K835" s="188"/>
      <c r="L835" s="15"/>
      <c r="M835" s="15"/>
      <c r="N835" s="15"/>
      <c r="O835" s="15"/>
      <c r="P835" s="15"/>
      <c r="Q835" s="15"/>
      <c r="R835" s="15"/>
      <c r="S835" s="15"/>
      <c r="T835" s="15"/>
      <c r="U835" s="15"/>
      <c r="V835" s="15"/>
      <c r="W835" s="15"/>
      <c r="X835" s="14"/>
      <c r="Y835" s="14"/>
      <c r="Z835" s="15"/>
      <c r="AA835" s="3"/>
      <c r="AB835" s="3"/>
      <c r="AC835" s="3"/>
      <c r="AD835" s="3"/>
      <c r="AE835" s="3"/>
      <c r="AF835" s="3"/>
    </row>
    <row r="836" ht="15.75" customHeight="1">
      <c r="J836" s="15"/>
      <c r="K836" s="188"/>
      <c r="L836" s="15"/>
      <c r="M836" s="15"/>
      <c r="N836" s="15"/>
      <c r="O836" s="15"/>
      <c r="P836" s="15"/>
      <c r="Q836" s="15"/>
      <c r="R836" s="15"/>
      <c r="S836" s="15"/>
      <c r="T836" s="15"/>
      <c r="U836" s="15"/>
      <c r="V836" s="15"/>
      <c r="W836" s="15"/>
      <c r="X836" s="14"/>
      <c r="Y836" s="14"/>
      <c r="Z836" s="15"/>
      <c r="AA836" s="3"/>
      <c r="AB836" s="3"/>
      <c r="AC836" s="3"/>
      <c r="AD836" s="3"/>
      <c r="AE836" s="3"/>
      <c r="AF836" s="3"/>
    </row>
    <row r="837" ht="15.75" customHeight="1">
      <c r="J837" s="15"/>
      <c r="K837" s="188"/>
      <c r="L837" s="15"/>
      <c r="M837" s="15"/>
      <c r="N837" s="15"/>
      <c r="O837" s="15"/>
      <c r="P837" s="15"/>
      <c r="Q837" s="15"/>
      <c r="R837" s="15"/>
      <c r="S837" s="15"/>
      <c r="T837" s="15"/>
      <c r="U837" s="15"/>
      <c r="V837" s="15"/>
      <c r="W837" s="15"/>
      <c r="X837" s="14"/>
      <c r="Y837" s="14"/>
      <c r="Z837" s="15"/>
      <c r="AA837" s="3"/>
      <c r="AB837" s="3"/>
      <c r="AC837" s="3"/>
      <c r="AD837" s="3"/>
      <c r="AE837" s="3"/>
      <c r="AF837" s="3"/>
    </row>
    <row r="838" ht="15.75" customHeight="1">
      <c r="J838" s="15"/>
      <c r="K838" s="188"/>
      <c r="L838" s="15"/>
      <c r="M838" s="15"/>
      <c r="N838" s="15"/>
      <c r="O838" s="15"/>
      <c r="P838" s="15"/>
      <c r="Q838" s="15"/>
      <c r="R838" s="15"/>
      <c r="S838" s="15"/>
      <c r="T838" s="15"/>
      <c r="U838" s="15"/>
      <c r="V838" s="15"/>
      <c r="W838" s="15"/>
      <c r="X838" s="14"/>
      <c r="Y838" s="14"/>
      <c r="Z838" s="15"/>
      <c r="AA838" s="3"/>
      <c r="AB838" s="3"/>
      <c r="AC838" s="3"/>
      <c r="AD838" s="3"/>
      <c r="AE838" s="3"/>
      <c r="AF838" s="3"/>
    </row>
    <row r="839" ht="15.75" customHeight="1">
      <c r="J839" s="15"/>
      <c r="K839" s="188"/>
      <c r="L839" s="15"/>
      <c r="M839" s="15"/>
      <c r="N839" s="15"/>
      <c r="O839" s="15"/>
      <c r="P839" s="15"/>
      <c r="Q839" s="15"/>
      <c r="R839" s="15"/>
      <c r="S839" s="15"/>
      <c r="T839" s="15"/>
      <c r="U839" s="15"/>
      <c r="V839" s="15"/>
      <c r="W839" s="15"/>
      <c r="X839" s="14"/>
      <c r="Y839" s="14"/>
      <c r="Z839" s="15"/>
      <c r="AA839" s="3"/>
      <c r="AB839" s="3"/>
      <c r="AC839" s="3"/>
      <c r="AD839" s="3"/>
      <c r="AE839" s="3"/>
      <c r="AF839" s="3"/>
    </row>
    <row r="840" ht="15.75" customHeight="1">
      <c r="J840" s="15"/>
      <c r="K840" s="188"/>
      <c r="L840" s="15"/>
      <c r="M840" s="15"/>
      <c r="N840" s="15"/>
      <c r="O840" s="15"/>
      <c r="P840" s="15"/>
      <c r="Q840" s="15"/>
      <c r="R840" s="15"/>
      <c r="S840" s="15"/>
      <c r="T840" s="15"/>
      <c r="U840" s="15"/>
      <c r="V840" s="15"/>
      <c r="W840" s="15"/>
      <c r="X840" s="14"/>
      <c r="Y840" s="14"/>
      <c r="Z840" s="15"/>
      <c r="AA840" s="3"/>
      <c r="AB840" s="3"/>
      <c r="AC840" s="3"/>
      <c r="AD840" s="3"/>
      <c r="AE840" s="3"/>
      <c r="AF840" s="3"/>
    </row>
    <row r="841" ht="15.75" customHeight="1">
      <c r="J841" s="15"/>
      <c r="K841" s="188"/>
      <c r="L841" s="15"/>
      <c r="M841" s="15"/>
      <c r="N841" s="15"/>
      <c r="O841" s="15"/>
      <c r="P841" s="15"/>
      <c r="Q841" s="15"/>
      <c r="R841" s="15"/>
      <c r="S841" s="15"/>
      <c r="T841" s="15"/>
      <c r="U841" s="15"/>
      <c r="V841" s="15"/>
      <c r="W841" s="15"/>
      <c r="X841" s="14"/>
      <c r="Y841" s="14"/>
      <c r="Z841" s="15"/>
      <c r="AA841" s="3"/>
      <c r="AB841" s="3"/>
      <c r="AC841" s="3"/>
      <c r="AD841" s="3"/>
      <c r="AE841" s="3"/>
      <c r="AF841" s="3"/>
    </row>
    <row r="842" ht="15.75" customHeight="1">
      <c r="J842" s="15"/>
      <c r="K842" s="188"/>
      <c r="L842" s="15"/>
      <c r="M842" s="15"/>
      <c r="N842" s="15"/>
      <c r="O842" s="15"/>
      <c r="P842" s="15"/>
      <c r="Q842" s="15"/>
      <c r="R842" s="15"/>
      <c r="S842" s="15"/>
      <c r="T842" s="15"/>
      <c r="U842" s="15"/>
      <c r="V842" s="15"/>
      <c r="W842" s="15"/>
      <c r="X842" s="14"/>
      <c r="Y842" s="14"/>
      <c r="Z842" s="15"/>
      <c r="AA842" s="3"/>
      <c r="AB842" s="3"/>
      <c r="AC842" s="3"/>
      <c r="AD842" s="3"/>
      <c r="AE842" s="3"/>
      <c r="AF842" s="3"/>
    </row>
    <row r="843" ht="15.75" customHeight="1">
      <c r="J843" s="15"/>
      <c r="K843" s="188"/>
      <c r="L843" s="15"/>
      <c r="M843" s="15"/>
      <c r="N843" s="15"/>
      <c r="O843" s="15"/>
      <c r="P843" s="15"/>
      <c r="Q843" s="15"/>
      <c r="R843" s="15"/>
      <c r="S843" s="15"/>
      <c r="T843" s="15"/>
      <c r="U843" s="15"/>
      <c r="V843" s="15"/>
      <c r="W843" s="15"/>
      <c r="X843" s="14"/>
      <c r="Y843" s="14"/>
      <c r="Z843" s="15"/>
      <c r="AA843" s="3"/>
      <c r="AB843" s="3"/>
      <c r="AC843" s="3"/>
      <c r="AD843" s="3"/>
      <c r="AE843" s="3"/>
      <c r="AF843" s="3"/>
    </row>
    <row r="844" ht="15.75" customHeight="1">
      <c r="J844" s="15"/>
      <c r="K844" s="188"/>
      <c r="L844" s="15"/>
      <c r="M844" s="15"/>
      <c r="N844" s="15"/>
      <c r="O844" s="15"/>
      <c r="P844" s="15"/>
      <c r="Q844" s="15"/>
      <c r="R844" s="15"/>
      <c r="S844" s="15"/>
      <c r="T844" s="15"/>
      <c r="U844" s="15"/>
      <c r="V844" s="15"/>
      <c r="W844" s="15"/>
      <c r="X844" s="14"/>
      <c r="Y844" s="14"/>
      <c r="Z844" s="15"/>
      <c r="AA844" s="3"/>
      <c r="AB844" s="3"/>
      <c r="AC844" s="3"/>
      <c r="AD844" s="3"/>
      <c r="AE844" s="3"/>
      <c r="AF844" s="3"/>
    </row>
    <row r="845" ht="15.75" customHeight="1">
      <c r="J845" s="15"/>
      <c r="K845" s="188"/>
      <c r="L845" s="15"/>
      <c r="M845" s="15"/>
      <c r="N845" s="15"/>
      <c r="O845" s="15"/>
      <c r="P845" s="15"/>
      <c r="Q845" s="15"/>
      <c r="R845" s="15"/>
      <c r="S845" s="15"/>
      <c r="T845" s="15"/>
      <c r="U845" s="15"/>
      <c r="V845" s="15"/>
      <c r="W845" s="15"/>
      <c r="X845" s="14"/>
      <c r="Y845" s="14"/>
      <c r="Z845" s="15"/>
      <c r="AA845" s="3"/>
      <c r="AB845" s="3"/>
      <c r="AC845" s="3"/>
      <c r="AD845" s="3"/>
      <c r="AE845" s="3"/>
      <c r="AF845" s="3"/>
    </row>
    <row r="846" ht="15.75" customHeight="1">
      <c r="J846" s="15"/>
      <c r="K846" s="188"/>
      <c r="L846" s="15"/>
      <c r="M846" s="15"/>
      <c r="N846" s="15"/>
      <c r="O846" s="15"/>
      <c r="P846" s="15"/>
      <c r="Q846" s="15"/>
      <c r="R846" s="15"/>
      <c r="S846" s="15"/>
      <c r="T846" s="15"/>
      <c r="U846" s="15"/>
      <c r="V846" s="15"/>
      <c r="W846" s="15"/>
      <c r="X846" s="14"/>
      <c r="Y846" s="14"/>
      <c r="Z846" s="15"/>
      <c r="AA846" s="3"/>
      <c r="AB846" s="3"/>
      <c r="AC846" s="3"/>
      <c r="AD846" s="3"/>
      <c r="AE846" s="3"/>
      <c r="AF846" s="3"/>
    </row>
    <row r="847" ht="15.75" customHeight="1">
      <c r="J847" s="15"/>
      <c r="K847" s="188"/>
      <c r="L847" s="15"/>
      <c r="M847" s="15"/>
      <c r="N847" s="15"/>
      <c r="O847" s="15"/>
      <c r="P847" s="15"/>
      <c r="Q847" s="15"/>
      <c r="R847" s="15"/>
      <c r="S847" s="15"/>
      <c r="T847" s="15"/>
      <c r="U847" s="15"/>
      <c r="V847" s="15"/>
      <c r="W847" s="15"/>
      <c r="X847" s="14"/>
      <c r="Y847" s="14"/>
      <c r="Z847" s="15"/>
      <c r="AA847" s="3"/>
      <c r="AB847" s="3"/>
      <c r="AC847" s="3"/>
      <c r="AD847" s="3"/>
      <c r="AE847" s="3"/>
      <c r="AF847" s="3"/>
    </row>
    <row r="848" ht="15.75" customHeight="1">
      <c r="J848" s="15"/>
      <c r="K848" s="188"/>
      <c r="L848" s="15"/>
      <c r="M848" s="15"/>
      <c r="N848" s="15"/>
      <c r="O848" s="15"/>
      <c r="P848" s="15"/>
      <c r="Q848" s="15"/>
      <c r="R848" s="15"/>
      <c r="S848" s="15"/>
      <c r="T848" s="15"/>
      <c r="U848" s="15"/>
      <c r="V848" s="15"/>
      <c r="W848" s="15"/>
      <c r="X848" s="14"/>
      <c r="Y848" s="14"/>
      <c r="Z848" s="15"/>
      <c r="AA848" s="3"/>
      <c r="AB848" s="3"/>
      <c r="AC848" s="3"/>
      <c r="AD848" s="3"/>
      <c r="AE848" s="3"/>
      <c r="AF848" s="3"/>
    </row>
    <row r="849" ht="15.75" customHeight="1">
      <c r="J849" s="15"/>
      <c r="K849" s="188"/>
      <c r="L849" s="15"/>
      <c r="M849" s="15"/>
      <c r="N849" s="15"/>
      <c r="O849" s="15"/>
      <c r="P849" s="15"/>
      <c r="Q849" s="15"/>
      <c r="R849" s="15"/>
      <c r="S849" s="15"/>
      <c r="T849" s="15"/>
      <c r="U849" s="15"/>
      <c r="V849" s="15"/>
      <c r="W849" s="15"/>
      <c r="X849" s="14"/>
      <c r="Y849" s="14"/>
      <c r="Z849" s="15"/>
      <c r="AA849" s="3"/>
      <c r="AB849" s="3"/>
      <c r="AC849" s="3"/>
      <c r="AD849" s="3"/>
      <c r="AE849" s="3"/>
      <c r="AF849" s="3"/>
    </row>
    <row r="850" ht="15.75" customHeight="1">
      <c r="J850" s="15"/>
      <c r="K850" s="188"/>
      <c r="L850" s="15"/>
      <c r="M850" s="15"/>
      <c r="N850" s="15"/>
      <c r="O850" s="15"/>
      <c r="P850" s="15"/>
      <c r="Q850" s="15"/>
      <c r="R850" s="15"/>
      <c r="S850" s="15"/>
      <c r="T850" s="15"/>
      <c r="U850" s="15"/>
      <c r="V850" s="15"/>
      <c r="W850" s="15"/>
      <c r="X850" s="14"/>
      <c r="Y850" s="14"/>
      <c r="Z850" s="15"/>
      <c r="AA850" s="3"/>
      <c r="AB850" s="3"/>
      <c r="AC850" s="3"/>
      <c r="AD850" s="3"/>
      <c r="AE850" s="3"/>
      <c r="AF850" s="3"/>
    </row>
    <row r="851" ht="15.75" customHeight="1">
      <c r="J851" s="15"/>
      <c r="K851" s="188"/>
      <c r="L851" s="15"/>
      <c r="M851" s="15"/>
      <c r="N851" s="15"/>
      <c r="O851" s="15"/>
      <c r="P851" s="15"/>
      <c r="Q851" s="15"/>
      <c r="R851" s="15"/>
      <c r="S851" s="15"/>
      <c r="T851" s="15"/>
      <c r="U851" s="15"/>
      <c r="V851" s="15"/>
      <c r="W851" s="15"/>
      <c r="X851" s="14"/>
      <c r="Y851" s="14"/>
      <c r="Z851" s="15"/>
      <c r="AA851" s="3"/>
      <c r="AB851" s="3"/>
      <c r="AC851" s="3"/>
      <c r="AD851" s="3"/>
      <c r="AE851" s="3"/>
      <c r="AF851" s="3"/>
    </row>
    <row r="852" ht="15.75" customHeight="1">
      <c r="J852" s="15"/>
      <c r="K852" s="188"/>
      <c r="L852" s="15"/>
      <c r="M852" s="15"/>
      <c r="N852" s="15"/>
      <c r="O852" s="15"/>
      <c r="P852" s="15"/>
      <c r="Q852" s="15"/>
      <c r="R852" s="15"/>
      <c r="S852" s="15"/>
      <c r="T852" s="15"/>
      <c r="U852" s="15"/>
      <c r="V852" s="15"/>
      <c r="W852" s="15"/>
      <c r="X852" s="14"/>
      <c r="Y852" s="14"/>
      <c r="Z852" s="15"/>
      <c r="AA852" s="3"/>
      <c r="AB852" s="3"/>
      <c r="AC852" s="3"/>
      <c r="AD852" s="3"/>
      <c r="AE852" s="3"/>
      <c r="AF852" s="3"/>
    </row>
    <row r="853" ht="15.75" customHeight="1">
      <c r="J853" s="15"/>
      <c r="K853" s="188"/>
      <c r="L853" s="15"/>
      <c r="M853" s="15"/>
      <c r="N853" s="15"/>
      <c r="O853" s="15"/>
      <c r="P853" s="15"/>
      <c r="Q853" s="15"/>
      <c r="R853" s="15"/>
      <c r="S853" s="15"/>
      <c r="T853" s="15"/>
      <c r="U853" s="15"/>
      <c r="V853" s="15"/>
      <c r="W853" s="15"/>
      <c r="X853" s="14"/>
      <c r="Y853" s="14"/>
      <c r="Z853" s="15"/>
      <c r="AA853" s="3"/>
      <c r="AB853" s="3"/>
      <c r="AC853" s="3"/>
      <c r="AD853" s="3"/>
      <c r="AE853" s="3"/>
      <c r="AF853" s="3"/>
    </row>
    <row r="854" ht="15.75" customHeight="1">
      <c r="J854" s="15"/>
      <c r="K854" s="188"/>
      <c r="L854" s="15"/>
      <c r="M854" s="15"/>
      <c r="N854" s="15"/>
      <c r="O854" s="15"/>
      <c r="P854" s="15"/>
      <c r="Q854" s="15"/>
      <c r="R854" s="15"/>
      <c r="S854" s="15"/>
      <c r="T854" s="15"/>
      <c r="U854" s="15"/>
      <c r="V854" s="15"/>
      <c r="W854" s="15"/>
      <c r="X854" s="14"/>
      <c r="Y854" s="14"/>
      <c r="Z854" s="15"/>
      <c r="AA854" s="3"/>
      <c r="AB854" s="3"/>
      <c r="AC854" s="3"/>
      <c r="AD854" s="3"/>
      <c r="AE854" s="3"/>
      <c r="AF854" s="3"/>
    </row>
    <row r="855" ht="15.75" customHeight="1">
      <c r="J855" s="15"/>
      <c r="K855" s="188"/>
      <c r="L855" s="15"/>
      <c r="M855" s="15"/>
      <c r="N855" s="15"/>
      <c r="O855" s="15"/>
      <c r="P855" s="15"/>
      <c r="Q855" s="15"/>
      <c r="R855" s="15"/>
      <c r="S855" s="15"/>
      <c r="T855" s="15"/>
      <c r="U855" s="15"/>
      <c r="V855" s="15"/>
      <c r="W855" s="15"/>
      <c r="X855" s="14"/>
      <c r="Y855" s="14"/>
      <c r="Z855" s="15"/>
      <c r="AA855" s="3"/>
      <c r="AB855" s="3"/>
      <c r="AC855" s="3"/>
      <c r="AD855" s="3"/>
      <c r="AE855" s="3"/>
      <c r="AF855" s="3"/>
    </row>
    <row r="856" ht="15.75" customHeight="1">
      <c r="J856" s="15"/>
      <c r="K856" s="188"/>
      <c r="L856" s="15"/>
      <c r="M856" s="15"/>
      <c r="N856" s="15"/>
      <c r="O856" s="15"/>
      <c r="P856" s="15"/>
      <c r="Q856" s="15"/>
      <c r="R856" s="15"/>
      <c r="S856" s="15"/>
      <c r="T856" s="15"/>
      <c r="U856" s="15"/>
      <c r="V856" s="15"/>
      <c r="W856" s="15"/>
      <c r="X856" s="14"/>
      <c r="Y856" s="14"/>
      <c r="Z856" s="15"/>
      <c r="AA856" s="3"/>
      <c r="AB856" s="3"/>
      <c r="AC856" s="3"/>
      <c r="AD856" s="3"/>
      <c r="AE856" s="3"/>
      <c r="AF856" s="3"/>
    </row>
    <row r="857" ht="15.75" customHeight="1">
      <c r="J857" s="15"/>
      <c r="K857" s="188"/>
      <c r="L857" s="15"/>
      <c r="M857" s="15"/>
      <c r="N857" s="15"/>
      <c r="O857" s="15"/>
      <c r="P857" s="15"/>
      <c r="Q857" s="15"/>
      <c r="R857" s="15"/>
      <c r="S857" s="15"/>
      <c r="T857" s="15"/>
      <c r="U857" s="15"/>
      <c r="V857" s="15"/>
      <c r="W857" s="15"/>
      <c r="X857" s="14"/>
      <c r="Y857" s="14"/>
      <c r="Z857" s="15"/>
      <c r="AA857" s="3"/>
      <c r="AB857" s="3"/>
      <c r="AC857" s="3"/>
      <c r="AD857" s="3"/>
      <c r="AE857" s="3"/>
      <c r="AF857" s="3"/>
    </row>
    <row r="858" ht="15.75" customHeight="1">
      <c r="J858" s="15"/>
      <c r="K858" s="188"/>
      <c r="L858" s="15"/>
      <c r="M858" s="15"/>
      <c r="N858" s="15"/>
      <c r="O858" s="15"/>
      <c r="P858" s="15"/>
      <c r="Q858" s="15"/>
      <c r="R858" s="15"/>
      <c r="S858" s="15"/>
      <c r="T858" s="15"/>
      <c r="U858" s="15"/>
      <c r="V858" s="15"/>
      <c r="W858" s="15"/>
      <c r="X858" s="14"/>
      <c r="Y858" s="14"/>
      <c r="Z858" s="15"/>
      <c r="AA858" s="3"/>
      <c r="AB858" s="3"/>
      <c r="AC858" s="3"/>
      <c r="AD858" s="3"/>
      <c r="AE858" s="3"/>
      <c r="AF858" s="3"/>
    </row>
    <row r="859" ht="15.75" customHeight="1">
      <c r="J859" s="15"/>
      <c r="K859" s="188"/>
      <c r="L859" s="15"/>
      <c r="M859" s="15"/>
      <c r="N859" s="15"/>
      <c r="O859" s="15"/>
      <c r="P859" s="15"/>
      <c r="Q859" s="15"/>
      <c r="R859" s="15"/>
      <c r="S859" s="15"/>
      <c r="T859" s="15"/>
      <c r="U859" s="15"/>
      <c r="V859" s="15"/>
      <c r="W859" s="15"/>
      <c r="X859" s="14"/>
      <c r="Y859" s="14"/>
      <c r="Z859" s="15"/>
      <c r="AA859" s="3"/>
      <c r="AB859" s="3"/>
      <c r="AC859" s="3"/>
      <c r="AD859" s="3"/>
      <c r="AE859" s="3"/>
      <c r="AF859" s="3"/>
    </row>
    <row r="860" ht="15.75" customHeight="1">
      <c r="J860" s="15"/>
      <c r="K860" s="188"/>
      <c r="L860" s="15"/>
      <c r="M860" s="15"/>
      <c r="N860" s="15"/>
      <c r="O860" s="15"/>
      <c r="P860" s="15"/>
      <c r="Q860" s="15"/>
      <c r="R860" s="15"/>
      <c r="S860" s="15"/>
      <c r="T860" s="15"/>
      <c r="U860" s="15"/>
      <c r="V860" s="15"/>
      <c r="W860" s="15"/>
      <c r="X860" s="14"/>
      <c r="Y860" s="14"/>
      <c r="Z860" s="15"/>
      <c r="AA860" s="3"/>
      <c r="AB860" s="3"/>
      <c r="AC860" s="3"/>
      <c r="AD860" s="3"/>
      <c r="AE860" s="3"/>
      <c r="AF860" s="3"/>
    </row>
    <row r="861" ht="15.75" customHeight="1">
      <c r="J861" s="15"/>
      <c r="K861" s="188"/>
      <c r="L861" s="15"/>
      <c r="M861" s="15"/>
      <c r="N861" s="15"/>
      <c r="O861" s="15"/>
      <c r="P861" s="15"/>
      <c r="Q861" s="15"/>
      <c r="R861" s="15"/>
      <c r="S861" s="15"/>
      <c r="T861" s="15"/>
      <c r="U861" s="15"/>
      <c r="V861" s="15"/>
      <c r="W861" s="15"/>
      <c r="X861" s="14"/>
      <c r="Y861" s="14"/>
      <c r="Z861" s="15"/>
      <c r="AA861" s="3"/>
      <c r="AB861" s="3"/>
      <c r="AC861" s="3"/>
      <c r="AD861" s="3"/>
      <c r="AE861" s="3"/>
      <c r="AF861" s="3"/>
    </row>
    <row r="862" ht="15.75" customHeight="1">
      <c r="J862" s="15"/>
      <c r="K862" s="188"/>
      <c r="L862" s="15"/>
      <c r="M862" s="15"/>
      <c r="N862" s="15"/>
      <c r="O862" s="15"/>
      <c r="P862" s="15"/>
      <c r="Q862" s="15"/>
      <c r="R862" s="15"/>
      <c r="S862" s="15"/>
      <c r="T862" s="15"/>
      <c r="U862" s="15"/>
      <c r="V862" s="15"/>
      <c r="W862" s="15"/>
      <c r="X862" s="14"/>
      <c r="Y862" s="14"/>
      <c r="Z862" s="15"/>
      <c r="AA862" s="3"/>
      <c r="AB862" s="3"/>
      <c r="AC862" s="3"/>
      <c r="AD862" s="3"/>
      <c r="AE862" s="3"/>
      <c r="AF862" s="3"/>
    </row>
    <row r="863" ht="15.75" customHeight="1">
      <c r="J863" s="15"/>
      <c r="K863" s="188"/>
      <c r="L863" s="15"/>
      <c r="M863" s="15"/>
      <c r="N863" s="15"/>
      <c r="O863" s="15"/>
      <c r="P863" s="15"/>
      <c r="Q863" s="15"/>
      <c r="R863" s="15"/>
      <c r="S863" s="15"/>
      <c r="T863" s="15"/>
      <c r="U863" s="15"/>
      <c r="V863" s="15"/>
      <c r="W863" s="15"/>
      <c r="X863" s="14"/>
      <c r="Y863" s="14"/>
      <c r="Z863" s="15"/>
      <c r="AA863" s="3"/>
      <c r="AB863" s="3"/>
      <c r="AC863" s="3"/>
      <c r="AD863" s="3"/>
      <c r="AE863" s="3"/>
      <c r="AF863" s="3"/>
    </row>
    <row r="864" ht="15.75" customHeight="1">
      <c r="J864" s="15"/>
      <c r="K864" s="188"/>
      <c r="L864" s="15"/>
      <c r="M864" s="15"/>
      <c r="N864" s="15"/>
      <c r="O864" s="15"/>
      <c r="P864" s="15"/>
      <c r="Q864" s="15"/>
      <c r="R864" s="15"/>
      <c r="S864" s="15"/>
      <c r="T864" s="15"/>
      <c r="U864" s="15"/>
      <c r="V864" s="15"/>
      <c r="W864" s="15"/>
      <c r="X864" s="14"/>
      <c r="Y864" s="14"/>
      <c r="Z864" s="15"/>
      <c r="AA864" s="3"/>
      <c r="AB864" s="3"/>
      <c r="AC864" s="3"/>
      <c r="AD864" s="3"/>
      <c r="AE864" s="3"/>
      <c r="AF864" s="3"/>
    </row>
    <row r="865" ht="15.75" customHeight="1">
      <c r="J865" s="15"/>
      <c r="K865" s="188"/>
      <c r="L865" s="15"/>
      <c r="M865" s="15"/>
      <c r="N865" s="15"/>
      <c r="O865" s="15"/>
      <c r="P865" s="15"/>
      <c r="Q865" s="15"/>
      <c r="R865" s="15"/>
      <c r="S865" s="15"/>
      <c r="T865" s="15"/>
      <c r="U865" s="15"/>
      <c r="V865" s="15"/>
      <c r="W865" s="15"/>
      <c r="X865" s="14"/>
      <c r="Y865" s="14"/>
      <c r="Z865" s="15"/>
      <c r="AA865" s="3"/>
      <c r="AB865" s="3"/>
      <c r="AC865" s="3"/>
      <c r="AD865" s="3"/>
      <c r="AE865" s="3"/>
      <c r="AF865" s="3"/>
    </row>
    <row r="866" ht="15.75" customHeight="1">
      <c r="J866" s="15"/>
      <c r="K866" s="188"/>
      <c r="L866" s="15"/>
      <c r="M866" s="15"/>
      <c r="N866" s="15"/>
      <c r="O866" s="15"/>
      <c r="P866" s="15"/>
      <c r="Q866" s="15"/>
      <c r="R866" s="15"/>
      <c r="S866" s="15"/>
      <c r="T866" s="15"/>
      <c r="U866" s="15"/>
      <c r="V866" s="15"/>
      <c r="W866" s="15"/>
      <c r="X866" s="14"/>
      <c r="Y866" s="14"/>
      <c r="Z866" s="15"/>
      <c r="AA866" s="3"/>
      <c r="AB866" s="3"/>
      <c r="AC866" s="3"/>
      <c r="AD866" s="3"/>
      <c r="AE866" s="3"/>
      <c r="AF866" s="3"/>
    </row>
    <row r="867" ht="15.75" customHeight="1">
      <c r="J867" s="15"/>
      <c r="K867" s="188"/>
      <c r="L867" s="15"/>
      <c r="M867" s="15"/>
      <c r="N867" s="15"/>
      <c r="O867" s="15"/>
      <c r="P867" s="15"/>
      <c r="Q867" s="15"/>
      <c r="R867" s="15"/>
      <c r="S867" s="15"/>
      <c r="T867" s="15"/>
      <c r="U867" s="15"/>
      <c r="V867" s="15"/>
      <c r="W867" s="15"/>
      <c r="X867" s="14"/>
      <c r="Y867" s="14"/>
      <c r="Z867" s="15"/>
      <c r="AA867" s="3"/>
      <c r="AB867" s="3"/>
      <c r="AC867" s="3"/>
      <c r="AD867" s="3"/>
      <c r="AE867" s="3"/>
      <c r="AF867" s="3"/>
    </row>
    <row r="868" ht="15.75" customHeight="1">
      <c r="J868" s="15"/>
      <c r="K868" s="188"/>
      <c r="L868" s="15"/>
      <c r="M868" s="15"/>
      <c r="N868" s="15"/>
      <c r="O868" s="15"/>
      <c r="P868" s="15"/>
      <c r="Q868" s="15"/>
      <c r="R868" s="15"/>
      <c r="S868" s="15"/>
      <c r="T868" s="15"/>
      <c r="U868" s="15"/>
      <c r="V868" s="15"/>
      <c r="W868" s="15"/>
      <c r="X868" s="14"/>
      <c r="Y868" s="14"/>
      <c r="Z868" s="15"/>
      <c r="AA868" s="3"/>
      <c r="AB868" s="3"/>
      <c r="AC868" s="3"/>
      <c r="AD868" s="3"/>
      <c r="AE868" s="3"/>
      <c r="AF868" s="3"/>
    </row>
    <row r="869" ht="15.75" customHeight="1">
      <c r="J869" s="15"/>
      <c r="K869" s="188"/>
      <c r="L869" s="15"/>
      <c r="M869" s="15"/>
      <c r="N869" s="15"/>
      <c r="O869" s="15"/>
      <c r="P869" s="15"/>
      <c r="Q869" s="15"/>
      <c r="R869" s="15"/>
      <c r="S869" s="15"/>
      <c r="T869" s="15"/>
      <c r="U869" s="15"/>
      <c r="V869" s="15"/>
      <c r="W869" s="15"/>
      <c r="X869" s="14"/>
      <c r="Y869" s="14"/>
      <c r="Z869" s="15"/>
      <c r="AA869" s="3"/>
      <c r="AB869" s="3"/>
      <c r="AC869" s="3"/>
      <c r="AD869" s="3"/>
      <c r="AE869" s="3"/>
      <c r="AF869" s="3"/>
    </row>
    <row r="870" ht="15.75" customHeight="1">
      <c r="J870" s="15"/>
      <c r="K870" s="188"/>
      <c r="L870" s="15"/>
      <c r="M870" s="15"/>
      <c r="N870" s="15"/>
      <c r="O870" s="15"/>
      <c r="P870" s="15"/>
      <c r="Q870" s="15"/>
      <c r="R870" s="15"/>
      <c r="S870" s="15"/>
      <c r="T870" s="15"/>
      <c r="U870" s="15"/>
      <c r="V870" s="15"/>
      <c r="W870" s="15"/>
      <c r="X870" s="14"/>
      <c r="Y870" s="14"/>
      <c r="Z870" s="15"/>
      <c r="AA870" s="3"/>
      <c r="AB870" s="3"/>
      <c r="AC870" s="3"/>
      <c r="AD870" s="3"/>
      <c r="AE870" s="3"/>
      <c r="AF870" s="3"/>
    </row>
    <row r="871" ht="15.75" customHeight="1">
      <c r="J871" s="15"/>
      <c r="K871" s="188"/>
      <c r="L871" s="15"/>
      <c r="M871" s="15"/>
      <c r="N871" s="15"/>
      <c r="O871" s="15"/>
      <c r="P871" s="15"/>
      <c r="Q871" s="15"/>
      <c r="R871" s="15"/>
      <c r="S871" s="15"/>
      <c r="T871" s="15"/>
      <c r="U871" s="15"/>
      <c r="V871" s="15"/>
      <c r="W871" s="15"/>
      <c r="X871" s="14"/>
      <c r="Y871" s="14"/>
      <c r="Z871" s="15"/>
      <c r="AA871" s="3"/>
      <c r="AB871" s="3"/>
      <c r="AC871" s="3"/>
      <c r="AD871" s="3"/>
      <c r="AE871" s="3"/>
      <c r="AF871" s="3"/>
    </row>
    <row r="872" ht="15.75" customHeight="1">
      <c r="J872" s="15"/>
      <c r="K872" s="188"/>
      <c r="L872" s="15"/>
      <c r="M872" s="15"/>
      <c r="N872" s="15"/>
      <c r="O872" s="15"/>
      <c r="P872" s="15"/>
      <c r="Q872" s="15"/>
      <c r="R872" s="15"/>
      <c r="S872" s="15"/>
      <c r="T872" s="15"/>
      <c r="U872" s="15"/>
      <c r="V872" s="15"/>
      <c r="W872" s="15"/>
      <c r="X872" s="14"/>
      <c r="Y872" s="14"/>
      <c r="Z872" s="15"/>
      <c r="AA872" s="3"/>
      <c r="AB872" s="3"/>
      <c r="AC872" s="3"/>
      <c r="AD872" s="3"/>
      <c r="AE872" s="3"/>
      <c r="AF872" s="3"/>
    </row>
    <row r="873" ht="15.75" customHeight="1">
      <c r="J873" s="15"/>
      <c r="K873" s="188"/>
      <c r="L873" s="15"/>
      <c r="M873" s="15"/>
      <c r="N873" s="15"/>
      <c r="O873" s="15"/>
      <c r="P873" s="15"/>
      <c r="Q873" s="15"/>
      <c r="R873" s="15"/>
      <c r="S873" s="15"/>
      <c r="T873" s="15"/>
      <c r="U873" s="15"/>
      <c r="V873" s="15"/>
      <c r="W873" s="15"/>
      <c r="X873" s="14"/>
      <c r="Y873" s="14"/>
      <c r="Z873" s="15"/>
      <c r="AA873" s="3"/>
      <c r="AB873" s="3"/>
      <c r="AC873" s="3"/>
      <c r="AD873" s="3"/>
      <c r="AE873" s="3"/>
      <c r="AF873" s="3"/>
    </row>
    <row r="874" ht="15.75" customHeight="1">
      <c r="J874" s="15"/>
      <c r="K874" s="188"/>
      <c r="L874" s="15"/>
      <c r="M874" s="15"/>
      <c r="N874" s="15"/>
      <c r="O874" s="15"/>
      <c r="P874" s="15"/>
      <c r="Q874" s="15"/>
      <c r="R874" s="15"/>
      <c r="S874" s="15"/>
      <c r="T874" s="15"/>
      <c r="U874" s="15"/>
      <c r="V874" s="15"/>
      <c r="W874" s="15"/>
      <c r="X874" s="14"/>
      <c r="Y874" s="14"/>
      <c r="Z874" s="15"/>
      <c r="AA874" s="3"/>
      <c r="AB874" s="3"/>
      <c r="AC874" s="3"/>
      <c r="AD874" s="3"/>
      <c r="AE874" s="3"/>
      <c r="AF874" s="3"/>
    </row>
    <row r="875" ht="15.75" customHeight="1">
      <c r="J875" s="15"/>
      <c r="K875" s="188"/>
      <c r="L875" s="15"/>
      <c r="M875" s="15"/>
      <c r="N875" s="15"/>
      <c r="O875" s="15"/>
      <c r="P875" s="15"/>
      <c r="Q875" s="15"/>
      <c r="R875" s="15"/>
      <c r="S875" s="15"/>
      <c r="T875" s="15"/>
      <c r="U875" s="15"/>
      <c r="V875" s="15"/>
      <c r="W875" s="15"/>
      <c r="X875" s="14"/>
      <c r="Y875" s="14"/>
      <c r="Z875" s="15"/>
      <c r="AA875" s="3"/>
      <c r="AB875" s="3"/>
      <c r="AC875" s="3"/>
      <c r="AD875" s="3"/>
      <c r="AE875" s="3"/>
      <c r="AF875" s="3"/>
    </row>
    <row r="876" ht="15.75" customHeight="1">
      <c r="J876" s="15"/>
      <c r="K876" s="188"/>
      <c r="L876" s="15"/>
      <c r="M876" s="15"/>
      <c r="N876" s="15"/>
      <c r="O876" s="15"/>
      <c r="P876" s="15"/>
      <c r="Q876" s="15"/>
      <c r="R876" s="15"/>
      <c r="S876" s="15"/>
      <c r="T876" s="15"/>
      <c r="U876" s="15"/>
      <c r="V876" s="15"/>
      <c r="W876" s="15"/>
      <c r="X876" s="14"/>
      <c r="Y876" s="14"/>
      <c r="Z876" s="15"/>
      <c r="AA876" s="3"/>
      <c r="AB876" s="3"/>
      <c r="AC876" s="3"/>
      <c r="AD876" s="3"/>
      <c r="AE876" s="3"/>
      <c r="AF876" s="3"/>
    </row>
    <row r="877" ht="15.75" customHeight="1">
      <c r="J877" s="15"/>
      <c r="K877" s="188"/>
      <c r="L877" s="15"/>
      <c r="M877" s="15"/>
      <c r="N877" s="15"/>
      <c r="O877" s="15"/>
      <c r="P877" s="15"/>
      <c r="Q877" s="15"/>
      <c r="R877" s="15"/>
      <c r="S877" s="15"/>
      <c r="T877" s="15"/>
      <c r="U877" s="15"/>
      <c r="V877" s="15"/>
      <c r="W877" s="15"/>
      <c r="X877" s="14"/>
      <c r="Y877" s="14"/>
      <c r="Z877" s="15"/>
      <c r="AA877" s="3"/>
      <c r="AB877" s="3"/>
      <c r="AC877" s="3"/>
      <c r="AD877" s="3"/>
      <c r="AE877" s="3"/>
      <c r="AF877" s="3"/>
    </row>
    <row r="878" ht="15.75" customHeight="1">
      <c r="J878" s="15"/>
      <c r="K878" s="188"/>
      <c r="L878" s="15"/>
      <c r="M878" s="15"/>
      <c r="N878" s="15"/>
      <c r="O878" s="15"/>
      <c r="P878" s="15"/>
      <c r="Q878" s="15"/>
      <c r="R878" s="15"/>
      <c r="S878" s="15"/>
      <c r="T878" s="15"/>
      <c r="U878" s="15"/>
      <c r="V878" s="15"/>
      <c r="W878" s="15"/>
      <c r="X878" s="14"/>
      <c r="Y878" s="14"/>
      <c r="Z878" s="15"/>
      <c r="AA878" s="3"/>
      <c r="AB878" s="3"/>
      <c r="AC878" s="3"/>
      <c r="AD878" s="3"/>
      <c r="AE878" s="3"/>
      <c r="AF878" s="3"/>
    </row>
    <row r="879" ht="15.75" customHeight="1">
      <c r="J879" s="15"/>
      <c r="K879" s="188"/>
      <c r="L879" s="15"/>
      <c r="M879" s="15"/>
      <c r="N879" s="15"/>
      <c r="O879" s="15"/>
      <c r="P879" s="15"/>
      <c r="Q879" s="15"/>
      <c r="R879" s="15"/>
      <c r="S879" s="15"/>
      <c r="T879" s="15"/>
      <c r="U879" s="15"/>
      <c r="V879" s="15"/>
      <c r="W879" s="15"/>
      <c r="X879" s="14"/>
      <c r="Y879" s="14"/>
      <c r="Z879" s="15"/>
      <c r="AA879" s="3"/>
      <c r="AB879" s="3"/>
      <c r="AC879" s="3"/>
      <c r="AD879" s="3"/>
      <c r="AE879" s="3"/>
      <c r="AF879" s="3"/>
    </row>
    <row r="880" ht="15.75" customHeight="1">
      <c r="J880" s="15"/>
      <c r="K880" s="188"/>
      <c r="L880" s="15"/>
      <c r="M880" s="15"/>
      <c r="N880" s="15"/>
      <c r="O880" s="15"/>
      <c r="P880" s="15"/>
      <c r="Q880" s="15"/>
      <c r="R880" s="15"/>
      <c r="S880" s="15"/>
      <c r="T880" s="15"/>
      <c r="U880" s="15"/>
      <c r="V880" s="15"/>
      <c r="W880" s="15"/>
      <c r="X880" s="14"/>
      <c r="Y880" s="14"/>
      <c r="Z880" s="15"/>
      <c r="AA880" s="3"/>
      <c r="AB880" s="3"/>
      <c r="AC880" s="3"/>
      <c r="AD880" s="3"/>
      <c r="AE880" s="3"/>
      <c r="AF880" s="3"/>
    </row>
    <row r="881" ht="15.75" customHeight="1">
      <c r="J881" s="15"/>
      <c r="K881" s="188"/>
      <c r="L881" s="15"/>
      <c r="M881" s="15"/>
      <c r="N881" s="15"/>
      <c r="O881" s="15"/>
      <c r="P881" s="15"/>
      <c r="Q881" s="15"/>
      <c r="R881" s="15"/>
      <c r="S881" s="15"/>
      <c r="T881" s="15"/>
      <c r="U881" s="15"/>
      <c r="V881" s="15"/>
      <c r="W881" s="15"/>
      <c r="X881" s="14"/>
      <c r="Y881" s="14"/>
      <c r="Z881" s="15"/>
      <c r="AA881" s="3"/>
      <c r="AB881" s="3"/>
      <c r="AC881" s="3"/>
      <c r="AD881" s="3"/>
      <c r="AE881" s="3"/>
      <c r="AF881" s="3"/>
    </row>
    <row r="882" ht="15.75" customHeight="1">
      <c r="J882" s="15"/>
      <c r="K882" s="188"/>
      <c r="L882" s="15"/>
      <c r="M882" s="15"/>
      <c r="N882" s="15"/>
      <c r="O882" s="15"/>
      <c r="P882" s="15"/>
      <c r="Q882" s="15"/>
      <c r="R882" s="15"/>
      <c r="S882" s="15"/>
      <c r="T882" s="15"/>
      <c r="U882" s="15"/>
      <c r="V882" s="15"/>
      <c r="W882" s="15"/>
      <c r="X882" s="14"/>
      <c r="Y882" s="14"/>
      <c r="Z882" s="15"/>
      <c r="AA882" s="3"/>
      <c r="AB882" s="3"/>
      <c r="AC882" s="3"/>
      <c r="AD882" s="3"/>
      <c r="AE882" s="3"/>
      <c r="AF882" s="3"/>
    </row>
    <row r="883" ht="15.75" customHeight="1">
      <c r="J883" s="15"/>
      <c r="K883" s="188"/>
      <c r="L883" s="15"/>
      <c r="M883" s="15"/>
      <c r="N883" s="15"/>
      <c r="O883" s="15"/>
      <c r="P883" s="15"/>
      <c r="Q883" s="15"/>
      <c r="R883" s="15"/>
      <c r="S883" s="15"/>
      <c r="T883" s="15"/>
      <c r="U883" s="15"/>
      <c r="V883" s="15"/>
      <c r="W883" s="15"/>
      <c r="X883" s="14"/>
      <c r="Y883" s="14"/>
      <c r="Z883" s="15"/>
      <c r="AA883" s="3"/>
      <c r="AB883" s="3"/>
      <c r="AC883" s="3"/>
      <c r="AD883" s="3"/>
      <c r="AE883" s="3"/>
      <c r="AF883" s="3"/>
    </row>
    <row r="884" ht="15.75" customHeight="1">
      <c r="J884" s="15"/>
      <c r="K884" s="188"/>
      <c r="L884" s="15"/>
      <c r="M884" s="15"/>
      <c r="N884" s="15"/>
      <c r="O884" s="15"/>
      <c r="P884" s="15"/>
      <c r="Q884" s="15"/>
      <c r="R884" s="15"/>
      <c r="S884" s="15"/>
      <c r="T884" s="15"/>
      <c r="U884" s="15"/>
      <c r="V884" s="15"/>
      <c r="W884" s="15"/>
      <c r="X884" s="14"/>
      <c r="Y884" s="14"/>
      <c r="Z884" s="15"/>
      <c r="AA884" s="3"/>
      <c r="AB884" s="3"/>
      <c r="AC884" s="3"/>
      <c r="AD884" s="3"/>
      <c r="AE884" s="3"/>
      <c r="AF884" s="3"/>
    </row>
    <row r="885" ht="15.75" customHeight="1">
      <c r="J885" s="15"/>
      <c r="K885" s="188"/>
      <c r="L885" s="15"/>
      <c r="M885" s="15"/>
      <c r="N885" s="15"/>
      <c r="O885" s="15"/>
      <c r="P885" s="15"/>
      <c r="Q885" s="15"/>
      <c r="R885" s="15"/>
      <c r="S885" s="15"/>
      <c r="T885" s="15"/>
      <c r="U885" s="15"/>
      <c r="V885" s="15"/>
      <c r="W885" s="15"/>
      <c r="X885" s="14"/>
      <c r="Y885" s="14"/>
      <c r="Z885" s="15"/>
      <c r="AA885" s="3"/>
      <c r="AB885" s="3"/>
      <c r="AC885" s="3"/>
      <c r="AD885" s="3"/>
      <c r="AE885" s="3"/>
      <c r="AF885" s="3"/>
    </row>
    <row r="886" ht="15.75" customHeight="1">
      <c r="J886" s="15"/>
      <c r="K886" s="188"/>
      <c r="L886" s="15"/>
      <c r="M886" s="15"/>
      <c r="N886" s="15"/>
      <c r="O886" s="15"/>
      <c r="P886" s="15"/>
      <c r="Q886" s="15"/>
      <c r="R886" s="15"/>
      <c r="S886" s="15"/>
      <c r="T886" s="15"/>
      <c r="U886" s="15"/>
      <c r="V886" s="15"/>
      <c r="W886" s="15"/>
      <c r="X886" s="14"/>
      <c r="Y886" s="14"/>
      <c r="Z886" s="15"/>
      <c r="AA886" s="3"/>
      <c r="AB886" s="3"/>
      <c r="AC886" s="3"/>
      <c r="AD886" s="3"/>
      <c r="AE886" s="3"/>
      <c r="AF886" s="3"/>
    </row>
    <row r="887" ht="15.75" customHeight="1">
      <c r="J887" s="15"/>
      <c r="K887" s="188"/>
      <c r="L887" s="15"/>
      <c r="M887" s="15"/>
      <c r="N887" s="15"/>
      <c r="O887" s="15"/>
      <c r="P887" s="15"/>
      <c r="Q887" s="15"/>
      <c r="R887" s="15"/>
      <c r="S887" s="15"/>
      <c r="T887" s="15"/>
      <c r="U887" s="15"/>
      <c r="V887" s="15"/>
      <c r="W887" s="15"/>
      <c r="X887" s="14"/>
      <c r="Y887" s="14"/>
      <c r="Z887" s="15"/>
      <c r="AA887" s="3"/>
      <c r="AB887" s="3"/>
      <c r="AC887" s="3"/>
      <c r="AD887" s="3"/>
      <c r="AE887" s="3"/>
      <c r="AF887" s="3"/>
    </row>
    <row r="888" ht="15.75" customHeight="1">
      <c r="J888" s="15"/>
      <c r="K888" s="188"/>
      <c r="L888" s="15"/>
      <c r="M888" s="15"/>
      <c r="N888" s="15"/>
      <c r="O888" s="15"/>
      <c r="P888" s="15"/>
      <c r="Q888" s="15"/>
      <c r="R888" s="15"/>
      <c r="S888" s="15"/>
      <c r="T888" s="15"/>
      <c r="U888" s="15"/>
      <c r="V888" s="15"/>
      <c r="W888" s="15"/>
      <c r="X888" s="14"/>
      <c r="Y888" s="14"/>
      <c r="Z888" s="15"/>
      <c r="AA888" s="3"/>
      <c r="AB888" s="3"/>
      <c r="AC888" s="3"/>
      <c r="AD888" s="3"/>
      <c r="AE888" s="3"/>
      <c r="AF888" s="3"/>
    </row>
    <row r="889" ht="15.75" customHeight="1">
      <c r="J889" s="15"/>
      <c r="K889" s="188"/>
      <c r="L889" s="15"/>
      <c r="M889" s="15"/>
      <c r="N889" s="15"/>
      <c r="O889" s="15"/>
      <c r="P889" s="15"/>
      <c r="Q889" s="15"/>
      <c r="R889" s="15"/>
      <c r="S889" s="15"/>
      <c r="T889" s="15"/>
      <c r="U889" s="15"/>
      <c r="V889" s="15"/>
      <c r="W889" s="15"/>
      <c r="X889" s="14"/>
      <c r="Y889" s="14"/>
      <c r="Z889" s="15"/>
      <c r="AA889" s="3"/>
      <c r="AB889" s="3"/>
      <c r="AC889" s="3"/>
      <c r="AD889" s="3"/>
      <c r="AE889" s="3"/>
      <c r="AF889" s="3"/>
    </row>
    <row r="890" ht="15.75" customHeight="1">
      <c r="J890" s="15"/>
      <c r="K890" s="188"/>
      <c r="L890" s="15"/>
      <c r="M890" s="15"/>
      <c r="N890" s="15"/>
      <c r="O890" s="15"/>
      <c r="P890" s="15"/>
      <c r="Q890" s="15"/>
      <c r="R890" s="15"/>
      <c r="S890" s="15"/>
      <c r="T890" s="15"/>
      <c r="U890" s="15"/>
      <c r="V890" s="15"/>
      <c r="W890" s="15"/>
      <c r="X890" s="14"/>
      <c r="Y890" s="14"/>
      <c r="Z890" s="15"/>
      <c r="AA890" s="3"/>
      <c r="AB890" s="3"/>
      <c r="AC890" s="3"/>
      <c r="AD890" s="3"/>
      <c r="AE890" s="3"/>
      <c r="AF890" s="3"/>
    </row>
    <row r="891" ht="15.75" customHeight="1">
      <c r="J891" s="15"/>
      <c r="K891" s="188"/>
      <c r="L891" s="15"/>
      <c r="M891" s="15"/>
      <c r="N891" s="15"/>
      <c r="O891" s="15"/>
      <c r="P891" s="15"/>
      <c r="Q891" s="15"/>
      <c r="R891" s="15"/>
      <c r="S891" s="15"/>
      <c r="T891" s="15"/>
      <c r="U891" s="15"/>
      <c r="V891" s="15"/>
      <c r="W891" s="15"/>
      <c r="X891" s="14"/>
      <c r="Y891" s="14"/>
      <c r="Z891" s="15"/>
      <c r="AA891" s="3"/>
      <c r="AB891" s="3"/>
      <c r="AC891" s="3"/>
      <c r="AD891" s="3"/>
      <c r="AE891" s="3"/>
      <c r="AF891" s="3"/>
    </row>
    <row r="892" ht="15.75" customHeight="1">
      <c r="J892" s="15"/>
      <c r="K892" s="188"/>
      <c r="L892" s="15"/>
      <c r="M892" s="15"/>
      <c r="N892" s="15"/>
      <c r="O892" s="15"/>
      <c r="P892" s="15"/>
      <c r="Q892" s="15"/>
      <c r="R892" s="15"/>
      <c r="S892" s="15"/>
      <c r="T892" s="15"/>
      <c r="U892" s="15"/>
      <c r="V892" s="15"/>
      <c r="W892" s="15"/>
      <c r="X892" s="14"/>
      <c r="Y892" s="14"/>
      <c r="Z892" s="15"/>
      <c r="AA892" s="3"/>
      <c r="AB892" s="3"/>
      <c r="AC892" s="3"/>
      <c r="AD892" s="3"/>
      <c r="AE892" s="3"/>
      <c r="AF892" s="3"/>
    </row>
    <row r="893" ht="15.75" customHeight="1">
      <c r="J893" s="15"/>
      <c r="K893" s="188"/>
      <c r="L893" s="15"/>
      <c r="M893" s="15"/>
      <c r="N893" s="15"/>
      <c r="O893" s="15"/>
      <c r="P893" s="15"/>
      <c r="Q893" s="15"/>
      <c r="R893" s="15"/>
      <c r="S893" s="15"/>
      <c r="T893" s="15"/>
      <c r="U893" s="15"/>
      <c r="V893" s="15"/>
      <c r="W893" s="15"/>
      <c r="X893" s="14"/>
      <c r="Y893" s="14"/>
      <c r="Z893" s="15"/>
      <c r="AA893" s="3"/>
      <c r="AB893" s="3"/>
      <c r="AC893" s="3"/>
      <c r="AD893" s="3"/>
      <c r="AE893" s="3"/>
      <c r="AF893" s="3"/>
    </row>
    <row r="894" ht="15.75" customHeight="1">
      <c r="J894" s="15"/>
      <c r="K894" s="188"/>
      <c r="L894" s="15"/>
      <c r="M894" s="15"/>
      <c r="N894" s="15"/>
      <c r="O894" s="15"/>
      <c r="P894" s="15"/>
      <c r="Q894" s="15"/>
      <c r="R894" s="15"/>
      <c r="S894" s="15"/>
      <c r="T894" s="15"/>
      <c r="U894" s="15"/>
      <c r="V894" s="15"/>
      <c r="W894" s="15"/>
      <c r="X894" s="14"/>
      <c r="Y894" s="14"/>
      <c r="Z894" s="15"/>
      <c r="AA894" s="3"/>
      <c r="AB894" s="3"/>
      <c r="AC894" s="3"/>
      <c r="AD894" s="3"/>
      <c r="AE894" s="3"/>
      <c r="AF894" s="3"/>
    </row>
    <row r="895" ht="15.75" customHeight="1">
      <c r="J895" s="15"/>
      <c r="K895" s="188"/>
      <c r="L895" s="15"/>
      <c r="M895" s="15"/>
      <c r="N895" s="15"/>
      <c r="O895" s="15"/>
      <c r="P895" s="15"/>
      <c r="Q895" s="15"/>
      <c r="R895" s="15"/>
      <c r="S895" s="15"/>
      <c r="T895" s="15"/>
      <c r="U895" s="15"/>
      <c r="V895" s="15"/>
      <c r="W895" s="15"/>
      <c r="X895" s="14"/>
      <c r="Y895" s="14"/>
      <c r="Z895" s="15"/>
      <c r="AA895" s="3"/>
      <c r="AB895" s="3"/>
      <c r="AC895" s="3"/>
      <c r="AD895" s="3"/>
      <c r="AE895" s="3"/>
      <c r="AF895" s="3"/>
    </row>
    <row r="896" ht="15.75" customHeight="1">
      <c r="J896" s="15"/>
      <c r="K896" s="188"/>
      <c r="L896" s="15"/>
      <c r="M896" s="15"/>
      <c r="N896" s="15"/>
      <c r="O896" s="15"/>
      <c r="P896" s="15"/>
      <c r="Q896" s="15"/>
      <c r="R896" s="15"/>
      <c r="S896" s="15"/>
      <c r="T896" s="15"/>
      <c r="U896" s="15"/>
      <c r="V896" s="15"/>
      <c r="W896" s="15"/>
      <c r="X896" s="14"/>
      <c r="Y896" s="14"/>
      <c r="Z896" s="15"/>
      <c r="AA896" s="3"/>
      <c r="AB896" s="3"/>
      <c r="AC896" s="3"/>
      <c r="AD896" s="3"/>
      <c r="AE896" s="3"/>
      <c r="AF896" s="3"/>
    </row>
    <row r="897" ht="15.75" customHeight="1">
      <c r="J897" s="15"/>
      <c r="K897" s="188"/>
      <c r="L897" s="15"/>
      <c r="M897" s="15"/>
      <c r="N897" s="15"/>
      <c r="O897" s="15"/>
      <c r="P897" s="15"/>
      <c r="Q897" s="15"/>
      <c r="R897" s="15"/>
      <c r="S897" s="15"/>
      <c r="T897" s="15"/>
      <c r="U897" s="15"/>
      <c r="V897" s="15"/>
      <c r="W897" s="15"/>
      <c r="X897" s="14"/>
      <c r="Y897" s="14"/>
      <c r="Z897" s="15"/>
      <c r="AA897" s="3"/>
      <c r="AB897" s="3"/>
      <c r="AC897" s="3"/>
      <c r="AD897" s="3"/>
      <c r="AE897" s="3"/>
      <c r="AF897" s="3"/>
    </row>
    <row r="898" ht="15.75" customHeight="1">
      <c r="J898" s="15"/>
      <c r="K898" s="188"/>
      <c r="L898" s="15"/>
      <c r="M898" s="15"/>
      <c r="N898" s="15"/>
      <c r="O898" s="15"/>
      <c r="P898" s="15"/>
      <c r="Q898" s="15"/>
      <c r="R898" s="15"/>
      <c r="S898" s="15"/>
      <c r="T898" s="15"/>
      <c r="U898" s="15"/>
      <c r="V898" s="15"/>
      <c r="W898" s="15"/>
      <c r="X898" s="14"/>
      <c r="Y898" s="14"/>
      <c r="Z898" s="15"/>
      <c r="AA898" s="3"/>
      <c r="AB898" s="3"/>
      <c r="AC898" s="3"/>
      <c r="AD898" s="3"/>
      <c r="AE898" s="3"/>
      <c r="AF898" s="3"/>
    </row>
    <row r="899" ht="15.75" customHeight="1">
      <c r="J899" s="15"/>
      <c r="K899" s="188"/>
      <c r="L899" s="15"/>
      <c r="M899" s="15"/>
      <c r="N899" s="15"/>
      <c r="O899" s="15"/>
      <c r="P899" s="15"/>
      <c r="Q899" s="15"/>
      <c r="R899" s="15"/>
      <c r="S899" s="15"/>
      <c r="T899" s="15"/>
      <c r="U899" s="15"/>
      <c r="V899" s="15"/>
      <c r="W899" s="15"/>
      <c r="X899" s="14"/>
      <c r="Y899" s="14"/>
      <c r="Z899" s="15"/>
      <c r="AA899" s="3"/>
      <c r="AB899" s="3"/>
      <c r="AC899" s="3"/>
      <c r="AD899" s="3"/>
      <c r="AE899" s="3"/>
      <c r="AF899" s="3"/>
    </row>
    <row r="900" ht="15.75" customHeight="1">
      <c r="J900" s="15"/>
      <c r="K900" s="188"/>
      <c r="L900" s="15"/>
      <c r="M900" s="15"/>
      <c r="N900" s="15"/>
      <c r="O900" s="15"/>
      <c r="P900" s="15"/>
      <c r="Q900" s="15"/>
      <c r="R900" s="15"/>
      <c r="S900" s="15"/>
      <c r="T900" s="15"/>
      <c r="U900" s="15"/>
      <c r="V900" s="15"/>
      <c r="W900" s="15"/>
      <c r="X900" s="14"/>
      <c r="Y900" s="14"/>
      <c r="Z900" s="15"/>
      <c r="AA900" s="3"/>
      <c r="AB900" s="3"/>
      <c r="AC900" s="3"/>
      <c r="AD900" s="3"/>
      <c r="AE900" s="3"/>
      <c r="AF900" s="3"/>
    </row>
    <row r="901" ht="15.75" customHeight="1">
      <c r="J901" s="15"/>
      <c r="K901" s="188"/>
      <c r="L901" s="15"/>
      <c r="M901" s="15"/>
      <c r="N901" s="15"/>
      <c r="O901" s="15"/>
      <c r="P901" s="15"/>
      <c r="Q901" s="15"/>
      <c r="R901" s="15"/>
      <c r="S901" s="15"/>
      <c r="T901" s="15"/>
      <c r="U901" s="15"/>
      <c r="V901" s="15"/>
      <c r="W901" s="15"/>
      <c r="X901" s="14"/>
      <c r="Y901" s="14"/>
      <c r="Z901" s="15"/>
      <c r="AA901" s="3"/>
      <c r="AB901" s="3"/>
      <c r="AC901" s="3"/>
      <c r="AD901" s="3"/>
      <c r="AE901" s="3"/>
      <c r="AF901" s="3"/>
    </row>
    <row r="902" ht="15.75" customHeight="1">
      <c r="J902" s="15"/>
      <c r="K902" s="188"/>
      <c r="L902" s="15"/>
      <c r="M902" s="15"/>
      <c r="N902" s="15"/>
      <c r="O902" s="15"/>
      <c r="P902" s="15"/>
      <c r="Q902" s="15"/>
      <c r="R902" s="15"/>
      <c r="S902" s="15"/>
      <c r="T902" s="15"/>
      <c r="U902" s="15"/>
      <c r="V902" s="15"/>
      <c r="W902" s="15"/>
      <c r="X902" s="14"/>
      <c r="Y902" s="14"/>
      <c r="Z902" s="15"/>
      <c r="AA902" s="3"/>
      <c r="AB902" s="3"/>
      <c r="AC902" s="3"/>
      <c r="AD902" s="3"/>
      <c r="AE902" s="3"/>
      <c r="AF902" s="3"/>
    </row>
    <row r="903" ht="15.75" customHeight="1">
      <c r="J903" s="15"/>
      <c r="K903" s="188"/>
      <c r="L903" s="15"/>
      <c r="M903" s="15"/>
      <c r="N903" s="15"/>
      <c r="O903" s="15"/>
      <c r="P903" s="15"/>
      <c r="Q903" s="15"/>
      <c r="R903" s="15"/>
      <c r="S903" s="15"/>
      <c r="T903" s="15"/>
      <c r="U903" s="15"/>
      <c r="V903" s="15"/>
      <c r="W903" s="15"/>
      <c r="X903" s="14"/>
      <c r="Y903" s="14"/>
      <c r="Z903" s="15"/>
      <c r="AA903" s="3"/>
      <c r="AB903" s="3"/>
      <c r="AC903" s="3"/>
      <c r="AD903" s="3"/>
      <c r="AE903" s="3"/>
      <c r="AF903" s="3"/>
    </row>
    <row r="904" ht="15.75" customHeight="1">
      <c r="J904" s="15"/>
      <c r="K904" s="188"/>
      <c r="L904" s="15"/>
      <c r="M904" s="15"/>
      <c r="N904" s="15"/>
      <c r="O904" s="15"/>
      <c r="P904" s="15"/>
      <c r="Q904" s="15"/>
      <c r="R904" s="15"/>
      <c r="S904" s="15"/>
      <c r="T904" s="15"/>
      <c r="U904" s="15"/>
      <c r="V904" s="15"/>
      <c r="W904" s="15"/>
      <c r="X904" s="14"/>
      <c r="Y904" s="14"/>
      <c r="Z904" s="15"/>
      <c r="AA904" s="3"/>
      <c r="AB904" s="3"/>
      <c r="AC904" s="3"/>
      <c r="AD904" s="3"/>
      <c r="AE904" s="3"/>
      <c r="AF904" s="3"/>
    </row>
    <row r="905" ht="15.75" customHeight="1">
      <c r="J905" s="15"/>
      <c r="K905" s="188"/>
      <c r="L905" s="15"/>
      <c r="M905" s="15"/>
      <c r="N905" s="15"/>
      <c r="O905" s="15"/>
      <c r="P905" s="15"/>
      <c r="Q905" s="15"/>
      <c r="R905" s="15"/>
      <c r="S905" s="15"/>
      <c r="T905" s="15"/>
      <c r="U905" s="15"/>
      <c r="V905" s="15"/>
      <c r="W905" s="15"/>
      <c r="X905" s="14"/>
      <c r="Y905" s="14"/>
      <c r="Z905" s="15"/>
      <c r="AA905" s="3"/>
      <c r="AB905" s="3"/>
      <c r="AC905" s="3"/>
      <c r="AD905" s="3"/>
      <c r="AE905" s="3"/>
      <c r="AF905" s="3"/>
    </row>
    <row r="906" ht="15.75" customHeight="1">
      <c r="J906" s="15"/>
      <c r="K906" s="188"/>
      <c r="L906" s="15"/>
      <c r="M906" s="15"/>
      <c r="N906" s="15"/>
      <c r="O906" s="15"/>
      <c r="P906" s="15"/>
      <c r="Q906" s="15"/>
      <c r="R906" s="15"/>
      <c r="S906" s="15"/>
      <c r="T906" s="15"/>
      <c r="U906" s="15"/>
      <c r="V906" s="15"/>
      <c r="W906" s="15"/>
      <c r="X906" s="14"/>
      <c r="Y906" s="14"/>
      <c r="Z906" s="15"/>
      <c r="AA906" s="3"/>
      <c r="AB906" s="3"/>
      <c r="AC906" s="3"/>
      <c r="AD906" s="3"/>
      <c r="AE906" s="3"/>
      <c r="AF906" s="3"/>
    </row>
    <row r="907" ht="15.75" customHeight="1">
      <c r="J907" s="15"/>
      <c r="K907" s="188"/>
      <c r="L907" s="15"/>
      <c r="M907" s="15"/>
      <c r="N907" s="15"/>
      <c r="O907" s="15"/>
      <c r="P907" s="15"/>
      <c r="Q907" s="15"/>
      <c r="R907" s="15"/>
      <c r="S907" s="15"/>
      <c r="T907" s="15"/>
      <c r="U907" s="15"/>
      <c r="V907" s="15"/>
      <c r="W907" s="15"/>
      <c r="X907" s="14"/>
      <c r="Y907" s="14"/>
      <c r="Z907" s="15"/>
      <c r="AA907" s="3"/>
      <c r="AB907" s="3"/>
      <c r="AC907" s="3"/>
      <c r="AD907" s="3"/>
      <c r="AE907" s="3"/>
      <c r="AF907" s="3"/>
    </row>
    <row r="908" ht="15.75" customHeight="1">
      <c r="J908" s="15"/>
      <c r="K908" s="188"/>
      <c r="L908" s="15"/>
      <c r="M908" s="15"/>
      <c r="N908" s="15"/>
      <c r="O908" s="15"/>
      <c r="P908" s="15"/>
      <c r="Q908" s="15"/>
      <c r="R908" s="15"/>
      <c r="S908" s="15"/>
      <c r="T908" s="15"/>
      <c r="U908" s="15"/>
      <c r="V908" s="15"/>
      <c r="W908" s="15"/>
      <c r="X908" s="14"/>
      <c r="Y908" s="14"/>
      <c r="Z908" s="15"/>
      <c r="AA908" s="3"/>
      <c r="AB908" s="3"/>
      <c r="AC908" s="3"/>
      <c r="AD908" s="3"/>
      <c r="AE908" s="3"/>
      <c r="AF908" s="3"/>
    </row>
    <row r="909" ht="15.75" customHeight="1">
      <c r="J909" s="15"/>
      <c r="K909" s="188"/>
      <c r="L909" s="15"/>
      <c r="M909" s="15"/>
      <c r="N909" s="15"/>
      <c r="O909" s="15"/>
      <c r="P909" s="15"/>
      <c r="Q909" s="15"/>
      <c r="R909" s="15"/>
      <c r="S909" s="15"/>
      <c r="T909" s="15"/>
      <c r="U909" s="15"/>
      <c r="V909" s="15"/>
      <c r="W909" s="15"/>
      <c r="X909" s="14"/>
      <c r="Y909" s="14"/>
      <c r="Z909" s="15"/>
      <c r="AA909" s="3"/>
      <c r="AB909" s="3"/>
      <c r="AC909" s="3"/>
      <c r="AD909" s="3"/>
      <c r="AE909" s="3"/>
      <c r="AF909" s="3"/>
    </row>
    <row r="910" ht="15.75" customHeight="1">
      <c r="J910" s="15"/>
      <c r="K910" s="188"/>
      <c r="L910" s="15"/>
      <c r="M910" s="15"/>
      <c r="N910" s="15"/>
      <c r="O910" s="15"/>
      <c r="P910" s="15"/>
      <c r="Q910" s="15"/>
      <c r="R910" s="15"/>
      <c r="S910" s="15"/>
      <c r="T910" s="15"/>
      <c r="U910" s="15"/>
      <c r="V910" s="15"/>
      <c r="W910" s="15"/>
      <c r="X910" s="14"/>
      <c r="Y910" s="14"/>
      <c r="Z910" s="15"/>
      <c r="AA910" s="3"/>
      <c r="AB910" s="3"/>
      <c r="AC910" s="3"/>
      <c r="AD910" s="3"/>
      <c r="AE910" s="3"/>
      <c r="AF910" s="3"/>
    </row>
    <row r="911" ht="15.75" customHeight="1">
      <c r="J911" s="15"/>
      <c r="K911" s="188"/>
      <c r="L911" s="15"/>
      <c r="M911" s="15"/>
      <c r="N911" s="15"/>
      <c r="O911" s="15"/>
      <c r="P911" s="15"/>
      <c r="Q911" s="15"/>
      <c r="R911" s="15"/>
      <c r="S911" s="15"/>
      <c r="T911" s="15"/>
      <c r="U911" s="15"/>
      <c r="V911" s="15"/>
      <c r="W911" s="15"/>
      <c r="X911" s="14"/>
      <c r="Y911" s="14"/>
      <c r="Z911" s="15"/>
      <c r="AA911" s="3"/>
      <c r="AB911" s="3"/>
      <c r="AC911" s="3"/>
      <c r="AD911" s="3"/>
      <c r="AE911" s="3"/>
      <c r="AF911" s="3"/>
    </row>
    <row r="912" ht="15.75" customHeight="1">
      <c r="J912" s="15"/>
      <c r="K912" s="188"/>
      <c r="L912" s="15"/>
      <c r="M912" s="15"/>
      <c r="N912" s="15"/>
      <c r="O912" s="15"/>
      <c r="P912" s="15"/>
      <c r="Q912" s="15"/>
      <c r="R912" s="15"/>
      <c r="S912" s="15"/>
      <c r="T912" s="15"/>
      <c r="U912" s="15"/>
      <c r="V912" s="15"/>
      <c r="W912" s="15"/>
      <c r="X912" s="14"/>
      <c r="Y912" s="14"/>
      <c r="Z912" s="15"/>
      <c r="AA912" s="3"/>
      <c r="AB912" s="3"/>
      <c r="AC912" s="3"/>
      <c r="AD912" s="3"/>
      <c r="AE912" s="3"/>
      <c r="AF912" s="3"/>
    </row>
    <row r="913" ht="15.75" customHeight="1">
      <c r="J913" s="15"/>
      <c r="K913" s="188"/>
      <c r="L913" s="15"/>
      <c r="M913" s="15"/>
      <c r="N913" s="15"/>
      <c r="O913" s="15"/>
      <c r="P913" s="15"/>
      <c r="Q913" s="15"/>
      <c r="R913" s="15"/>
      <c r="S913" s="15"/>
      <c r="T913" s="15"/>
      <c r="U913" s="15"/>
      <c r="V913" s="15"/>
      <c r="W913" s="15"/>
      <c r="X913" s="14"/>
      <c r="Y913" s="14"/>
      <c r="Z913" s="15"/>
      <c r="AA913" s="3"/>
      <c r="AB913" s="3"/>
      <c r="AC913" s="3"/>
      <c r="AD913" s="3"/>
      <c r="AE913" s="3"/>
      <c r="AF913" s="3"/>
    </row>
    <row r="914" ht="15.75" customHeight="1">
      <c r="J914" s="15"/>
      <c r="K914" s="188"/>
      <c r="L914" s="15"/>
      <c r="M914" s="15"/>
      <c r="N914" s="15"/>
      <c r="O914" s="15"/>
      <c r="P914" s="15"/>
      <c r="Q914" s="15"/>
      <c r="R914" s="15"/>
      <c r="S914" s="15"/>
      <c r="T914" s="15"/>
      <c r="U914" s="15"/>
      <c r="V914" s="15"/>
      <c r="W914" s="15"/>
      <c r="X914" s="14"/>
      <c r="Y914" s="14"/>
      <c r="Z914" s="15"/>
      <c r="AA914" s="3"/>
      <c r="AB914" s="3"/>
      <c r="AC914" s="3"/>
      <c r="AD914" s="3"/>
      <c r="AE914" s="3"/>
      <c r="AF914" s="3"/>
    </row>
    <row r="915" ht="15.75" customHeight="1">
      <c r="J915" s="15"/>
      <c r="K915" s="188"/>
      <c r="L915" s="15"/>
      <c r="M915" s="15"/>
      <c r="N915" s="15"/>
      <c r="O915" s="15"/>
      <c r="P915" s="15"/>
      <c r="Q915" s="15"/>
      <c r="R915" s="15"/>
      <c r="S915" s="15"/>
      <c r="T915" s="15"/>
      <c r="U915" s="15"/>
      <c r="V915" s="15"/>
      <c r="W915" s="15"/>
      <c r="X915" s="14"/>
      <c r="Y915" s="14"/>
      <c r="Z915" s="15"/>
      <c r="AA915" s="3"/>
      <c r="AB915" s="3"/>
      <c r="AC915" s="3"/>
      <c r="AD915" s="3"/>
      <c r="AE915" s="3"/>
      <c r="AF915" s="3"/>
    </row>
    <row r="916" ht="15.75" customHeight="1">
      <c r="J916" s="15"/>
      <c r="K916" s="188"/>
      <c r="L916" s="15"/>
      <c r="M916" s="15"/>
      <c r="N916" s="15"/>
      <c r="O916" s="15"/>
      <c r="P916" s="15"/>
      <c r="Q916" s="15"/>
      <c r="R916" s="15"/>
      <c r="S916" s="15"/>
      <c r="T916" s="15"/>
      <c r="U916" s="15"/>
      <c r="V916" s="15"/>
      <c r="W916" s="15"/>
      <c r="X916" s="14"/>
      <c r="Y916" s="14"/>
      <c r="Z916" s="15"/>
      <c r="AA916" s="3"/>
      <c r="AB916" s="3"/>
      <c r="AC916" s="3"/>
      <c r="AD916" s="3"/>
      <c r="AE916" s="3"/>
      <c r="AF916" s="3"/>
    </row>
    <row r="917" ht="15.75" customHeight="1">
      <c r="J917" s="15"/>
      <c r="K917" s="188"/>
      <c r="L917" s="15"/>
      <c r="M917" s="15"/>
      <c r="N917" s="15"/>
      <c r="O917" s="15"/>
      <c r="P917" s="15"/>
      <c r="Q917" s="15"/>
      <c r="R917" s="15"/>
      <c r="S917" s="15"/>
      <c r="T917" s="15"/>
      <c r="U917" s="15"/>
      <c r="V917" s="15"/>
      <c r="W917" s="15"/>
      <c r="X917" s="14"/>
      <c r="Y917" s="14"/>
      <c r="Z917" s="15"/>
      <c r="AA917" s="3"/>
      <c r="AB917" s="3"/>
      <c r="AC917" s="3"/>
      <c r="AD917" s="3"/>
      <c r="AE917" s="3"/>
      <c r="AF917" s="3"/>
    </row>
    <row r="918" ht="15.75" customHeight="1">
      <c r="J918" s="15"/>
      <c r="K918" s="188"/>
      <c r="L918" s="15"/>
      <c r="M918" s="15"/>
      <c r="N918" s="15"/>
      <c r="O918" s="15"/>
      <c r="P918" s="15"/>
      <c r="Q918" s="15"/>
      <c r="R918" s="15"/>
      <c r="S918" s="15"/>
      <c r="T918" s="15"/>
      <c r="U918" s="15"/>
      <c r="V918" s="15"/>
      <c r="W918" s="15"/>
      <c r="X918" s="14"/>
      <c r="Y918" s="14"/>
      <c r="Z918" s="15"/>
      <c r="AA918" s="3"/>
      <c r="AB918" s="3"/>
      <c r="AC918" s="3"/>
      <c r="AD918" s="3"/>
      <c r="AE918" s="3"/>
      <c r="AF918" s="3"/>
    </row>
    <row r="919" ht="15.75" customHeight="1">
      <c r="J919" s="15"/>
      <c r="K919" s="188"/>
      <c r="L919" s="15"/>
      <c r="M919" s="15"/>
      <c r="N919" s="15"/>
      <c r="O919" s="15"/>
      <c r="P919" s="15"/>
      <c r="Q919" s="15"/>
      <c r="R919" s="15"/>
      <c r="S919" s="15"/>
      <c r="T919" s="15"/>
      <c r="U919" s="15"/>
      <c r="V919" s="15"/>
      <c r="W919" s="15"/>
      <c r="X919" s="14"/>
      <c r="Y919" s="14"/>
      <c r="Z919" s="15"/>
      <c r="AA919" s="3"/>
      <c r="AB919" s="3"/>
      <c r="AC919" s="3"/>
      <c r="AD919" s="3"/>
      <c r="AE919" s="3"/>
      <c r="AF919" s="3"/>
    </row>
    <row r="920" ht="15.75" customHeight="1">
      <c r="J920" s="15"/>
      <c r="K920" s="188"/>
      <c r="L920" s="15"/>
      <c r="M920" s="15"/>
      <c r="N920" s="15"/>
      <c r="O920" s="15"/>
      <c r="P920" s="15"/>
      <c r="Q920" s="15"/>
      <c r="R920" s="15"/>
      <c r="S920" s="15"/>
      <c r="T920" s="15"/>
      <c r="U920" s="15"/>
      <c r="V920" s="15"/>
      <c r="W920" s="15"/>
      <c r="X920" s="14"/>
      <c r="Y920" s="14"/>
      <c r="Z920" s="15"/>
      <c r="AA920" s="3"/>
      <c r="AB920" s="3"/>
      <c r="AC920" s="3"/>
      <c r="AD920" s="3"/>
      <c r="AE920" s="3"/>
      <c r="AF920" s="3"/>
    </row>
    <row r="921" ht="15.75" customHeight="1">
      <c r="J921" s="15"/>
      <c r="K921" s="188"/>
      <c r="L921" s="15"/>
      <c r="M921" s="15"/>
      <c r="N921" s="15"/>
      <c r="O921" s="15"/>
      <c r="P921" s="15"/>
      <c r="Q921" s="15"/>
      <c r="R921" s="15"/>
      <c r="S921" s="15"/>
      <c r="T921" s="15"/>
      <c r="U921" s="15"/>
      <c r="V921" s="15"/>
      <c r="W921" s="15"/>
      <c r="X921" s="14"/>
      <c r="Y921" s="14"/>
      <c r="Z921" s="15"/>
      <c r="AA921" s="3"/>
      <c r="AB921" s="3"/>
      <c r="AC921" s="3"/>
      <c r="AD921" s="3"/>
      <c r="AE921" s="3"/>
      <c r="AF921" s="3"/>
    </row>
    <row r="922" ht="15.75" customHeight="1">
      <c r="J922" s="15"/>
      <c r="K922" s="188"/>
      <c r="L922" s="15"/>
      <c r="M922" s="15"/>
      <c r="N922" s="15"/>
      <c r="O922" s="15"/>
      <c r="P922" s="15"/>
      <c r="Q922" s="15"/>
      <c r="R922" s="15"/>
      <c r="S922" s="15"/>
      <c r="T922" s="15"/>
      <c r="U922" s="15"/>
      <c r="V922" s="15"/>
      <c r="W922" s="15"/>
      <c r="X922" s="14"/>
      <c r="Y922" s="14"/>
      <c r="Z922" s="15"/>
      <c r="AA922" s="3"/>
      <c r="AB922" s="3"/>
      <c r="AC922" s="3"/>
      <c r="AD922" s="3"/>
      <c r="AE922" s="3"/>
      <c r="AF922" s="3"/>
    </row>
    <row r="923" ht="15.75" customHeight="1">
      <c r="J923" s="15"/>
      <c r="K923" s="188"/>
      <c r="L923" s="15"/>
      <c r="M923" s="15"/>
      <c r="N923" s="15"/>
      <c r="O923" s="15"/>
      <c r="P923" s="15"/>
      <c r="Q923" s="15"/>
      <c r="R923" s="15"/>
      <c r="S923" s="15"/>
      <c r="T923" s="15"/>
      <c r="U923" s="15"/>
      <c r="V923" s="15"/>
      <c r="W923" s="15"/>
      <c r="X923" s="14"/>
      <c r="Y923" s="14"/>
      <c r="Z923" s="15"/>
      <c r="AA923" s="3"/>
      <c r="AB923" s="3"/>
      <c r="AC923" s="3"/>
      <c r="AD923" s="3"/>
      <c r="AE923" s="3"/>
      <c r="AF923" s="3"/>
    </row>
    <row r="924" ht="15.75" customHeight="1">
      <c r="J924" s="15"/>
      <c r="K924" s="188"/>
      <c r="L924" s="15"/>
      <c r="M924" s="15"/>
      <c r="N924" s="15"/>
      <c r="O924" s="15"/>
      <c r="P924" s="15"/>
      <c r="Q924" s="15"/>
      <c r="R924" s="15"/>
      <c r="S924" s="15"/>
      <c r="T924" s="15"/>
      <c r="U924" s="15"/>
      <c r="V924" s="15"/>
      <c r="W924" s="15"/>
      <c r="X924" s="14"/>
      <c r="Y924" s="14"/>
      <c r="Z924" s="15"/>
      <c r="AA924" s="3"/>
      <c r="AB924" s="3"/>
      <c r="AC924" s="3"/>
      <c r="AD924" s="3"/>
      <c r="AE924" s="3"/>
      <c r="AF924" s="3"/>
    </row>
    <row r="925" ht="15.75" customHeight="1">
      <c r="J925" s="15"/>
      <c r="K925" s="188"/>
      <c r="L925" s="15"/>
      <c r="M925" s="15"/>
      <c r="N925" s="15"/>
      <c r="O925" s="15"/>
      <c r="P925" s="15"/>
      <c r="Q925" s="15"/>
      <c r="R925" s="15"/>
      <c r="S925" s="15"/>
      <c r="T925" s="15"/>
      <c r="U925" s="15"/>
      <c r="V925" s="15"/>
      <c r="W925" s="15"/>
      <c r="X925" s="14"/>
      <c r="Y925" s="14"/>
      <c r="Z925" s="15"/>
      <c r="AA925" s="3"/>
      <c r="AB925" s="3"/>
      <c r="AC925" s="3"/>
      <c r="AD925" s="3"/>
      <c r="AE925" s="3"/>
      <c r="AF925" s="3"/>
    </row>
    <row r="926" ht="15.75" customHeight="1">
      <c r="J926" s="15"/>
      <c r="K926" s="188"/>
      <c r="L926" s="15"/>
      <c r="M926" s="15"/>
      <c r="N926" s="15"/>
      <c r="O926" s="15"/>
      <c r="P926" s="15"/>
      <c r="Q926" s="15"/>
      <c r="R926" s="15"/>
      <c r="S926" s="15"/>
      <c r="T926" s="15"/>
      <c r="U926" s="15"/>
      <c r="V926" s="15"/>
      <c r="W926" s="15"/>
      <c r="X926" s="14"/>
      <c r="Y926" s="14"/>
      <c r="Z926" s="15"/>
      <c r="AA926" s="3"/>
      <c r="AB926" s="3"/>
      <c r="AC926" s="3"/>
      <c r="AD926" s="3"/>
      <c r="AE926" s="3"/>
      <c r="AF926" s="3"/>
    </row>
    <row r="927" ht="15.75" customHeight="1">
      <c r="J927" s="15"/>
      <c r="K927" s="188"/>
      <c r="L927" s="15"/>
      <c r="M927" s="15"/>
      <c r="N927" s="15"/>
      <c r="O927" s="15"/>
      <c r="P927" s="15"/>
      <c r="Q927" s="15"/>
      <c r="R927" s="15"/>
      <c r="S927" s="15"/>
      <c r="T927" s="15"/>
      <c r="U927" s="15"/>
      <c r="V927" s="15"/>
      <c r="W927" s="15"/>
      <c r="X927" s="14"/>
      <c r="Y927" s="14"/>
      <c r="Z927" s="15"/>
      <c r="AA927" s="3"/>
      <c r="AB927" s="3"/>
      <c r="AC927" s="3"/>
      <c r="AD927" s="3"/>
      <c r="AE927" s="3"/>
      <c r="AF927" s="3"/>
    </row>
    <row r="928" ht="15.75" customHeight="1">
      <c r="J928" s="15"/>
      <c r="K928" s="188"/>
      <c r="L928" s="15"/>
      <c r="M928" s="15"/>
      <c r="N928" s="15"/>
      <c r="O928" s="15"/>
      <c r="P928" s="15"/>
      <c r="Q928" s="15"/>
      <c r="R928" s="15"/>
      <c r="S928" s="15"/>
      <c r="T928" s="15"/>
      <c r="U928" s="15"/>
      <c r="V928" s="15"/>
      <c r="W928" s="15"/>
      <c r="X928" s="14"/>
      <c r="Y928" s="14"/>
      <c r="Z928" s="15"/>
      <c r="AA928" s="3"/>
      <c r="AB928" s="3"/>
      <c r="AC928" s="3"/>
      <c r="AD928" s="3"/>
      <c r="AE928" s="3"/>
      <c r="AF928" s="3"/>
    </row>
    <row r="929" ht="15.75" customHeight="1">
      <c r="J929" s="15"/>
      <c r="K929" s="188"/>
      <c r="L929" s="15"/>
      <c r="M929" s="15"/>
      <c r="N929" s="15"/>
      <c r="O929" s="15"/>
      <c r="P929" s="15"/>
      <c r="Q929" s="15"/>
      <c r="R929" s="15"/>
      <c r="S929" s="15"/>
      <c r="T929" s="15"/>
      <c r="U929" s="15"/>
      <c r="V929" s="15"/>
      <c r="W929" s="15"/>
      <c r="X929" s="14"/>
      <c r="Y929" s="14"/>
      <c r="Z929" s="15"/>
      <c r="AA929" s="3"/>
      <c r="AB929" s="3"/>
      <c r="AC929" s="3"/>
      <c r="AD929" s="3"/>
      <c r="AE929" s="3"/>
      <c r="AF929" s="3"/>
    </row>
    <row r="930" ht="15.75" customHeight="1">
      <c r="J930" s="15"/>
      <c r="K930" s="188"/>
      <c r="L930" s="15"/>
      <c r="M930" s="15"/>
      <c r="N930" s="15"/>
      <c r="O930" s="15"/>
      <c r="P930" s="15"/>
      <c r="Q930" s="15"/>
      <c r="R930" s="15"/>
      <c r="S930" s="15"/>
      <c r="T930" s="15"/>
      <c r="U930" s="15"/>
      <c r="V930" s="15"/>
      <c r="W930" s="15"/>
      <c r="X930" s="14"/>
      <c r="Y930" s="14"/>
      <c r="Z930" s="15"/>
      <c r="AA930" s="3"/>
      <c r="AB930" s="3"/>
      <c r="AC930" s="3"/>
      <c r="AD930" s="3"/>
      <c r="AE930" s="3"/>
      <c r="AF930" s="3"/>
    </row>
    <row r="931" ht="15.75" customHeight="1">
      <c r="J931" s="15"/>
      <c r="K931" s="188"/>
      <c r="L931" s="15"/>
      <c r="M931" s="15"/>
      <c r="N931" s="15"/>
      <c r="O931" s="15"/>
      <c r="P931" s="15"/>
      <c r="Q931" s="15"/>
      <c r="R931" s="15"/>
      <c r="S931" s="15"/>
      <c r="T931" s="15"/>
      <c r="U931" s="15"/>
      <c r="V931" s="15"/>
      <c r="W931" s="15"/>
      <c r="X931" s="14"/>
      <c r="Y931" s="14"/>
      <c r="Z931" s="15"/>
      <c r="AA931" s="3"/>
      <c r="AB931" s="3"/>
      <c r="AC931" s="3"/>
      <c r="AD931" s="3"/>
      <c r="AE931" s="3"/>
      <c r="AF931" s="3"/>
    </row>
    <row r="932" ht="15.75" customHeight="1">
      <c r="J932" s="15"/>
      <c r="K932" s="188"/>
      <c r="L932" s="15"/>
      <c r="M932" s="15"/>
      <c r="N932" s="15"/>
      <c r="O932" s="15"/>
      <c r="P932" s="15"/>
      <c r="Q932" s="15"/>
      <c r="R932" s="15"/>
      <c r="S932" s="15"/>
      <c r="T932" s="15"/>
      <c r="U932" s="15"/>
      <c r="V932" s="15"/>
      <c r="W932" s="15"/>
      <c r="X932" s="14"/>
      <c r="Y932" s="14"/>
      <c r="Z932" s="15"/>
      <c r="AA932" s="3"/>
      <c r="AB932" s="3"/>
      <c r="AC932" s="3"/>
      <c r="AD932" s="3"/>
      <c r="AE932" s="3"/>
      <c r="AF932" s="3"/>
    </row>
    <row r="933" ht="15.75" customHeight="1">
      <c r="J933" s="15"/>
      <c r="K933" s="188"/>
      <c r="L933" s="15"/>
      <c r="M933" s="15"/>
      <c r="N933" s="15"/>
      <c r="O933" s="15"/>
      <c r="P933" s="15"/>
      <c r="Q933" s="15"/>
      <c r="R933" s="15"/>
      <c r="S933" s="15"/>
      <c r="T933" s="15"/>
      <c r="U933" s="15"/>
      <c r="V933" s="15"/>
      <c r="W933" s="15"/>
      <c r="X933" s="14"/>
      <c r="Y933" s="14"/>
      <c r="Z933" s="15"/>
      <c r="AA933" s="3"/>
      <c r="AB933" s="3"/>
      <c r="AC933" s="3"/>
      <c r="AD933" s="3"/>
      <c r="AE933" s="3"/>
      <c r="AF933" s="3"/>
    </row>
    <row r="934" ht="15.75" customHeight="1">
      <c r="J934" s="15"/>
      <c r="K934" s="188"/>
      <c r="L934" s="15"/>
      <c r="M934" s="15"/>
      <c r="N934" s="15"/>
      <c r="O934" s="15"/>
      <c r="P934" s="15"/>
      <c r="Q934" s="15"/>
      <c r="R934" s="15"/>
      <c r="S934" s="15"/>
      <c r="T934" s="15"/>
      <c r="U934" s="15"/>
      <c r="V934" s="15"/>
      <c r="W934" s="15"/>
      <c r="X934" s="14"/>
      <c r="Y934" s="14"/>
      <c r="Z934" s="15"/>
      <c r="AA934" s="3"/>
      <c r="AB934" s="3"/>
      <c r="AC934" s="3"/>
      <c r="AD934" s="3"/>
      <c r="AE934" s="3"/>
      <c r="AF934" s="3"/>
    </row>
    <row r="935" ht="15.75" customHeight="1">
      <c r="J935" s="15"/>
      <c r="K935" s="188"/>
      <c r="L935" s="15"/>
      <c r="M935" s="15"/>
      <c r="N935" s="15"/>
      <c r="O935" s="15"/>
      <c r="P935" s="15"/>
      <c r="Q935" s="15"/>
      <c r="R935" s="15"/>
      <c r="S935" s="15"/>
      <c r="T935" s="15"/>
      <c r="U935" s="15"/>
      <c r="V935" s="15"/>
      <c r="W935" s="15"/>
      <c r="X935" s="14"/>
      <c r="Y935" s="14"/>
      <c r="Z935" s="15"/>
      <c r="AA935" s="3"/>
      <c r="AB935" s="3"/>
      <c r="AC935" s="3"/>
      <c r="AD935" s="3"/>
      <c r="AE935" s="3"/>
      <c r="AF935" s="3"/>
    </row>
    <row r="936" ht="15.75" customHeight="1">
      <c r="J936" s="15"/>
      <c r="K936" s="188"/>
      <c r="L936" s="15"/>
      <c r="M936" s="15"/>
      <c r="N936" s="15"/>
      <c r="O936" s="15"/>
      <c r="P936" s="15"/>
      <c r="Q936" s="15"/>
      <c r="R936" s="15"/>
      <c r="S936" s="15"/>
      <c r="T936" s="15"/>
      <c r="U936" s="15"/>
      <c r="V936" s="15"/>
      <c r="W936" s="15"/>
      <c r="X936" s="14"/>
      <c r="Y936" s="14"/>
      <c r="Z936" s="15"/>
      <c r="AA936" s="3"/>
      <c r="AB936" s="3"/>
      <c r="AC936" s="3"/>
      <c r="AD936" s="3"/>
      <c r="AE936" s="3"/>
      <c r="AF936" s="3"/>
    </row>
    <row r="937" ht="15.75" customHeight="1">
      <c r="J937" s="15"/>
      <c r="K937" s="188"/>
      <c r="L937" s="15"/>
      <c r="M937" s="15"/>
      <c r="N937" s="15"/>
      <c r="O937" s="15"/>
      <c r="P937" s="15"/>
      <c r="Q937" s="15"/>
      <c r="R937" s="15"/>
      <c r="S937" s="15"/>
      <c r="T937" s="15"/>
      <c r="U937" s="15"/>
      <c r="V937" s="15"/>
      <c r="W937" s="15"/>
      <c r="X937" s="14"/>
      <c r="Y937" s="14"/>
      <c r="Z937" s="15"/>
      <c r="AA937" s="3"/>
      <c r="AB937" s="3"/>
      <c r="AC937" s="3"/>
      <c r="AD937" s="3"/>
      <c r="AE937" s="3"/>
      <c r="AF937" s="3"/>
    </row>
    <row r="938" ht="15.75" customHeight="1">
      <c r="J938" s="15"/>
      <c r="K938" s="188"/>
      <c r="L938" s="15"/>
      <c r="M938" s="15"/>
      <c r="N938" s="15"/>
      <c r="O938" s="15"/>
      <c r="P938" s="15"/>
      <c r="Q938" s="15"/>
      <c r="R938" s="15"/>
      <c r="S938" s="15"/>
      <c r="T938" s="15"/>
      <c r="U938" s="15"/>
      <c r="V938" s="15"/>
      <c r="W938" s="15"/>
      <c r="X938" s="14"/>
      <c r="Y938" s="14"/>
      <c r="Z938" s="15"/>
      <c r="AA938" s="3"/>
      <c r="AB938" s="3"/>
      <c r="AC938" s="3"/>
      <c r="AD938" s="3"/>
      <c r="AE938" s="3"/>
      <c r="AF938" s="3"/>
    </row>
    <row r="939" ht="15.75" customHeight="1">
      <c r="J939" s="15"/>
      <c r="K939" s="188"/>
      <c r="L939" s="15"/>
      <c r="M939" s="15"/>
      <c r="N939" s="15"/>
      <c r="O939" s="15"/>
      <c r="P939" s="15"/>
      <c r="Q939" s="15"/>
      <c r="R939" s="15"/>
      <c r="S939" s="15"/>
      <c r="T939" s="15"/>
      <c r="U939" s="15"/>
      <c r="V939" s="15"/>
      <c r="W939" s="15"/>
      <c r="X939" s="14"/>
      <c r="Y939" s="14"/>
      <c r="Z939" s="15"/>
      <c r="AA939" s="3"/>
      <c r="AB939" s="3"/>
      <c r="AC939" s="3"/>
      <c r="AD939" s="3"/>
      <c r="AE939" s="3"/>
      <c r="AF939" s="3"/>
    </row>
    <row r="940" ht="15.75" customHeight="1">
      <c r="J940" s="15"/>
      <c r="K940" s="188"/>
      <c r="L940" s="15"/>
      <c r="M940" s="15"/>
      <c r="N940" s="15"/>
      <c r="O940" s="15"/>
      <c r="P940" s="15"/>
      <c r="Q940" s="15"/>
      <c r="R940" s="15"/>
      <c r="S940" s="15"/>
      <c r="T940" s="15"/>
      <c r="U940" s="15"/>
      <c r="V940" s="15"/>
      <c r="W940" s="15"/>
      <c r="X940" s="14"/>
      <c r="Y940" s="14"/>
      <c r="Z940" s="15"/>
      <c r="AA940" s="3"/>
      <c r="AB940" s="3"/>
      <c r="AC940" s="3"/>
      <c r="AD940" s="3"/>
      <c r="AE940" s="3"/>
      <c r="AF940" s="3"/>
    </row>
    <row r="941" ht="15.75" customHeight="1">
      <c r="J941" s="15"/>
      <c r="K941" s="188"/>
      <c r="L941" s="15"/>
      <c r="M941" s="15"/>
      <c r="N941" s="15"/>
      <c r="O941" s="15"/>
      <c r="P941" s="15"/>
      <c r="Q941" s="15"/>
      <c r="R941" s="15"/>
      <c r="S941" s="15"/>
      <c r="T941" s="15"/>
      <c r="U941" s="15"/>
      <c r="V941" s="15"/>
      <c r="W941" s="15"/>
      <c r="X941" s="14"/>
      <c r="Y941" s="14"/>
      <c r="Z941" s="15"/>
      <c r="AA941" s="3"/>
      <c r="AB941" s="3"/>
      <c r="AC941" s="3"/>
      <c r="AD941" s="3"/>
      <c r="AE941" s="3"/>
      <c r="AF941" s="3"/>
    </row>
    <row r="942" ht="15.75" customHeight="1">
      <c r="J942" s="15"/>
      <c r="K942" s="188"/>
      <c r="L942" s="15"/>
      <c r="M942" s="15"/>
      <c r="N942" s="15"/>
      <c r="O942" s="15"/>
      <c r="P942" s="15"/>
      <c r="Q942" s="15"/>
      <c r="R942" s="15"/>
      <c r="S942" s="15"/>
      <c r="T942" s="15"/>
      <c r="U942" s="15"/>
      <c r="V942" s="15"/>
      <c r="W942" s="15"/>
      <c r="X942" s="14"/>
      <c r="Y942" s="14"/>
      <c r="Z942" s="15"/>
      <c r="AA942" s="3"/>
      <c r="AB942" s="3"/>
      <c r="AC942" s="3"/>
      <c r="AD942" s="3"/>
      <c r="AE942" s="3"/>
      <c r="AF942" s="3"/>
    </row>
    <row r="943" ht="15.75" customHeight="1">
      <c r="J943" s="15"/>
      <c r="K943" s="188"/>
      <c r="L943" s="15"/>
      <c r="M943" s="15"/>
      <c r="N943" s="15"/>
      <c r="O943" s="15"/>
      <c r="P943" s="15"/>
      <c r="Q943" s="15"/>
      <c r="R943" s="15"/>
      <c r="S943" s="15"/>
      <c r="T943" s="15"/>
      <c r="U943" s="15"/>
      <c r="V943" s="15"/>
      <c r="W943" s="15"/>
      <c r="X943" s="14"/>
      <c r="Y943" s="14"/>
      <c r="Z943" s="15"/>
      <c r="AA943" s="3"/>
      <c r="AB943" s="3"/>
      <c r="AC943" s="3"/>
      <c r="AD943" s="3"/>
      <c r="AE943" s="3"/>
      <c r="AF943" s="3"/>
    </row>
    <row r="944" ht="15.75" customHeight="1">
      <c r="J944" s="15"/>
      <c r="K944" s="188"/>
      <c r="L944" s="15"/>
      <c r="M944" s="15"/>
      <c r="N944" s="15"/>
      <c r="O944" s="15"/>
      <c r="P944" s="15"/>
      <c r="Q944" s="15"/>
      <c r="R944" s="15"/>
      <c r="S944" s="15"/>
      <c r="T944" s="15"/>
      <c r="U944" s="15"/>
      <c r="V944" s="15"/>
      <c r="W944" s="15"/>
      <c r="X944" s="14"/>
      <c r="Y944" s="14"/>
      <c r="Z944" s="15"/>
      <c r="AA944" s="3"/>
      <c r="AB944" s="3"/>
      <c r="AC944" s="3"/>
      <c r="AD944" s="3"/>
      <c r="AE944" s="3"/>
      <c r="AF944" s="3"/>
    </row>
    <row r="945" ht="15.75" customHeight="1">
      <c r="J945" s="15"/>
      <c r="K945" s="188"/>
      <c r="L945" s="15"/>
      <c r="M945" s="15"/>
      <c r="N945" s="15"/>
      <c r="O945" s="15"/>
      <c r="P945" s="15"/>
      <c r="Q945" s="15"/>
      <c r="R945" s="15"/>
      <c r="S945" s="15"/>
      <c r="T945" s="15"/>
      <c r="U945" s="15"/>
      <c r="V945" s="15"/>
      <c r="W945" s="15"/>
      <c r="X945" s="14"/>
      <c r="Y945" s="14"/>
      <c r="Z945" s="15"/>
      <c r="AA945" s="3"/>
      <c r="AB945" s="3"/>
      <c r="AC945" s="3"/>
      <c r="AD945" s="3"/>
      <c r="AE945" s="3"/>
      <c r="AF945" s="3"/>
    </row>
    <row r="946" ht="15.75" customHeight="1">
      <c r="J946" s="15"/>
      <c r="K946" s="188"/>
      <c r="L946" s="15"/>
      <c r="M946" s="15"/>
      <c r="N946" s="15"/>
      <c r="O946" s="15"/>
      <c r="P946" s="15"/>
      <c r="Q946" s="15"/>
      <c r="R946" s="15"/>
      <c r="S946" s="15"/>
      <c r="T946" s="15"/>
      <c r="U946" s="15"/>
      <c r="V946" s="15"/>
      <c r="W946" s="15"/>
      <c r="X946" s="14"/>
      <c r="Y946" s="14"/>
      <c r="Z946" s="15"/>
      <c r="AA946" s="3"/>
      <c r="AB946" s="3"/>
      <c r="AC946" s="3"/>
      <c r="AD946" s="3"/>
      <c r="AE946" s="3"/>
      <c r="AF946" s="3"/>
    </row>
    <row r="947" ht="15.75" customHeight="1">
      <c r="J947" s="15"/>
      <c r="K947" s="188"/>
      <c r="L947" s="15"/>
      <c r="M947" s="15"/>
      <c r="N947" s="15"/>
      <c r="O947" s="15"/>
      <c r="P947" s="15"/>
      <c r="Q947" s="15"/>
      <c r="R947" s="15"/>
      <c r="S947" s="15"/>
      <c r="T947" s="15"/>
      <c r="U947" s="15"/>
      <c r="V947" s="15"/>
      <c r="W947" s="15"/>
      <c r="X947" s="14"/>
      <c r="Y947" s="14"/>
      <c r="Z947" s="15"/>
      <c r="AA947" s="3"/>
      <c r="AB947" s="3"/>
      <c r="AC947" s="3"/>
      <c r="AD947" s="3"/>
      <c r="AE947" s="3"/>
      <c r="AF947" s="3"/>
    </row>
    <row r="948" ht="15.75" customHeight="1">
      <c r="J948" s="15"/>
      <c r="K948" s="188"/>
      <c r="L948" s="15"/>
      <c r="M948" s="15"/>
      <c r="N948" s="15"/>
      <c r="O948" s="15"/>
      <c r="P948" s="15"/>
      <c r="Q948" s="15"/>
      <c r="R948" s="15"/>
      <c r="S948" s="15"/>
      <c r="T948" s="15"/>
      <c r="U948" s="15"/>
      <c r="V948" s="15"/>
      <c r="W948" s="15"/>
      <c r="X948" s="14"/>
      <c r="Y948" s="14"/>
      <c r="Z948" s="15"/>
      <c r="AA948" s="3"/>
      <c r="AB948" s="3"/>
      <c r="AC948" s="3"/>
      <c r="AD948" s="3"/>
      <c r="AE948" s="3"/>
      <c r="AF948" s="3"/>
    </row>
    <row r="949" ht="15.75" customHeight="1">
      <c r="J949" s="15"/>
      <c r="K949" s="188"/>
      <c r="L949" s="15"/>
      <c r="M949" s="15"/>
      <c r="N949" s="15"/>
      <c r="O949" s="15"/>
      <c r="P949" s="15"/>
      <c r="Q949" s="15"/>
      <c r="R949" s="15"/>
      <c r="S949" s="15"/>
      <c r="T949" s="15"/>
      <c r="U949" s="15"/>
      <c r="V949" s="15"/>
      <c r="W949" s="15"/>
      <c r="X949" s="14"/>
      <c r="Y949" s="14"/>
      <c r="Z949" s="15"/>
      <c r="AA949" s="3"/>
      <c r="AB949" s="3"/>
      <c r="AC949" s="3"/>
      <c r="AD949" s="3"/>
      <c r="AE949" s="3"/>
      <c r="AF949" s="3"/>
    </row>
    <row r="950" ht="15.75" customHeight="1">
      <c r="J950" s="15"/>
      <c r="K950" s="188"/>
      <c r="L950" s="15"/>
      <c r="M950" s="15"/>
      <c r="N950" s="15"/>
      <c r="O950" s="15"/>
      <c r="P950" s="15"/>
      <c r="Q950" s="15"/>
      <c r="R950" s="15"/>
      <c r="S950" s="15"/>
      <c r="T950" s="15"/>
      <c r="U950" s="15"/>
      <c r="V950" s="15"/>
      <c r="W950" s="15"/>
      <c r="X950" s="14"/>
      <c r="Y950" s="14"/>
      <c r="Z950" s="15"/>
      <c r="AA950" s="3"/>
      <c r="AB950" s="3"/>
      <c r="AC950" s="3"/>
      <c r="AD950" s="3"/>
      <c r="AE950" s="3"/>
      <c r="AF950" s="3"/>
    </row>
    <row r="951" ht="15.75" customHeight="1">
      <c r="J951" s="15"/>
      <c r="K951" s="188"/>
      <c r="L951" s="15"/>
      <c r="M951" s="15"/>
      <c r="N951" s="15"/>
      <c r="O951" s="15"/>
      <c r="P951" s="15"/>
      <c r="Q951" s="15"/>
      <c r="R951" s="15"/>
      <c r="S951" s="15"/>
      <c r="T951" s="15"/>
      <c r="U951" s="15"/>
      <c r="V951" s="15"/>
      <c r="W951" s="15"/>
      <c r="X951" s="14"/>
      <c r="Y951" s="14"/>
      <c r="Z951" s="15"/>
      <c r="AA951" s="3"/>
      <c r="AB951" s="3"/>
      <c r="AC951" s="3"/>
      <c r="AD951" s="3"/>
      <c r="AE951" s="3"/>
      <c r="AF951" s="3"/>
    </row>
    <row r="952" ht="15.75" customHeight="1">
      <c r="J952" s="15"/>
      <c r="K952" s="188"/>
      <c r="L952" s="15"/>
      <c r="M952" s="15"/>
      <c r="N952" s="15"/>
      <c r="O952" s="15"/>
      <c r="P952" s="15"/>
      <c r="Q952" s="15"/>
      <c r="R952" s="15"/>
      <c r="S952" s="15"/>
      <c r="T952" s="15"/>
      <c r="U952" s="15"/>
      <c r="V952" s="15"/>
      <c r="W952" s="15"/>
      <c r="X952" s="14"/>
      <c r="Y952" s="14"/>
      <c r="Z952" s="15"/>
      <c r="AA952" s="3"/>
      <c r="AB952" s="3"/>
      <c r="AC952" s="3"/>
      <c r="AD952" s="3"/>
      <c r="AE952" s="3"/>
      <c r="AF952" s="3"/>
    </row>
    <row r="953" ht="15.75" customHeight="1">
      <c r="J953" s="15"/>
      <c r="K953" s="188"/>
      <c r="L953" s="15"/>
      <c r="M953" s="15"/>
      <c r="N953" s="15"/>
      <c r="O953" s="15"/>
      <c r="P953" s="15"/>
      <c r="Q953" s="15"/>
      <c r="R953" s="15"/>
      <c r="S953" s="15"/>
      <c r="T953" s="15"/>
      <c r="U953" s="15"/>
      <c r="V953" s="15"/>
      <c r="W953" s="15"/>
      <c r="X953" s="14"/>
      <c r="Y953" s="14"/>
      <c r="Z953" s="15"/>
      <c r="AA953" s="3"/>
      <c r="AB953" s="3"/>
      <c r="AC953" s="3"/>
      <c r="AD953" s="3"/>
      <c r="AE953" s="3"/>
      <c r="AF953" s="3"/>
    </row>
    <row r="954" ht="15.75" customHeight="1">
      <c r="J954" s="15"/>
      <c r="K954" s="188"/>
      <c r="L954" s="15"/>
      <c r="M954" s="15"/>
      <c r="N954" s="15"/>
      <c r="O954" s="15"/>
      <c r="P954" s="15"/>
      <c r="Q954" s="15"/>
      <c r="R954" s="15"/>
      <c r="S954" s="15"/>
      <c r="T954" s="15"/>
      <c r="U954" s="15"/>
      <c r="V954" s="15"/>
      <c r="W954" s="15"/>
      <c r="X954" s="14"/>
      <c r="Y954" s="14"/>
      <c r="Z954" s="15"/>
      <c r="AA954" s="3"/>
      <c r="AB954" s="3"/>
      <c r="AC954" s="3"/>
      <c r="AD954" s="3"/>
      <c r="AE954" s="3"/>
      <c r="AF954" s="3"/>
    </row>
    <row r="955" ht="15.75" customHeight="1">
      <c r="J955" s="15"/>
      <c r="K955" s="188"/>
      <c r="L955" s="15"/>
      <c r="M955" s="15"/>
      <c r="N955" s="15"/>
      <c r="O955" s="15"/>
      <c r="P955" s="15"/>
      <c r="Q955" s="15"/>
      <c r="R955" s="15"/>
      <c r="S955" s="15"/>
      <c r="T955" s="15"/>
      <c r="U955" s="15"/>
      <c r="V955" s="15"/>
      <c r="W955" s="15"/>
      <c r="X955" s="14"/>
      <c r="Y955" s="14"/>
      <c r="Z955" s="15"/>
      <c r="AA955" s="3"/>
      <c r="AB955" s="3"/>
      <c r="AC955" s="3"/>
      <c r="AD955" s="3"/>
      <c r="AE955" s="3"/>
      <c r="AF955" s="3"/>
    </row>
    <row r="956" ht="15.75" customHeight="1">
      <c r="J956" s="15"/>
      <c r="K956" s="188"/>
      <c r="L956" s="15"/>
      <c r="M956" s="15"/>
      <c r="N956" s="15"/>
      <c r="O956" s="15"/>
      <c r="P956" s="15"/>
      <c r="Q956" s="15"/>
      <c r="R956" s="15"/>
      <c r="S956" s="15"/>
      <c r="T956" s="15"/>
      <c r="U956" s="15"/>
      <c r="V956" s="15"/>
      <c r="W956" s="15"/>
      <c r="X956" s="14"/>
      <c r="Y956" s="14"/>
      <c r="Z956" s="15"/>
      <c r="AA956" s="3"/>
      <c r="AB956" s="3"/>
      <c r="AC956" s="3"/>
      <c r="AD956" s="3"/>
      <c r="AE956" s="3"/>
      <c r="AF956" s="3"/>
    </row>
    <row r="957" ht="15.75" customHeight="1">
      <c r="J957" s="15"/>
      <c r="K957" s="188"/>
      <c r="L957" s="15"/>
      <c r="M957" s="15"/>
      <c r="N957" s="15"/>
      <c r="O957" s="15"/>
      <c r="P957" s="15"/>
      <c r="Q957" s="15"/>
      <c r="R957" s="15"/>
      <c r="S957" s="15"/>
      <c r="T957" s="15"/>
      <c r="U957" s="15"/>
      <c r="V957" s="15"/>
      <c r="W957" s="15"/>
      <c r="X957" s="14"/>
      <c r="Y957" s="14"/>
      <c r="Z957" s="15"/>
      <c r="AA957" s="3"/>
      <c r="AB957" s="3"/>
      <c r="AC957" s="3"/>
      <c r="AD957" s="3"/>
      <c r="AE957" s="3"/>
      <c r="AF957" s="3"/>
    </row>
    <row r="958" ht="15.75" customHeight="1">
      <c r="J958" s="15"/>
      <c r="K958" s="188"/>
      <c r="L958" s="15"/>
      <c r="M958" s="15"/>
      <c r="N958" s="15"/>
      <c r="O958" s="15"/>
      <c r="P958" s="15"/>
      <c r="Q958" s="15"/>
      <c r="R958" s="15"/>
      <c r="S958" s="15"/>
      <c r="T958" s="15"/>
      <c r="U958" s="15"/>
      <c r="V958" s="15"/>
      <c r="W958" s="15"/>
      <c r="X958" s="14"/>
      <c r="Y958" s="14"/>
      <c r="Z958" s="15"/>
      <c r="AA958" s="3"/>
      <c r="AB958" s="3"/>
      <c r="AC958" s="3"/>
      <c r="AD958" s="3"/>
      <c r="AE958" s="3"/>
      <c r="AF958" s="3"/>
    </row>
    <row r="959" ht="15.75" customHeight="1">
      <c r="J959" s="15"/>
      <c r="K959" s="188"/>
      <c r="L959" s="15"/>
      <c r="M959" s="15"/>
      <c r="N959" s="15"/>
      <c r="O959" s="15"/>
      <c r="P959" s="15"/>
      <c r="Q959" s="15"/>
      <c r="R959" s="15"/>
      <c r="S959" s="15"/>
      <c r="T959" s="15"/>
      <c r="U959" s="15"/>
      <c r="V959" s="15"/>
      <c r="W959" s="15"/>
      <c r="X959" s="14"/>
      <c r="Y959" s="14"/>
      <c r="Z959" s="15"/>
      <c r="AA959" s="3"/>
      <c r="AB959" s="3"/>
      <c r="AC959" s="3"/>
      <c r="AD959" s="3"/>
      <c r="AE959" s="3"/>
      <c r="AF959" s="3"/>
    </row>
    <row r="960" ht="15.75" customHeight="1">
      <c r="J960" s="15"/>
      <c r="K960" s="188"/>
      <c r="L960" s="15"/>
      <c r="M960" s="15"/>
      <c r="N960" s="15"/>
      <c r="O960" s="15"/>
      <c r="P960" s="15"/>
      <c r="Q960" s="15"/>
      <c r="R960" s="15"/>
      <c r="S960" s="15"/>
      <c r="T960" s="15"/>
      <c r="U960" s="15"/>
      <c r="V960" s="15"/>
      <c r="W960" s="15"/>
      <c r="X960" s="14"/>
      <c r="Y960" s="14"/>
      <c r="Z960" s="15"/>
      <c r="AA960" s="3"/>
      <c r="AB960" s="3"/>
      <c r="AC960" s="3"/>
      <c r="AD960" s="3"/>
      <c r="AE960" s="3"/>
      <c r="AF960" s="3"/>
    </row>
    <row r="961" ht="15.75" customHeight="1">
      <c r="J961" s="15"/>
      <c r="K961" s="188"/>
      <c r="L961" s="15"/>
      <c r="M961" s="15"/>
      <c r="N961" s="15"/>
      <c r="O961" s="15"/>
      <c r="P961" s="15"/>
      <c r="Q961" s="15"/>
      <c r="R961" s="15"/>
      <c r="S961" s="15"/>
      <c r="T961" s="15"/>
      <c r="U961" s="15"/>
      <c r="V961" s="15"/>
      <c r="W961" s="15"/>
      <c r="X961" s="14"/>
      <c r="Y961" s="14"/>
      <c r="Z961" s="15"/>
      <c r="AA961" s="3"/>
      <c r="AB961" s="3"/>
      <c r="AC961" s="3"/>
      <c r="AD961" s="3"/>
      <c r="AE961" s="3"/>
      <c r="AF961" s="3"/>
    </row>
    <row r="962" ht="15.75" customHeight="1">
      <c r="J962" s="15"/>
      <c r="K962" s="188"/>
      <c r="L962" s="15"/>
      <c r="M962" s="15"/>
      <c r="N962" s="15"/>
      <c r="O962" s="15"/>
      <c r="P962" s="15"/>
      <c r="Q962" s="15"/>
      <c r="R962" s="15"/>
      <c r="S962" s="15"/>
      <c r="T962" s="15"/>
      <c r="U962" s="15"/>
      <c r="V962" s="15"/>
      <c r="W962" s="15"/>
      <c r="X962" s="14"/>
      <c r="Y962" s="14"/>
      <c r="Z962" s="15"/>
      <c r="AA962" s="3"/>
      <c r="AB962" s="3"/>
      <c r="AC962" s="3"/>
      <c r="AD962" s="3"/>
      <c r="AE962" s="3"/>
      <c r="AF962" s="3"/>
    </row>
    <row r="963" ht="15.75" customHeight="1">
      <c r="J963" s="15"/>
      <c r="K963" s="188"/>
      <c r="L963" s="15"/>
      <c r="M963" s="15"/>
      <c r="N963" s="15"/>
      <c r="O963" s="15"/>
      <c r="P963" s="15"/>
      <c r="Q963" s="15"/>
      <c r="R963" s="15"/>
      <c r="S963" s="15"/>
      <c r="T963" s="15"/>
      <c r="U963" s="15"/>
      <c r="V963" s="15"/>
      <c r="W963" s="15"/>
      <c r="X963" s="14"/>
      <c r="Y963" s="14"/>
      <c r="Z963" s="15"/>
      <c r="AA963" s="3"/>
      <c r="AB963" s="3"/>
      <c r="AC963" s="3"/>
      <c r="AD963" s="3"/>
      <c r="AE963" s="3"/>
      <c r="AF963" s="3"/>
    </row>
    <row r="964" ht="15.75" customHeight="1">
      <c r="J964" s="15"/>
      <c r="K964" s="188"/>
      <c r="L964" s="15"/>
      <c r="M964" s="15"/>
      <c r="N964" s="15"/>
      <c r="O964" s="15"/>
      <c r="P964" s="15"/>
      <c r="Q964" s="15"/>
      <c r="R964" s="15"/>
      <c r="S964" s="15"/>
      <c r="T964" s="15"/>
      <c r="U964" s="15"/>
      <c r="V964" s="15"/>
      <c r="W964" s="15"/>
      <c r="X964" s="14"/>
      <c r="Y964" s="14"/>
      <c r="Z964" s="15"/>
      <c r="AA964" s="3"/>
      <c r="AB964" s="3"/>
      <c r="AC964" s="3"/>
      <c r="AD964" s="3"/>
      <c r="AE964" s="3"/>
      <c r="AF964" s="3"/>
    </row>
    <row r="965" ht="15.75" customHeight="1">
      <c r="J965" s="15"/>
      <c r="K965" s="188"/>
      <c r="L965" s="15"/>
      <c r="M965" s="15"/>
      <c r="N965" s="15"/>
      <c r="O965" s="15"/>
      <c r="P965" s="15"/>
      <c r="Q965" s="15"/>
      <c r="R965" s="15"/>
      <c r="S965" s="15"/>
      <c r="T965" s="15"/>
      <c r="U965" s="15"/>
      <c r="V965" s="15"/>
      <c r="W965" s="15"/>
      <c r="X965" s="14"/>
      <c r="Y965" s="14"/>
      <c r="Z965" s="15"/>
      <c r="AA965" s="3"/>
      <c r="AB965" s="3"/>
      <c r="AC965" s="3"/>
      <c r="AD965" s="3"/>
      <c r="AE965" s="3"/>
      <c r="AF965" s="3"/>
    </row>
    <row r="966" ht="15.75" customHeight="1">
      <c r="J966" s="15"/>
      <c r="K966" s="188"/>
      <c r="L966" s="15"/>
      <c r="M966" s="15"/>
      <c r="N966" s="15"/>
      <c r="O966" s="15"/>
      <c r="P966" s="15"/>
      <c r="Q966" s="15"/>
      <c r="R966" s="15"/>
      <c r="S966" s="15"/>
      <c r="T966" s="15"/>
      <c r="U966" s="15"/>
      <c r="V966" s="15"/>
      <c r="W966" s="15"/>
      <c r="X966" s="14"/>
      <c r="Y966" s="14"/>
      <c r="Z966" s="15"/>
      <c r="AA966" s="3"/>
      <c r="AB966" s="3"/>
      <c r="AC966" s="3"/>
      <c r="AD966" s="3"/>
      <c r="AE966" s="3"/>
      <c r="AF966" s="3"/>
    </row>
    <row r="967" ht="15.75" customHeight="1">
      <c r="J967" s="15"/>
      <c r="K967" s="188"/>
      <c r="L967" s="15"/>
      <c r="M967" s="15"/>
      <c r="N967" s="15"/>
      <c r="O967" s="15"/>
      <c r="P967" s="15"/>
      <c r="Q967" s="15"/>
      <c r="R967" s="15"/>
      <c r="S967" s="15"/>
      <c r="T967" s="15"/>
      <c r="U967" s="15"/>
      <c r="V967" s="15"/>
      <c r="W967" s="15"/>
      <c r="X967" s="14"/>
      <c r="Y967" s="14"/>
      <c r="Z967" s="15"/>
      <c r="AA967" s="3"/>
      <c r="AB967" s="3"/>
      <c r="AC967" s="3"/>
      <c r="AD967" s="3"/>
      <c r="AE967" s="3"/>
      <c r="AF967" s="3"/>
    </row>
    <row r="968" ht="15.75" customHeight="1">
      <c r="J968" s="15"/>
      <c r="K968" s="188"/>
      <c r="L968" s="15"/>
      <c r="M968" s="15"/>
      <c r="N968" s="15"/>
      <c r="O968" s="15"/>
      <c r="P968" s="15"/>
      <c r="Q968" s="15"/>
      <c r="R968" s="15"/>
      <c r="S968" s="15"/>
      <c r="T968" s="15"/>
      <c r="U968" s="15"/>
      <c r="V968" s="15"/>
      <c r="W968" s="15"/>
      <c r="X968" s="14"/>
      <c r="Y968" s="14"/>
      <c r="Z968" s="15"/>
      <c r="AA968" s="3"/>
      <c r="AB968" s="3"/>
      <c r="AC968" s="3"/>
      <c r="AD968" s="3"/>
      <c r="AE968" s="3"/>
      <c r="AF968" s="3"/>
    </row>
    <row r="969" ht="15.75" customHeight="1">
      <c r="J969" s="15"/>
      <c r="K969" s="188"/>
      <c r="L969" s="15"/>
      <c r="M969" s="15"/>
      <c r="N969" s="15"/>
      <c r="O969" s="15"/>
      <c r="P969" s="15"/>
      <c r="Q969" s="15"/>
      <c r="R969" s="15"/>
      <c r="S969" s="15"/>
      <c r="T969" s="15"/>
      <c r="U969" s="15"/>
      <c r="V969" s="15"/>
      <c r="W969" s="15"/>
      <c r="X969" s="14"/>
      <c r="Y969" s="14"/>
      <c r="Z969" s="15"/>
      <c r="AA969" s="3"/>
      <c r="AB969" s="3"/>
      <c r="AC969" s="3"/>
      <c r="AD969" s="3"/>
      <c r="AE969" s="3"/>
      <c r="AF969" s="3"/>
    </row>
    <row r="970" ht="15.75" customHeight="1">
      <c r="J970" s="15"/>
      <c r="K970" s="188"/>
      <c r="L970" s="15"/>
      <c r="M970" s="15"/>
      <c r="N970" s="15"/>
      <c r="O970" s="15"/>
      <c r="P970" s="15"/>
      <c r="Q970" s="15"/>
      <c r="R970" s="15"/>
      <c r="S970" s="15"/>
      <c r="T970" s="15"/>
      <c r="U970" s="15"/>
      <c r="V970" s="15"/>
      <c r="W970" s="15"/>
      <c r="X970" s="14"/>
      <c r="Y970" s="14"/>
      <c r="Z970" s="15"/>
      <c r="AA970" s="3"/>
      <c r="AB970" s="3"/>
      <c r="AC970" s="3"/>
      <c r="AD970" s="3"/>
      <c r="AE970" s="3"/>
      <c r="AF970" s="3"/>
    </row>
    <row r="971" ht="15.75" customHeight="1">
      <c r="J971" s="15"/>
      <c r="K971" s="188"/>
      <c r="L971" s="15"/>
      <c r="M971" s="15"/>
      <c r="N971" s="15"/>
      <c r="O971" s="15"/>
      <c r="P971" s="15"/>
      <c r="Q971" s="15"/>
      <c r="R971" s="15"/>
      <c r="S971" s="15"/>
      <c r="T971" s="15"/>
      <c r="U971" s="15"/>
      <c r="V971" s="15"/>
      <c r="W971" s="15"/>
      <c r="X971" s="14"/>
      <c r="Y971" s="14"/>
      <c r="Z971" s="15"/>
      <c r="AA971" s="3"/>
      <c r="AB971" s="3"/>
      <c r="AC971" s="3"/>
      <c r="AD971" s="3"/>
      <c r="AE971" s="3"/>
      <c r="AF971" s="3"/>
    </row>
    <row r="972" ht="15.75" customHeight="1">
      <c r="J972" s="15"/>
      <c r="K972" s="188"/>
      <c r="L972" s="15"/>
      <c r="M972" s="15"/>
      <c r="N972" s="15"/>
      <c r="O972" s="15"/>
      <c r="P972" s="15"/>
      <c r="Q972" s="15"/>
      <c r="R972" s="15"/>
      <c r="S972" s="15"/>
      <c r="T972" s="15"/>
      <c r="U972" s="15"/>
      <c r="V972" s="15"/>
      <c r="W972" s="15"/>
      <c r="X972" s="14"/>
      <c r="Y972" s="14"/>
      <c r="Z972" s="15"/>
      <c r="AA972" s="3"/>
      <c r="AB972" s="3"/>
      <c r="AC972" s="3"/>
      <c r="AD972" s="3"/>
      <c r="AE972" s="3"/>
      <c r="AF972" s="3"/>
    </row>
    <row r="973" ht="15.75" customHeight="1">
      <c r="J973" s="15"/>
      <c r="K973" s="188"/>
      <c r="L973" s="15"/>
      <c r="M973" s="15"/>
      <c r="N973" s="15"/>
      <c r="O973" s="15"/>
      <c r="P973" s="15"/>
      <c r="Q973" s="15"/>
      <c r="R973" s="15"/>
      <c r="S973" s="15"/>
      <c r="T973" s="15"/>
      <c r="U973" s="15"/>
      <c r="V973" s="15"/>
      <c r="W973" s="15"/>
      <c r="X973" s="14"/>
      <c r="Y973" s="14"/>
      <c r="Z973" s="15"/>
      <c r="AA973" s="3"/>
      <c r="AB973" s="3"/>
      <c r="AC973" s="3"/>
      <c r="AD973" s="3"/>
      <c r="AE973" s="3"/>
      <c r="AF973" s="3"/>
    </row>
    <row r="974" ht="15.75" customHeight="1">
      <c r="J974" s="15"/>
      <c r="K974" s="188"/>
      <c r="L974" s="15"/>
      <c r="M974" s="15"/>
      <c r="N974" s="15"/>
      <c r="O974" s="15"/>
      <c r="P974" s="15"/>
      <c r="Q974" s="15"/>
      <c r="R974" s="15"/>
      <c r="S974" s="15"/>
      <c r="T974" s="15"/>
      <c r="U974" s="15"/>
      <c r="V974" s="15"/>
      <c r="W974" s="15"/>
      <c r="X974" s="14"/>
      <c r="Y974" s="14"/>
      <c r="Z974" s="15"/>
      <c r="AA974" s="3"/>
      <c r="AB974" s="3"/>
      <c r="AC974" s="3"/>
      <c r="AD974" s="3"/>
      <c r="AE974" s="3"/>
      <c r="AF974" s="3"/>
    </row>
    <row r="975" ht="15.75" customHeight="1">
      <c r="J975" s="15"/>
      <c r="K975" s="188"/>
      <c r="L975" s="15"/>
      <c r="M975" s="15"/>
      <c r="N975" s="15"/>
      <c r="O975" s="15"/>
      <c r="P975" s="15"/>
      <c r="Q975" s="15"/>
      <c r="R975" s="15"/>
      <c r="S975" s="15"/>
      <c r="T975" s="15"/>
      <c r="U975" s="15"/>
      <c r="V975" s="15"/>
      <c r="W975" s="15"/>
      <c r="X975" s="14"/>
      <c r="Y975" s="14"/>
      <c r="Z975" s="15"/>
      <c r="AA975" s="3"/>
      <c r="AB975" s="3"/>
      <c r="AC975" s="3"/>
      <c r="AD975" s="3"/>
      <c r="AE975" s="3"/>
      <c r="AF975" s="3"/>
    </row>
    <row r="976" ht="15.75" customHeight="1">
      <c r="J976" s="15"/>
      <c r="K976" s="188"/>
      <c r="L976" s="15"/>
      <c r="M976" s="15"/>
      <c r="N976" s="15"/>
      <c r="O976" s="15"/>
      <c r="P976" s="15"/>
      <c r="Q976" s="15"/>
      <c r="R976" s="15"/>
      <c r="S976" s="15"/>
      <c r="T976" s="15"/>
      <c r="U976" s="15"/>
      <c r="V976" s="15"/>
      <c r="W976" s="15"/>
      <c r="X976" s="14"/>
      <c r="Y976" s="14"/>
      <c r="Z976" s="15"/>
      <c r="AA976" s="3"/>
      <c r="AB976" s="3"/>
      <c r="AC976" s="3"/>
      <c r="AD976" s="3"/>
      <c r="AE976" s="3"/>
      <c r="AF976" s="3"/>
    </row>
    <row r="977" ht="15.75" customHeight="1">
      <c r="J977" s="15"/>
      <c r="K977" s="188"/>
      <c r="L977" s="15"/>
      <c r="M977" s="15"/>
      <c r="N977" s="15"/>
      <c r="O977" s="15"/>
      <c r="P977" s="15"/>
      <c r="Q977" s="15"/>
      <c r="R977" s="15"/>
      <c r="S977" s="15"/>
      <c r="T977" s="15"/>
      <c r="U977" s="15"/>
      <c r="V977" s="15"/>
      <c r="W977" s="15"/>
      <c r="X977" s="14"/>
      <c r="Y977" s="14"/>
      <c r="Z977" s="15"/>
      <c r="AA977" s="3"/>
      <c r="AB977" s="3"/>
      <c r="AC977" s="3"/>
      <c r="AD977" s="3"/>
      <c r="AE977" s="3"/>
      <c r="AF977" s="3"/>
    </row>
    <row r="978" ht="15.75" customHeight="1">
      <c r="J978" s="15"/>
      <c r="K978" s="188"/>
      <c r="L978" s="15"/>
      <c r="M978" s="15"/>
      <c r="N978" s="15"/>
      <c r="O978" s="15"/>
      <c r="P978" s="15"/>
      <c r="Q978" s="15"/>
      <c r="R978" s="15"/>
      <c r="S978" s="15"/>
      <c r="T978" s="15"/>
      <c r="U978" s="15"/>
      <c r="V978" s="15"/>
      <c r="W978" s="15"/>
      <c r="X978" s="14"/>
      <c r="Y978" s="14"/>
      <c r="Z978" s="15"/>
      <c r="AA978" s="3"/>
      <c r="AB978" s="3"/>
      <c r="AC978" s="3"/>
      <c r="AD978" s="3"/>
      <c r="AE978" s="3"/>
      <c r="AF978" s="3"/>
    </row>
    <row r="979" ht="15.75" customHeight="1">
      <c r="J979" s="15"/>
      <c r="K979" s="188"/>
      <c r="L979" s="15"/>
      <c r="M979" s="15"/>
      <c r="N979" s="15"/>
      <c r="O979" s="15"/>
      <c r="P979" s="15"/>
      <c r="Q979" s="15"/>
      <c r="R979" s="15"/>
      <c r="S979" s="15"/>
      <c r="T979" s="15"/>
      <c r="U979" s="15"/>
      <c r="V979" s="15"/>
      <c r="W979" s="15"/>
      <c r="X979" s="14"/>
      <c r="Y979" s="14"/>
      <c r="Z979" s="15"/>
      <c r="AA979" s="3"/>
      <c r="AB979" s="3"/>
      <c r="AC979" s="3"/>
      <c r="AD979" s="3"/>
      <c r="AE979" s="3"/>
      <c r="AF979" s="3"/>
    </row>
    <row r="980" ht="15.75" customHeight="1">
      <c r="J980" s="15"/>
      <c r="K980" s="188"/>
      <c r="L980" s="15"/>
      <c r="M980" s="15"/>
      <c r="N980" s="15"/>
      <c r="O980" s="15"/>
      <c r="P980" s="15"/>
      <c r="Q980" s="15"/>
      <c r="R980" s="15"/>
      <c r="S980" s="15"/>
      <c r="T980" s="15"/>
      <c r="U980" s="15"/>
      <c r="V980" s="15"/>
      <c r="W980" s="15"/>
      <c r="X980" s="14"/>
      <c r="Y980" s="14"/>
      <c r="Z980" s="15"/>
      <c r="AA980" s="3"/>
      <c r="AB980" s="3"/>
      <c r="AC980" s="3"/>
      <c r="AD980" s="3"/>
      <c r="AE980" s="3"/>
      <c r="AF980" s="3"/>
    </row>
    <row r="981" ht="15.75" customHeight="1">
      <c r="J981" s="15"/>
      <c r="K981" s="188"/>
      <c r="L981" s="15"/>
      <c r="M981" s="15"/>
      <c r="N981" s="15"/>
      <c r="O981" s="15"/>
      <c r="P981" s="15"/>
      <c r="Q981" s="15"/>
      <c r="R981" s="15"/>
      <c r="S981" s="15"/>
      <c r="T981" s="15"/>
      <c r="U981" s="15"/>
      <c r="V981" s="15"/>
      <c r="W981" s="15"/>
      <c r="X981" s="14"/>
      <c r="Y981" s="14"/>
      <c r="Z981" s="15"/>
      <c r="AA981" s="3"/>
      <c r="AB981" s="3"/>
      <c r="AC981" s="3"/>
      <c r="AD981" s="3"/>
      <c r="AE981" s="3"/>
      <c r="AF981" s="3"/>
    </row>
    <row r="982" ht="15.75" customHeight="1">
      <c r="J982" s="15"/>
      <c r="K982" s="188"/>
      <c r="L982" s="15"/>
      <c r="M982" s="15"/>
      <c r="N982" s="15"/>
      <c r="O982" s="15"/>
      <c r="P982" s="15"/>
      <c r="Q982" s="15"/>
      <c r="R982" s="15"/>
      <c r="S982" s="15"/>
      <c r="T982" s="15"/>
      <c r="U982" s="15"/>
      <c r="V982" s="15"/>
      <c r="W982" s="15"/>
      <c r="X982" s="14"/>
      <c r="Y982" s="14"/>
      <c r="Z982" s="15"/>
      <c r="AA982" s="3"/>
      <c r="AB982" s="3"/>
      <c r="AC982" s="3"/>
      <c r="AD982" s="3"/>
      <c r="AE982" s="3"/>
      <c r="AF982" s="3"/>
    </row>
    <row r="983" ht="15.75" customHeight="1">
      <c r="J983" s="15"/>
      <c r="K983" s="188"/>
      <c r="L983" s="15"/>
      <c r="M983" s="15"/>
      <c r="N983" s="15"/>
      <c r="O983" s="15"/>
      <c r="P983" s="15"/>
      <c r="Q983" s="15"/>
      <c r="R983" s="15"/>
      <c r="S983" s="15"/>
      <c r="T983" s="15"/>
      <c r="U983" s="15"/>
      <c r="V983" s="15"/>
      <c r="W983" s="15"/>
      <c r="X983" s="14"/>
      <c r="Y983" s="14"/>
      <c r="Z983" s="15"/>
      <c r="AA983" s="3"/>
      <c r="AB983" s="3"/>
      <c r="AC983" s="3"/>
      <c r="AD983" s="3"/>
      <c r="AE983" s="3"/>
      <c r="AF983" s="3"/>
    </row>
    <row r="984" ht="15.75" customHeight="1">
      <c r="J984" s="15"/>
      <c r="K984" s="188"/>
      <c r="L984" s="15"/>
      <c r="M984" s="15"/>
      <c r="N984" s="15"/>
      <c r="O984" s="15"/>
      <c r="P984" s="15"/>
      <c r="Q984" s="15"/>
      <c r="R984" s="15"/>
      <c r="S984" s="15"/>
      <c r="T984" s="15"/>
      <c r="U984" s="15"/>
      <c r="V984" s="15"/>
      <c r="W984" s="15"/>
      <c r="X984" s="14"/>
      <c r="Y984" s="14"/>
      <c r="Z984" s="15"/>
      <c r="AA984" s="3"/>
      <c r="AB984" s="3"/>
      <c r="AC984" s="3"/>
      <c r="AD984" s="3"/>
      <c r="AE984" s="3"/>
      <c r="AF984" s="3"/>
    </row>
    <row r="985" ht="15.75" customHeight="1">
      <c r="J985" s="15"/>
      <c r="K985" s="188"/>
      <c r="L985" s="15"/>
      <c r="M985" s="15"/>
      <c r="N985" s="15"/>
      <c r="O985" s="15"/>
      <c r="P985" s="15"/>
      <c r="Q985" s="15"/>
      <c r="R985" s="15"/>
      <c r="S985" s="15"/>
      <c r="T985" s="15"/>
      <c r="U985" s="15"/>
      <c r="V985" s="15"/>
      <c r="W985" s="15"/>
      <c r="X985" s="14"/>
      <c r="Y985" s="14"/>
      <c r="Z985" s="15"/>
      <c r="AA985" s="3"/>
      <c r="AB985" s="3"/>
      <c r="AC985" s="3"/>
      <c r="AD985" s="3"/>
      <c r="AE985" s="3"/>
      <c r="AF985" s="3"/>
    </row>
    <row r="986" ht="15.75" customHeight="1">
      <c r="J986" s="15"/>
      <c r="K986" s="188"/>
      <c r="L986" s="15"/>
      <c r="M986" s="15"/>
      <c r="N986" s="15"/>
      <c r="O986" s="15"/>
      <c r="P986" s="15"/>
      <c r="Q986" s="15"/>
      <c r="R986" s="15"/>
      <c r="S986" s="15"/>
      <c r="T986" s="15"/>
      <c r="U986" s="15"/>
      <c r="V986" s="15"/>
      <c r="W986" s="15"/>
      <c r="X986" s="14"/>
      <c r="Y986" s="14"/>
      <c r="Z986" s="15"/>
      <c r="AA986" s="3"/>
      <c r="AB986" s="3"/>
      <c r="AC986" s="3"/>
      <c r="AD986" s="3"/>
      <c r="AE986" s="3"/>
      <c r="AF986" s="3"/>
    </row>
    <row r="987" ht="15.75" customHeight="1">
      <c r="J987" s="15"/>
      <c r="K987" s="188"/>
      <c r="L987" s="15"/>
      <c r="M987" s="15"/>
      <c r="N987" s="15"/>
      <c r="O987" s="15"/>
      <c r="P987" s="15"/>
      <c r="Q987" s="15"/>
      <c r="R987" s="15"/>
      <c r="S987" s="15"/>
      <c r="T987" s="15"/>
      <c r="U987" s="15"/>
      <c r="V987" s="15"/>
      <c r="W987" s="15"/>
      <c r="X987" s="14"/>
      <c r="Y987" s="14"/>
      <c r="Z987" s="15"/>
      <c r="AA987" s="3"/>
      <c r="AB987" s="3"/>
      <c r="AC987" s="3"/>
      <c r="AD987" s="3"/>
      <c r="AE987" s="3"/>
      <c r="AF987" s="3"/>
    </row>
    <row r="988" ht="15.75" customHeight="1">
      <c r="J988" s="15"/>
      <c r="K988" s="188"/>
      <c r="L988" s="15"/>
      <c r="M988" s="15"/>
      <c r="N988" s="15"/>
      <c r="O988" s="15"/>
      <c r="P988" s="15"/>
      <c r="Q988" s="15"/>
      <c r="R988" s="15"/>
      <c r="S988" s="15"/>
      <c r="T988" s="15"/>
      <c r="U988" s="15"/>
      <c r="V988" s="15"/>
      <c r="W988" s="15"/>
      <c r="X988" s="14"/>
      <c r="Y988" s="14"/>
      <c r="Z988" s="15"/>
      <c r="AA988" s="3"/>
      <c r="AB988" s="3"/>
      <c r="AC988" s="3"/>
      <c r="AD988" s="3"/>
      <c r="AE988" s="3"/>
      <c r="AF988" s="3"/>
    </row>
    <row r="989" ht="15.75" customHeight="1">
      <c r="J989" s="15"/>
      <c r="K989" s="188"/>
      <c r="L989" s="15"/>
      <c r="M989" s="15"/>
      <c r="N989" s="15"/>
      <c r="O989" s="15"/>
      <c r="P989" s="15"/>
      <c r="Q989" s="15"/>
      <c r="R989" s="15"/>
      <c r="S989" s="15"/>
      <c r="T989" s="15"/>
      <c r="U989" s="15"/>
      <c r="V989" s="15"/>
      <c r="W989" s="15"/>
      <c r="X989" s="14"/>
      <c r="Y989" s="14"/>
      <c r="Z989" s="15"/>
      <c r="AA989" s="3"/>
      <c r="AB989" s="3"/>
      <c r="AC989" s="3"/>
      <c r="AD989" s="3"/>
      <c r="AE989" s="3"/>
      <c r="AF989" s="3"/>
    </row>
    <row r="990" ht="15.75" customHeight="1">
      <c r="J990" s="15"/>
      <c r="K990" s="188"/>
      <c r="L990" s="15"/>
      <c r="M990" s="15"/>
      <c r="N990" s="15"/>
      <c r="O990" s="15"/>
      <c r="P990" s="15"/>
      <c r="Q990" s="15"/>
      <c r="R990" s="15"/>
      <c r="S990" s="15"/>
      <c r="T990" s="15"/>
      <c r="U990" s="15"/>
      <c r="V990" s="15"/>
      <c r="W990" s="15"/>
      <c r="X990" s="14"/>
      <c r="Y990" s="14"/>
      <c r="Z990" s="15"/>
      <c r="AA990" s="3"/>
      <c r="AB990" s="3"/>
      <c r="AC990" s="3"/>
      <c r="AD990" s="3"/>
      <c r="AE990" s="3"/>
      <c r="AF990" s="3"/>
    </row>
    <row r="991" ht="15.75" customHeight="1">
      <c r="J991" s="15"/>
      <c r="K991" s="188"/>
      <c r="L991" s="15"/>
      <c r="M991" s="15"/>
      <c r="N991" s="15"/>
      <c r="O991" s="15"/>
      <c r="P991" s="15"/>
      <c r="Q991" s="15"/>
      <c r="R991" s="15"/>
      <c r="S991" s="15"/>
      <c r="T991" s="15"/>
      <c r="U991" s="15"/>
      <c r="V991" s="15"/>
      <c r="W991" s="15"/>
      <c r="X991" s="14"/>
      <c r="Y991" s="14"/>
      <c r="Z991" s="15"/>
      <c r="AA991" s="3"/>
      <c r="AB991" s="3"/>
      <c r="AC991" s="3"/>
      <c r="AD991" s="3"/>
      <c r="AE991" s="3"/>
      <c r="AF991" s="3"/>
    </row>
    <row r="992" ht="15.75" customHeight="1">
      <c r="J992" s="15"/>
      <c r="K992" s="188"/>
      <c r="L992" s="15"/>
      <c r="M992" s="15"/>
      <c r="N992" s="15"/>
      <c r="O992" s="15"/>
      <c r="P992" s="15"/>
      <c r="Q992" s="15"/>
      <c r="R992" s="15"/>
      <c r="S992" s="15"/>
      <c r="T992" s="15"/>
      <c r="U992" s="15"/>
      <c r="V992" s="15"/>
      <c r="W992" s="15"/>
      <c r="X992" s="14"/>
      <c r="Y992" s="14"/>
      <c r="Z992" s="15"/>
      <c r="AA992" s="3"/>
      <c r="AB992" s="3"/>
      <c r="AC992" s="3"/>
      <c r="AD992" s="3"/>
      <c r="AE992" s="3"/>
      <c r="AF992" s="3"/>
    </row>
    <row r="993" ht="15.75" customHeight="1">
      <c r="J993" s="15"/>
      <c r="K993" s="188"/>
      <c r="L993" s="15"/>
      <c r="M993" s="15"/>
      <c r="N993" s="15"/>
      <c r="O993" s="15"/>
      <c r="P993" s="15"/>
      <c r="Q993" s="15"/>
      <c r="R993" s="15"/>
      <c r="S993" s="15"/>
      <c r="T993" s="15"/>
      <c r="U993" s="15"/>
      <c r="V993" s="15"/>
      <c r="W993" s="15"/>
      <c r="X993" s="14"/>
      <c r="Y993" s="14"/>
      <c r="Z993" s="15"/>
      <c r="AA993" s="3"/>
      <c r="AB993" s="3"/>
      <c r="AC993" s="3"/>
      <c r="AD993" s="3"/>
      <c r="AE993" s="3"/>
      <c r="AF993" s="3"/>
    </row>
    <row r="994" ht="15.75" customHeight="1">
      <c r="J994" s="15"/>
      <c r="K994" s="188"/>
      <c r="L994" s="15"/>
      <c r="M994" s="15"/>
      <c r="N994" s="15"/>
      <c r="O994" s="15"/>
      <c r="P994" s="15"/>
      <c r="Q994" s="15"/>
      <c r="R994" s="15"/>
      <c r="S994" s="15"/>
      <c r="T994" s="15"/>
      <c r="U994" s="15"/>
      <c r="V994" s="15"/>
      <c r="W994" s="15"/>
      <c r="X994" s="14"/>
      <c r="Y994" s="14"/>
      <c r="Z994" s="15"/>
      <c r="AA994" s="3"/>
      <c r="AB994" s="3"/>
      <c r="AC994" s="3"/>
      <c r="AD994" s="3"/>
      <c r="AE994" s="3"/>
      <c r="AF994" s="3"/>
    </row>
    <row r="995" ht="15.75" customHeight="1">
      <c r="J995" s="15"/>
      <c r="K995" s="188"/>
      <c r="L995" s="15"/>
      <c r="M995" s="15"/>
      <c r="N995" s="15"/>
      <c r="O995" s="15"/>
      <c r="P995" s="15"/>
      <c r="Q995" s="15"/>
      <c r="R995" s="15"/>
      <c r="S995" s="15"/>
      <c r="T995" s="15"/>
      <c r="U995" s="15"/>
      <c r="V995" s="15"/>
      <c r="W995" s="15"/>
      <c r="X995" s="14"/>
      <c r="Y995" s="14"/>
      <c r="Z995" s="15"/>
      <c r="AA995" s="3"/>
      <c r="AB995" s="3"/>
      <c r="AC995" s="3"/>
      <c r="AD995" s="3"/>
      <c r="AE995" s="3"/>
      <c r="AF995" s="3"/>
    </row>
    <row r="996" ht="15.75" customHeight="1">
      <c r="J996" s="15"/>
      <c r="K996" s="188"/>
      <c r="L996" s="15"/>
      <c r="M996" s="15"/>
      <c r="N996" s="15"/>
      <c r="O996" s="15"/>
      <c r="P996" s="15"/>
      <c r="Q996" s="15"/>
      <c r="R996" s="15"/>
      <c r="S996" s="15"/>
      <c r="T996" s="15"/>
      <c r="U996" s="15"/>
      <c r="V996" s="15"/>
      <c r="W996" s="15"/>
      <c r="X996" s="14"/>
      <c r="Y996" s="14"/>
      <c r="Z996" s="15"/>
      <c r="AA996" s="3"/>
      <c r="AB996" s="3"/>
      <c r="AC996" s="3"/>
      <c r="AD996" s="3"/>
      <c r="AE996" s="3"/>
      <c r="AF996" s="3"/>
    </row>
    <row r="997" ht="15.75" customHeight="1">
      <c r="J997" s="15"/>
      <c r="K997" s="188"/>
      <c r="L997" s="15"/>
      <c r="M997" s="15"/>
      <c r="N997" s="15"/>
      <c r="O997" s="15"/>
      <c r="P997" s="15"/>
      <c r="Q997" s="15"/>
      <c r="R997" s="15"/>
      <c r="S997" s="15"/>
      <c r="T997" s="15"/>
      <c r="U997" s="15"/>
      <c r="V997" s="15"/>
      <c r="W997" s="15"/>
      <c r="X997" s="14"/>
      <c r="Y997" s="14"/>
      <c r="Z997" s="15"/>
      <c r="AA997" s="3"/>
      <c r="AB997" s="3"/>
      <c r="AC997" s="3"/>
      <c r="AD997" s="3"/>
      <c r="AE997" s="3"/>
      <c r="AF997" s="3"/>
    </row>
    <row r="998" ht="15.75" customHeight="1">
      <c r="J998" s="15"/>
      <c r="K998" s="188"/>
      <c r="L998" s="15"/>
      <c r="M998" s="15"/>
      <c r="N998" s="15"/>
      <c r="O998" s="15"/>
      <c r="P998" s="15"/>
      <c r="Q998" s="15"/>
      <c r="R998" s="15"/>
      <c r="S998" s="15"/>
      <c r="T998" s="15"/>
      <c r="U998" s="15"/>
      <c r="V998" s="15"/>
      <c r="W998" s="15"/>
      <c r="X998" s="14"/>
      <c r="Y998" s="14"/>
      <c r="Z998" s="15"/>
      <c r="AA998" s="3"/>
      <c r="AB998" s="3"/>
      <c r="AC998" s="3"/>
      <c r="AD998" s="3"/>
      <c r="AE998" s="3"/>
      <c r="AF998" s="3"/>
    </row>
    <row r="999" ht="15.75" customHeight="1">
      <c r="J999" s="15"/>
      <c r="K999" s="188"/>
      <c r="L999" s="15"/>
      <c r="M999" s="15"/>
      <c r="N999" s="15"/>
      <c r="O999" s="15"/>
      <c r="P999" s="15"/>
      <c r="Q999" s="15"/>
      <c r="R999" s="15"/>
      <c r="S999" s="15"/>
      <c r="T999" s="15"/>
      <c r="U999" s="15"/>
      <c r="V999" s="15"/>
      <c r="W999" s="15"/>
      <c r="X999" s="14"/>
      <c r="Y999" s="14"/>
      <c r="Z999" s="15"/>
      <c r="AA999" s="3"/>
      <c r="AB999" s="3"/>
      <c r="AC999" s="3"/>
      <c r="AD999" s="3"/>
      <c r="AE999" s="3"/>
      <c r="AF999" s="3"/>
    </row>
    <row r="1000" ht="15.75" customHeight="1">
      <c r="J1000" s="15"/>
      <c r="K1000" s="188"/>
      <c r="L1000" s="15"/>
      <c r="M1000" s="15"/>
      <c r="N1000" s="15"/>
      <c r="O1000" s="15"/>
      <c r="P1000" s="15"/>
      <c r="Q1000" s="15"/>
      <c r="R1000" s="15"/>
      <c r="S1000" s="15"/>
      <c r="T1000" s="15"/>
      <c r="U1000" s="15"/>
      <c r="V1000" s="15"/>
      <c r="W1000" s="15"/>
      <c r="X1000" s="14"/>
      <c r="Y1000" s="14"/>
      <c r="Z1000" s="15"/>
      <c r="AA1000" s="3"/>
      <c r="AB1000" s="3"/>
      <c r="AC1000" s="3"/>
      <c r="AD1000" s="3"/>
      <c r="AE1000" s="3"/>
      <c r="AF1000" s="3"/>
    </row>
    <row r="1001" ht="15.75" customHeight="1">
      <c r="J1001" s="15"/>
      <c r="K1001" s="188"/>
      <c r="L1001" s="15"/>
      <c r="M1001" s="15"/>
      <c r="N1001" s="15"/>
      <c r="O1001" s="15"/>
      <c r="P1001" s="15"/>
      <c r="Q1001" s="15"/>
      <c r="R1001" s="15"/>
      <c r="S1001" s="15"/>
      <c r="T1001" s="15"/>
      <c r="U1001" s="15"/>
      <c r="V1001" s="15"/>
      <c r="W1001" s="15"/>
      <c r="X1001" s="14"/>
      <c r="Y1001" s="14"/>
      <c r="Z1001" s="15"/>
      <c r="AA1001" s="3"/>
      <c r="AB1001" s="3"/>
      <c r="AC1001" s="3"/>
      <c r="AD1001" s="3"/>
      <c r="AE1001" s="3"/>
      <c r="AF1001" s="3"/>
    </row>
    <row r="1002" ht="15.75" customHeight="1">
      <c r="J1002" s="15"/>
      <c r="K1002" s="188"/>
      <c r="L1002" s="15"/>
      <c r="M1002" s="15"/>
      <c r="N1002" s="15"/>
      <c r="O1002" s="15"/>
      <c r="P1002" s="15"/>
      <c r="Q1002" s="15"/>
      <c r="R1002" s="15"/>
      <c r="S1002" s="15"/>
      <c r="T1002" s="15"/>
      <c r="U1002" s="15"/>
      <c r="V1002" s="15"/>
      <c r="W1002" s="15"/>
      <c r="X1002" s="14"/>
      <c r="Y1002" s="14"/>
      <c r="Z1002" s="15"/>
      <c r="AA1002" s="3"/>
      <c r="AB1002" s="3"/>
      <c r="AC1002" s="3"/>
      <c r="AD1002" s="3"/>
      <c r="AE1002" s="3"/>
      <c r="AF1002" s="3"/>
    </row>
    <row r="1003" ht="15.75" customHeight="1">
      <c r="J1003" s="15"/>
      <c r="K1003" s="188"/>
      <c r="L1003" s="15"/>
      <c r="M1003" s="15"/>
      <c r="N1003" s="15"/>
      <c r="O1003" s="15"/>
      <c r="P1003" s="15"/>
      <c r="Q1003" s="15"/>
      <c r="R1003" s="15"/>
      <c r="S1003" s="15"/>
      <c r="T1003" s="15"/>
      <c r="U1003" s="15"/>
      <c r="V1003" s="15"/>
      <c r="W1003" s="15"/>
      <c r="X1003" s="14"/>
      <c r="Y1003" s="14"/>
      <c r="Z1003" s="15"/>
      <c r="AA1003" s="3"/>
      <c r="AB1003" s="3"/>
      <c r="AC1003" s="3"/>
      <c r="AD1003" s="3"/>
      <c r="AE1003" s="3"/>
      <c r="AF1003" s="3"/>
    </row>
    <row r="1004" ht="15.75" customHeight="1">
      <c r="J1004" s="15"/>
      <c r="K1004" s="188"/>
      <c r="L1004" s="15"/>
      <c r="M1004" s="15"/>
      <c r="N1004" s="15"/>
      <c r="O1004" s="15"/>
      <c r="P1004" s="15"/>
      <c r="Q1004" s="15"/>
      <c r="R1004" s="15"/>
      <c r="S1004" s="15"/>
      <c r="T1004" s="15"/>
      <c r="U1004" s="15"/>
      <c r="V1004" s="15"/>
      <c r="W1004" s="15"/>
      <c r="X1004" s="14"/>
      <c r="Y1004" s="14"/>
      <c r="Z1004" s="15"/>
      <c r="AA1004" s="3"/>
      <c r="AB1004" s="3"/>
      <c r="AC1004" s="3"/>
      <c r="AD1004" s="3"/>
      <c r="AE1004" s="3"/>
      <c r="AF1004" s="3"/>
    </row>
    <row r="1005" ht="15.75" customHeight="1">
      <c r="J1005" s="15"/>
      <c r="K1005" s="188"/>
      <c r="L1005" s="15"/>
      <c r="M1005" s="15"/>
      <c r="N1005" s="15"/>
      <c r="O1005" s="15"/>
      <c r="P1005" s="15"/>
      <c r="Q1005" s="15"/>
      <c r="R1005" s="15"/>
      <c r="S1005" s="15"/>
      <c r="T1005" s="15"/>
      <c r="U1005" s="15"/>
      <c r="V1005" s="15"/>
      <c r="W1005" s="15"/>
      <c r="X1005" s="14"/>
      <c r="Y1005" s="14"/>
      <c r="Z1005" s="15"/>
      <c r="AA1005" s="3"/>
      <c r="AB1005" s="3"/>
      <c r="AC1005" s="3"/>
      <c r="AD1005" s="3"/>
      <c r="AE1005" s="3"/>
      <c r="AF1005" s="3"/>
    </row>
    <row r="1006" ht="15.75" customHeight="1">
      <c r="J1006" s="15"/>
      <c r="K1006" s="188"/>
      <c r="L1006" s="15"/>
      <c r="M1006" s="15"/>
      <c r="N1006" s="15"/>
      <c r="O1006" s="15"/>
      <c r="P1006" s="15"/>
      <c r="Q1006" s="15"/>
      <c r="R1006" s="15"/>
      <c r="S1006" s="15"/>
      <c r="T1006" s="15"/>
      <c r="U1006" s="15"/>
      <c r="V1006" s="15"/>
      <c r="W1006" s="15"/>
      <c r="X1006" s="14"/>
      <c r="Y1006" s="14"/>
      <c r="Z1006" s="15"/>
      <c r="AA1006" s="3"/>
      <c r="AB1006" s="3"/>
      <c r="AC1006" s="3"/>
      <c r="AD1006" s="3"/>
      <c r="AE1006" s="3"/>
      <c r="AF1006" s="3"/>
    </row>
    <row r="1007" ht="15.75" customHeight="1">
      <c r="J1007" s="15"/>
      <c r="K1007" s="188"/>
      <c r="L1007" s="15"/>
      <c r="M1007" s="15"/>
      <c r="N1007" s="15"/>
      <c r="O1007" s="15"/>
      <c r="P1007" s="15"/>
      <c r="Q1007" s="15"/>
      <c r="R1007" s="15"/>
      <c r="S1007" s="15"/>
      <c r="T1007" s="15"/>
      <c r="U1007" s="15"/>
      <c r="V1007" s="15"/>
      <c r="W1007" s="15"/>
      <c r="X1007" s="14"/>
      <c r="Y1007" s="14"/>
      <c r="Z1007" s="15"/>
      <c r="AA1007" s="3"/>
      <c r="AB1007" s="3"/>
      <c r="AC1007" s="3"/>
      <c r="AD1007" s="3"/>
      <c r="AE1007" s="3"/>
      <c r="AF1007" s="3"/>
    </row>
    <row r="1008" ht="15.75" customHeight="1">
      <c r="J1008" s="15"/>
      <c r="K1008" s="188"/>
      <c r="L1008" s="15"/>
      <c r="M1008" s="15"/>
      <c r="N1008" s="15"/>
      <c r="O1008" s="15"/>
      <c r="P1008" s="15"/>
      <c r="Q1008" s="15"/>
      <c r="R1008" s="15"/>
      <c r="S1008" s="15"/>
      <c r="T1008" s="15"/>
      <c r="U1008" s="15"/>
      <c r="V1008" s="15"/>
      <c r="W1008" s="15"/>
      <c r="X1008" s="14"/>
      <c r="Y1008" s="14"/>
      <c r="Z1008" s="15"/>
      <c r="AA1008" s="3"/>
      <c r="AB1008" s="3"/>
      <c r="AC1008" s="3"/>
      <c r="AD1008" s="3"/>
      <c r="AE1008" s="3"/>
      <c r="AF1008" s="3"/>
    </row>
    <row r="1009" ht="15.75" customHeight="1">
      <c r="J1009" s="15"/>
      <c r="K1009" s="188"/>
      <c r="L1009" s="15"/>
      <c r="M1009" s="15"/>
      <c r="N1009" s="15"/>
      <c r="O1009" s="15"/>
      <c r="P1009" s="15"/>
      <c r="Q1009" s="15"/>
      <c r="R1009" s="15"/>
      <c r="S1009" s="15"/>
      <c r="T1009" s="15"/>
      <c r="U1009" s="15"/>
      <c r="V1009" s="15"/>
      <c r="W1009" s="15"/>
      <c r="X1009" s="14"/>
      <c r="Y1009" s="14"/>
      <c r="Z1009" s="15"/>
      <c r="AA1009" s="3"/>
      <c r="AB1009" s="3"/>
      <c r="AC1009" s="3"/>
      <c r="AD1009" s="3"/>
      <c r="AE1009" s="3"/>
      <c r="AF1009" s="3"/>
    </row>
    <row r="1010" ht="15.75" customHeight="1">
      <c r="J1010" s="15"/>
      <c r="K1010" s="188"/>
      <c r="L1010" s="15"/>
      <c r="M1010" s="15"/>
      <c r="N1010" s="15"/>
      <c r="O1010" s="15"/>
      <c r="P1010" s="15"/>
      <c r="Q1010" s="15"/>
      <c r="R1010" s="15"/>
      <c r="S1010" s="15"/>
      <c r="T1010" s="15"/>
      <c r="U1010" s="15"/>
      <c r="V1010" s="15"/>
      <c r="W1010" s="15"/>
      <c r="X1010" s="14"/>
      <c r="Y1010" s="14"/>
      <c r="Z1010" s="15"/>
      <c r="AA1010" s="3"/>
      <c r="AB1010" s="3"/>
      <c r="AC1010" s="3"/>
      <c r="AD1010" s="3"/>
      <c r="AE1010" s="3"/>
      <c r="AF1010" s="3"/>
    </row>
    <row r="1011" ht="15.75" customHeight="1">
      <c r="J1011" s="15"/>
      <c r="K1011" s="188"/>
      <c r="L1011" s="15"/>
      <c r="M1011" s="15"/>
      <c r="N1011" s="15"/>
      <c r="O1011" s="15"/>
      <c r="P1011" s="15"/>
      <c r="Q1011" s="15"/>
      <c r="R1011" s="15"/>
      <c r="S1011" s="15"/>
      <c r="T1011" s="15"/>
      <c r="U1011" s="15"/>
      <c r="V1011" s="15"/>
      <c r="W1011" s="15"/>
      <c r="X1011" s="14"/>
      <c r="Y1011" s="14"/>
      <c r="Z1011" s="15"/>
      <c r="AA1011" s="3"/>
      <c r="AB1011" s="3"/>
      <c r="AC1011" s="3"/>
      <c r="AD1011" s="3"/>
      <c r="AE1011" s="3"/>
      <c r="AF1011" s="3"/>
    </row>
    <row r="1012" ht="15.75" customHeight="1">
      <c r="J1012" s="15"/>
      <c r="K1012" s="188"/>
      <c r="L1012" s="15"/>
      <c r="M1012" s="15"/>
      <c r="N1012" s="15"/>
      <c r="O1012" s="15"/>
      <c r="P1012" s="15"/>
      <c r="Q1012" s="15"/>
      <c r="R1012" s="15"/>
      <c r="S1012" s="15"/>
      <c r="T1012" s="15"/>
      <c r="U1012" s="15"/>
      <c r="V1012" s="15"/>
      <c r="W1012" s="15"/>
      <c r="X1012" s="14"/>
      <c r="Y1012" s="14"/>
      <c r="Z1012" s="15"/>
      <c r="AA1012" s="3"/>
      <c r="AB1012" s="3"/>
      <c r="AC1012" s="3"/>
      <c r="AD1012" s="3"/>
      <c r="AE1012" s="3"/>
      <c r="AF1012" s="3"/>
    </row>
    <row r="1013" ht="15.75" customHeight="1">
      <c r="J1013" s="15"/>
      <c r="K1013" s="188"/>
      <c r="L1013" s="15"/>
      <c r="M1013" s="15"/>
      <c r="N1013" s="15"/>
      <c r="O1013" s="15"/>
      <c r="P1013" s="15"/>
      <c r="Q1013" s="15"/>
      <c r="R1013" s="15"/>
      <c r="S1013" s="15"/>
      <c r="T1013" s="15"/>
      <c r="U1013" s="15"/>
      <c r="V1013" s="15"/>
      <c r="W1013" s="15"/>
      <c r="X1013" s="14"/>
      <c r="Y1013" s="14"/>
      <c r="Z1013" s="15"/>
      <c r="AA1013" s="3"/>
      <c r="AB1013" s="3"/>
      <c r="AC1013" s="3"/>
      <c r="AD1013" s="3"/>
      <c r="AE1013" s="3"/>
      <c r="AF1013" s="3"/>
    </row>
    <row r="1014" ht="15.75" customHeight="1">
      <c r="J1014" s="15"/>
      <c r="K1014" s="188"/>
      <c r="L1014" s="15"/>
      <c r="M1014" s="15"/>
      <c r="N1014" s="15"/>
      <c r="O1014" s="15"/>
      <c r="P1014" s="15"/>
      <c r="Q1014" s="15"/>
      <c r="R1014" s="15"/>
      <c r="S1014" s="15"/>
      <c r="T1014" s="15"/>
      <c r="U1014" s="15"/>
      <c r="V1014" s="15"/>
      <c r="W1014" s="15"/>
      <c r="X1014" s="14"/>
      <c r="Y1014" s="14"/>
      <c r="Z1014" s="15"/>
      <c r="AA1014" s="3"/>
      <c r="AB1014" s="3"/>
      <c r="AC1014" s="3"/>
      <c r="AD1014" s="3"/>
      <c r="AE1014" s="3"/>
      <c r="AF1014" s="3"/>
    </row>
    <row r="1015" ht="15.75" customHeight="1">
      <c r="J1015" s="15"/>
      <c r="K1015" s="188"/>
      <c r="L1015" s="15"/>
      <c r="M1015" s="15"/>
      <c r="N1015" s="15"/>
      <c r="O1015" s="15"/>
      <c r="P1015" s="15"/>
      <c r="Q1015" s="15"/>
      <c r="R1015" s="15"/>
      <c r="S1015" s="15"/>
      <c r="T1015" s="15"/>
      <c r="U1015" s="15"/>
      <c r="V1015" s="15"/>
      <c r="W1015" s="15"/>
      <c r="X1015" s="14"/>
      <c r="Y1015" s="14"/>
      <c r="Z1015" s="15"/>
      <c r="AA1015" s="3"/>
      <c r="AB1015" s="3"/>
      <c r="AC1015" s="3"/>
      <c r="AD1015" s="3"/>
      <c r="AE1015" s="3"/>
      <c r="AF1015" s="3"/>
    </row>
    <row r="1016" ht="15.75" customHeight="1">
      <c r="J1016" s="15"/>
      <c r="K1016" s="188"/>
      <c r="L1016" s="15"/>
      <c r="M1016" s="15"/>
      <c r="N1016" s="15"/>
      <c r="O1016" s="15"/>
      <c r="P1016" s="15"/>
      <c r="Q1016" s="15"/>
      <c r="R1016" s="15"/>
      <c r="S1016" s="15"/>
      <c r="T1016" s="15"/>
      <c r="U1016" s="15"/>
      <c r="V1016" s="15"/>
      <c r="W1016" s="15"/>
      <c r="X1016" s="14"/>
      <c r="Y1016" s="14"/>
      <c r="Z1016" s="15"/>
      <c r="AA1016" s="3"/>
      <c r="AB1016" s="3"/>
      <c r="AC1016" s="3"/>
      <c r="AD1016" s="3"/>
      <c r="AE1016" s="3"/>
      <c r="AF1016" s="3"/>
    </row>
    <row r="1017" ht="15.75" customHeight="1">
      <c r="J1017" s="15"/>
      <c r="K1017" s="188"/>
      <c r="L1017" s="15"/>
      <c r="M1017" s="15"/>
      <c r="N1017" s="15"/>
      <c r="O1017" s="15"/>
      <c r="P1017" s="15"/>
      <c r="Q1017" s="15"/>
      <c r="R1017" s="15"/>
      <c r="S1017" s="15"/>
      <c r="T1017" s="15"/>
      <c r="U1017" s="15"/>
      <c r="V1017" s="15"/>
      <c r="W1017" s="15"/>
      <c r="X1017" s="14"/>
      <c r="Y1017" s="14"/>
      <c r="Z1017" s="15"/>
      <c r="AA1017" s="3"/>
      <c r="AB1017" s="3"/>
      <c r="AC1017" s="3"/>
      <c r="AD1017" s="3"/>
      <c r="AE1017" s="3"/>
      <c r="AF1017" s="3"/>
    </row>
    <row r="1018" ht="15.75" customHeight="1">
      <c r="J1018" s="15"/>
      <c r="K1018" s="188"/>
      <c r="L1018" s="15"/>
      <c r="M1018" s="15"/>
      <c r="N1018" s="15"/>
      <c r="O1018" s="15"/>
      <c r="P1018" s="15"/>
      <c r="Q1018" s="15"/>
      <c r="R1018" s="15"/>
      <c r="S1018" s="15"/>
      <c r="T1018" s="15"/>
      <c r="U1018" s="15"/>
      <c r="V1018" s="15"/>
      <c r="W1018" s="15"/>
      <c r="X1018" s="14"/>
      <c r="Y1018" s="14"/>
      <c r="Z1018" s="15"/>
      <c r="AA1018" s="3"/>
      <c r="AB1018" s="3"/>
      <c r="AC1018" s="3"/>
      <c r="AD1018" s="3"/>
      <c r="AE1018" s="3"/>
      <c r="AF1018" s="3"/>
    </row>
    <row r="1019" ht="15.75" customHeight="1">
      <c r="J1019" s="15"/>
      <c r="K1019" s="188"/>
      <c r="L1019" s="15"/>
      <c r="M1019" s="15"/>
      <c r="N1019" s="15"/>
      <c r="O1019" s="15"/>
      <c r="P1019" s="15"/>
      <c r="Q1019" s="15"/>
      <c r="R1019" s="15"/>
      <c r="S1019" s="15"/>
      <c r="T1019" s="15"/>
      <c r="U1019" s="15"/>
      <c r="V1019" s="15"/>
      <c r="W1019" s="15"/>
      <c r="X1019" s="14"/>
      <c r="Y1019" s="14"/>
      <c r="Z1019" s="15"/>
      <c r="AA1019" s="3"/>
      <c r="AB1019" s="3"/>
      <c r="AC1019" s="3"/>
      <c r="AD1019" s="3"/>
      <c r="AE1019" s="3"/>
      <c r="AF1019" s="3"/>
    </row>
    <row r="1020" ht="15.75" customHeight="1">
      <c r="J1020" s="15"/>
      <c r="K1020" s="188"/>
      <c r="L1020" s="15"/>
      <c r="M1020" s="15"/>
      <c r="N1020" s="15"/>
      <c r="O1020" s="15"/>
      <c r="P1020" s="15"/>
      <c r="Q1020" s="15"/>
      <c r="R1020" s="15"/>
      <c r="S1020" s="15"/>
      <c r="T1020" s="15"/>
      <c r="U1020" s="15"/>
      <c r="V1020" s="15"/>
      <c r="W1020" s="15"/>
      <c r="X1020" s="14"/>
      <c r="Y1020" s="14"/>
      <c r="Z1020" s="15"/>
      <c r="AA1020" s="3"/>
      <c r="AB1020" s="3"/>
      <c r="AC1020" s="3"/>
      <c r="AD1020" s="3"/>
      <c r="AE1020" s="3"/>
      <c r="AF1020" s="3"/>
    </row>
    <row r="1021" ht="15.75" customHeight="1">
      <c r="J1021" s="15"/>
      <c r="K1021" s="188"/>
      <c r="L1021" s="15"/>
      <c r="M1021" s="15"/>
      <c r="N1021" s="15"/>
      <c r="O1021" s="15"/>
      <c r="P1021" s="15"/>
      <c r="Q1021" s="15"/>
      <c r="R1021" s="15"/>
      <c r="S1021" s="15"/>
      <c r="T1021" s="15"/>
      <c r="U1021" s="15"/>
      <c r="V1021" s="15"/>
      <c r="W1021" s="15"/>
      <c r="X1021" s="14"/>
      <c r="Y1021" s="14"/>
      <c r="Z1021" s="15"/>
      <c r="AA1021" s="3"/>
      <c r="AB1021" s="3"/>
      <c r="AC1021" s="3"/>
      <c r="AD1021" s="3"/>
      <c r="AE1021" s="3"/>
      <c r="AF1021" s="3"/>
    </row>
    <row r="1022" ht="15.75" customHeight="1">
      <c r="J1022" s="15"/>
      <c r="K1022" s="188"/>
      <c r="L1022" s="15"/>
      <c r="M1022" s="15"/>
      <c r="N1022" s="15"/>
      <c r="O1022" s="15"/>
      <c r="P1022" s="15"/>
      <c r="Q1022" s="15"/>
      <c r="R1022" s="15"/>
      <c r="S1022" s="15"/>
      <c r="T1022" s="15"/>
      <c r="U1022" s="15"/>
      <c r="V1022" s="15"/>
      <c r="W1022" s="15"/>
      <c r="X1022" s="14"/>
      <c r="Y1022" s="14"/>
      <c r="Z1022" s="15"/>
      <c r="AA1022" s="3"/>
      <c r="AB1022" s="3"/>
      <c r="AC1022" s="3"/>
      <c r="AD1022" s="3"/>
      <c r="AE1022" s="3"/>
      <c r="AF1022" s="3"/>
    </row>
    <row r="1023" ht="15.75" customHeight="1">
      <c r="J1023" s="15"/>
      <c r="K1023" s="188"/>
      <c r="L1023" s="15"/>
      <c r="M1023" s="15"/>
      <c r="N1023" s="15"/>
      <c r="O1023" s="15"/>
      <c r="P1023" s="15"/>
      <c r="Q1023" s="15"/>
      <c r="R1023" s="15"/>
      <c r="S1023" s="15"/>
      <c r="T1023" s="15"/>
      <c r="U1023" s="15"/>
      <c r="V1023" s="15"/>
      <c r="W1023" s="15"/>
      <c r="X1023" s="14"/>
      <c r="Y1023" s="14"/>
      <c r="Z1023" s="15"/>
      <c r="AA1023" s="3"/>
      <c r="AB1023" s="3"/>
      <c r="AC1023" s="3"/>
      <c r="AD1023" s="3"/>
      <c r="AE1023" s="3"/>
      <c r="AF1023" s="3"/>
    </row>
    <row r="1024" ht="15.75" customHeight="1">
      <c r="J1024" s="15"/>
      <c r="K1024" s="188"/>
      <c r="L1024" s="15"/>
      <c r="M1024" s="15"/>
      <c r="N1024" s="15"/>
      <c r="O1024" s="15"/>
      <c r="P1024" s="15"/>
      <c r="Q1024" s="15"/>
      <c r="R1024" s="15"/>
      <c r="S1024" s="15"/>
      <c r="T1024" s="15"/>
      <c r="U1024" s="15"/>
      <c r="V1024" s="15"/>
      <c r="W1024" s="15"/>
      <c r="X1024" s="14"/>
      <c r="Y1024" s="14"/>
      <c r="Z1024" s="15"/>
      <c r="AA1024" s="3"/>
      <c r="AB1024" s="3"/>
      <c r="AC1024" s="3"/>
      <c r="AD1024" s="3"/>
      <c r="AE1024" s="3"/>
      <c r="AF1024" s="3"/>
    </row>
    <row r="1025" ht="15.75" customHeight="1">
      <c r="J1025" s="15"/>
      <c r="K1025" s="188"/>
      <c r="L1025" s="15"/>
      <c r="M1025" s="15"/>
      <c r="N1025" s="15"/>
      <c r="O1025" s="15"/>
      <c r="P1025" s="15"/>
      <c r="Q1025" s="15"/>
      <c r="R1025" s="15"/>
      <c r="S1025" s="15"/>
      <c r="T1025" s="15"/>
      <c r="U1025" s="15"/>
      <c r="V1025" s="15"/>
      <c r="W1025" s="15"/>
      <c r="X1025" s="14"/>
      <c r="Y1025" s="14"/>
      <c r="Z1025" s="15"/>
      <c r="AA1025" s="3"/>
      <c r="AB1025" s="3"/>
      <c r="AC1025" s="3"/>
      <c r="AD1025" s="3"/>
      <c r="AE1025" s="3"/>
      <c r="AF1025" s="3"/>
    </row>
    <row r="1026" ht="15.75" customHeight="1">
      <c r="J1026" s="15"/>
      <c r="K1026" s="188"/>
      <c r="L1026" s="15"/>
      <c r="M1026" s="15"/>
      <c r="N1026" s="15"/>
      <c r="O1026" s="15"/>
      <c r="P1026" s="15"/>
      <c r="Q1026" s="15"/>
      <c r="R1026" s="15"/>
      <c r="S1026" s="15"/>
      <c r="T1026" s="15"/>
      <c r="U1026" s="15"/>
      <c r="V1026" s="15"/>
      <c r="W1026" s="15"/>
      <c r="X1026" s="14"/>
      <c r="Y1026" s="14"/>
      <c r="Z1026" s="15"/>
      <c r="AA1026" s="3"/>
      <c r="AB1026" s="3"/>
      <c r="AC1026" s="3"/>
      <c r="AD1026" s="3"/>
      <c r="AE1026" s="3"/>
      <c r="AF1026" s="3"/>
    </row>
    <row r="1027" ht="15.0" customHeight="1">
      <c r="J1027" s="15"/>
      <c r="K1027" s="188"/>
      <c r="L1027" s="15"/>
      <c r="M1027" s="15"/>
      <c r="N1027" s="15"/>
      <c r="O1027" s="15"/>
      <c r="P1027" s="15"/>
      <c r="Q1027" s="15"/>
      <c r="R1027" s="15"/>
      <c r="S1027" s="15"/>
      <c r="T1027" s="15"/>
      <c r="U1027" s="15"/>
      <c r="V1027" s="15"/>
      <c r="W1027" s="15"/>
      <c r="X1027" s="14"/>
      <c r="Y1027" s="14"/>
      <c r="Z1027" s="15"/>
    </row>
    <row r="1028" ht="15.0" customHeight="1">
      <c r="J1028" s="15"/>
      <c r="K1028" s="188"/>
      <c r="L1028" s="15"/>
      <c r="M1028" s="15"/>
      <c r="N1028" s="15"/>
      <c r="O1028" s="15"/>
      <c r="P1028" s="15"/>
      <c r="Q1028" s="15"/>
      <c r="R1028" s="15"/>
      <c r="S1028" s="15"/>
      <c r="T1028" s="15"/>
      <c r="U1028" s="15"/>
      <c r="V1028" s="15"/>
      <c r="W1028" s="15"/>
      <c r="X1028" s="14"/>
      <c r="Y1028" s="14"/>
      <c r="Z1028" s="15"/>
    </row>
    <row r="1029" ht="15.0" customHeight="1">
      <c r="J1029" s="15"/>
      <c r="K1029" s="188"/>
      <c r="L1029" s="15"/>
      <c r="M1029" s="15"/>
      <c r="N1029" s="15"/>
      <c r="O1029" s="15"/>
      <c r="P1029" s="15"/>
      <c r="Q1029" s="15"/>
      <c r="R1029" s="15"/>
      <c r="S1029" s="15"/>
      <c r="T1029" s="15"/>
      <c r="U1029" s="15"/>
      <c r="V1029" s="15"/>
      <c r="W1029" s="15"/>
      <c r="X1029" s="14"/>
      <c r="Y1029" s="14"/>
      <c r="Z1029" s="15"/>
    </row>
    <row r="1030" ht="15.0" customHeight="1">
      <c r="J1030" s="15"/>
      <c r="K1030" s="188"/>
      <c r="L1030" s="15"/>
      <c r="M1030" s="15"/>
      <c r="N1030" s="15"/>
      <c r="O1030" s="15"/>
      <c r="P1030" s="15"/>
      <c r="Q1030" s="15"/>
      <c r="R1030" s="15"/>
      <c r="S1030" s="15"/>
      <c r="T1030" s="15"/>
      <c r="U1030" s="15"/>
      <c r="V1030" s="15"/>
      <c r="W1030" s="15"/>
      <c r="X1030" s="14"/>
      <c r="Y1030" s="14"/>
      <c r="Z1030" s="15"/>
    </row>
    <row r="1031" ht="15.0" customHeight="1">
      <c r="J1031" s="15"/>
      <c r="K1031" s="188"/>
      <c r="L1031" s="15"/>
      <c r="M1031" s="15"/>
      <c r="N1031" s="15"/>
      <c r="O1031" s="15"/>
      <c r="P1031" s="15"/>
      <c r="Q1031" s="15"/>
      <c r="R1031" s="15"/>
      <c r="S1031" s="15"/>
      <c r="T1031" s="15"/>
      <c r="U1031" s="15"/>
      <c r="V1031" s="15"/>
      <c r="W1031" s="15"/>
      <c r="X1031" s="14"/>
      <c r="Y1031" s="14"/>
      <c r="Z1031" s="15"/>
    </row>
  </sheetData>
  <mergeCells count="1">
    <mergeCell ref="G1:I1"/>
  </mergeCells>
  <conditionalFormatting sqref="U4">
    <cfRule type="expression" dxfId="0" priority="1">
      <formula>U4&lt;T4</formula>
    </cfRule>
  </conditionalFormatting>
  <conditionalFormatting sqref="U4">
    <cfRule type="expression" dxfId="1" priority="2">
      <formula>U4&gt;=T4</formula>
    </cfRule>
  </conditionalFormatting>
  <conditionalFormatting sqref="Y4">
    <cfRule type="expression" dxfId="0" priority="3">
      <formula>Y4&lt;X4</formula>
    </cfRule>
  </conditionalFormatting>
  <conditionalFormatting sqref="Y4">
    <cfRule type="expression" dxfId="1" priority="4">
      <formula>Y4&gt;=X4</formula>
    </cfRule>
  </conditionalFormatting>
  <conditionalFormatting sqref="AC4">
    <cfRule type="expression" dxfId="0" priority="5">
      <formula>AC4&lt;AB4</formula>
    </cfRule>
  </conditionalFormatting>
  <conditionalFormatting sqref="AC4">
    <cfRule type="expression" dxfId="1" priority="6">
      <formula>AC4&gt;=AB4</formula>
    </cfRule>
  </conditionalFormatting>
  <conditionalFormatting sqref="AG4">
    <cfRule type="expression" dxfId="0" priority="7">
      <formula>AG4&lt;AF4</formula>
    </cfRule>
  </conditionalFormatting>
  <conditionalFormatting sqref="AG4">
    <cfRule type="expression" dxfId="1" priority="8">
      <formula>AG4&gt;=AF4</formula>
    </cfRule>
  </conditionalFormatting>
  <conditionalFormatting sqref="AK4">
    <cfRule type="expression" dxfId="0" priority="9">
      <formula>AK4&lt;AJ4</formula>
    </cfRule>
  </conditionalFormatting>
  <conditionalFormatting sqref="AK4">
    <cfRule type="expression" dxfId="1" priority="10">
      <formula>AK4&gt;=AJ4</formula>
    </cfRule>
  </conditionalFormatting>
  <conditionalFormatting sqref="AO4">
    <cfRule type="expression" dxfId="0" priority="11">
      <formula>AO4&lt;AN4</formula>
    </cfRule>
  </conditionalFormatting>
  <conditionalFormatting sqref="AO4">
    <cfRule type="expression" dxfId="1" priority="12">
      <formula>AO4&gt;=AN4</formula>
    </cfRule>
  </conditionalFormatting>
  <conditionalFormatting sqref="AS4">
    <cfRule type="expression" dxfId="0" priority="13">
      <formula>AS4&lt;AR4</formula>
    </cfRule>
  </conditionalFormatting>
  <conditionalFormatting sqref="AS4">
    <cfRule type="expression" dxfId="1" priority="14">
      <formula>AS4&gt;=AR4</formula>
    </cfRule>
  </conditionalFormatting>
  <conditionalFormatting sqref="AW4">
    <cfRule type="expression" dxfId="0" priority="15">
      <formula>AW4&lt;AV4</formula>
    </cfRule>
  </conditionalFormatting>
  <conditionalFormatting sqref="AW4">
    <cfRule type="expression" dxfId="1" priority="16">
      <formula>AW4&gt;=AV4</formula>
    </cfRule>
  </conditionalFormatting>
  <conditionalFormatting sqref="BA4">
    <cfRule type="expression" dxfId="0" priority="17">
      <formula>BA4&lt;AZ4</formula>
    </cfRule>
  </conditionalFormatting>
  <conditionalFormatting sqref="BA4">
    <cfRule type="expression" dxfId="1" priority="18">
      <formula>BA4&gt;=AZ4</formula>
    </cfRule>
  </conditionalFormatting>
  <conditionalFormatting sqref="BE4">
    <cfRule type="expression" dxfId="0" priority="19">
      <formula>BE4&lt;BD4</formula>
    </cfRule>
  </conditionalFormatting>
  <conditionalFormatting sqref="BE4">
    <cfRule type="expression" dxfId="1" priority="20">
      <formula>BE4&gt;=BD4</formula>
    </cfRule>
  </conditionalFormatting>
  <conditionalFormatting sqref="AC11">
    <cfRule type="expression" dxfId="0" priority="21">
      <formula>AC11&lt;AB11</formula>
    </cfRule>
  </conditionalFormatting>
  <conditionalFormatting sqref="AC11">
    <cfRule type="expression" dxfId="1" priority="22">
      <formula>AC11&gt;=AB11</formula>
    </cfRule>
  </conditionalFormatting>
  <conditionalFormatting sqref="AG11">
    <cfRule type="expression" dxfId="0" priority="23">
      <formula>AG11&lt;AF11</formula>
    </cfRule>
  </conditionalFormatting>
  <conditionalFormatting sqref="AG11">
    <cfRule type="expression" dxfId="1" priority="24">
      <formula>AG11&gt;=AF11</formula>
    </cfRule>
  </conditionalFormatting>
  <conditionalFormatting sqref="AK11">
    <cfRule type="expression" dxfId="0" priority="25">
      <formula>AK11&lt;AJ11</formula>
    </cfRule>
  </conditionalFormatting>
  <conditionalFormatting sqref="AK11">
    <cfRule type="expression" dxfId="1" priority="26">
      <formula>AK11&gt;=AJ11</formula>
    </cfRule>
  </conditionalFormatting>
  <conditionalFormatting sqref="AO11">
    <cfRule type="expression" dxfId="0" priority="27">
      <formula>AO11&lt;AN11</formula>
    </cfRule>
  </conditionalFormatting>
  <conditionalFormatting sqref="AO11">
    <cfRule type="expression" dxfId="1" priority="28">
      <formula>AO11&gt;=AN11</formula>
    </cfRule>
  </conditionalFormatting>
  <conditionalFormatting sqref="AS11">
    <cfRule type="expression" dxfId="0" priority="29">
      <formula>AS11&lt;AR11</formula>
    </cfRule>
  </conditionalFormatting>
  <conditionalFormatting sqref="AS11">
    <cfRule type="expression" dxfId="1" priority="30">
      <formula>AS11&gt;=AR11</formula>
    </cfRule>
  </conditionalFormatting>
  <conditionalFormatting sqref="AW11">
    <cfRule type="expression" dxfId="0" priority="31">
      <formula>AW11&lt;AV11</formula>
    </cfRule>
  </conditionalFormatting>
  <conditionalFormatting sqref="AW11">
    <cfRule type="expression" dxfId="1" priority="32">
      <formula>AW11&gt;=AV11</formula>
    </cfRule>
  </conditionalFormatting>
  <conditionalFormatting sqref="BA11">
    <cfRule type="expression" dxfId="0" priority="33">
      <formula>BA11&lt;AZ11</formula>
    </cfRule>
  </conditionalFormatting>
  <conditionalFormatting sqref="BA11">
    <cfRule type="expression" dxfId="1" priority="34">
      <formula>BA11&gt;=AZ11</formula>
    </cfRule>
  </conditionalFormatting>
  <conditionalFormatting sqref="BE11">
    <cfRule type="expression" dxfId="0" priority="35">
      <formula>BE11&lt;BD11</formula>
    </cfRule>
  </conditionalFormatting>
  <conditionalFormatting sqref="BE11">
    <cfRule type="expression" dxfId="1" priority="36">
      <formula>BE11&gt;=BD11</formula>
    </cfRule>
  </conditionalFormatting>
  <conditionalFormatting sqref="BE18">
    <cfRule type="expression" dxfId="0" priority="37">
      <formula>BE18&lt;BD18</formula>
    </cfRule>
  </conditionalFormatting>
  <conditionalFormatting sqref="BE18">
    <cfRule type="expression" dxfId="1" priority="38">
      <formula>BE18&gt;=BD18</formula>
    </cfRule>
  </conditionalFormatting>
  <conditionalFormatting sqref="BA18">
    <cfRule type="expression" dxfId="0" priority="39">
      <formula>BA18&lt;AZ18</formula>
    </cfRule>
  </conditionalFormatting>
  <conditionalFormatting sqref="BA18">
    <cfRule type="expression" dxfId="1" priority="40">
      <formula>BA18&gt;=AZ18</formula>
    </cfRule>
  </conditionalFormatting>
  <conditionalFormatting sqref="AW18">
    <cfRule type="expression" dxfId="0" priority="41">
      <formula>AW18&lt;AV18</formula>
    </cfRule>
  </conditionalFormatting>
  <conditionalFormatting sqref="AW18">
    <cfRule type="expression" dxfId="1" priority="42">
      <formula>AW18&gt;=AV18</formula>
    </cfRule>
  </conditionalFormatting>
  <conditionalFormatting sqref="AS18">
    <cfRule type="expression" dxfId="0" priority="43">
      <formula>AS18&lt;AR18</formula>
    </cfRule>
  </conditionalFormatting>
  <conditionalFormatting sqref="AS18">
    <cfRule type="expression" dxfId="1" priority="44">
      <formula>AS18&gt;=AR18</formula>
    </cfRule>
  </conditionalFormatting>
  <conditionalFormatting sqref="AO18">
    <cfRule type="expression" dxfId="0" priority="45">
      <formula>AO18&lt;AN18</formula>
    </cfRule>
  </conditionalFormatting>
  <conditionalFormatting sqref="AO18">
    <cfRule type="expression" dxfId="1" priority="46">
      <formula>AO18&gt;=AN18</formula>
    </cfRule>
  </conditionalFormatting>
  <conditionalFormatting sqref="AK18">
    <cfRule type="expression" dxfId="0" priority="47">
      <formula>AK18&lt;AJ18</formula>
    </cfRule>
  </conditionalFormatting>
  <conditionalFormatting sqref="AK18">
    <cfRule type="expression" dxfId="1" priority="48">
      <formula>AK18&gt;=AJ18</formula>
    </cfRule>
  </conditionalFormatting>
  <conditionalFormatting sqref="AG18">
    <cfRule type="expression" dxfId="0" priority="49">
      <formula>AG18&lt;AF18</formula>
    </cfRule>
  </conditionalFormatting>
  <conditionalFormatting sqref="AG18">
    <cfRule type="expression" dxfId="1" priority="50">
      <formula>AG18&gt;=AF18</formula>
    </cfRule>
  </conditionalFormatting>
  <conditionalFormatting sqref="AC18">
    <cfRule type="expression" dxfId="0" priority="51">
      <formula>AC18&lt;AB18</formula>
    </cfRule>
  </conditionalFormatting>
  <conditionalFormatting sqref="AC18">
    <cfRule type="expression" dxfId="1" priority="52">
      <formula>AC18&gt;=AB18</formula>
    </cfRule>
  </conditionalFormatting>
  <conditionalFormatting sqref="U25">
    <cfRule type="expression" dxfId="0" priority="53">
      <formula>U25&lt;T25</formula>
    </cfRule>
  </conditionalFormatting>
  <conditionalFormatting sqref="U25">
    <cfRule type="expression" dxfId="1" priority="54">
      <formula>U25&gt;=T25</formula>
    </cfRule>
  </conditionalFormatting>
  <conditionalFormatting sqref="Y25">
    <cfRule type="expression" dxfId="0" priority="55">
      <formula>Y25&lt;X25</formula>
    </cfRule>
  </conditionalFormatting>
  <conditionalFormatting sqref="Y25">
    <cfRule type="expression" dxfId="1" priority="56">
      <formula>Y25&gt;=X25</formula>
    </cfRule>
  </conditionalFormatting>
  <conditionalFormatting sqref="AC25">
    <cfRule type="expression" dxfId="0" priority="57">
      <formula>AC25&lt;AB25</formula>
    </cfRule>
  </conditionalFormatting>
  <conditionalFormatting sqref="AC25">
    <cfRule type="expression" dxfId="1" priority="58">
      <formula>AC25&gt;=AB25</formula>
    </cfRule>
  </conditionalFormatting>
  <conditionalFormatting sqref="AG25">
    <cfRule type="expression" dxfId="0" priority="59">
      <formula>AG25&lt;AF25</formula>
    </cfRule>
  </conditionalFormatting>
  <conditionalFormatting sqref="AG25">
    <cfRule type="expression" dxfId="1" priority="60">
      <formula>AG25&gt;=AF25</formula>
    </cfRule>
  </conditionalFormatting>
  <conditionalFormatting sqref="AK25">
    <cfRule type="expression" dxfId="0" priority="61">
      <formula>AK25&lt;AJ25</formula>
    </cfRule>
  </conditionalFormatting>
  <conditionalFormatting sqref="AK25">
    <cfRule type="expression" dxfId="1" priority="62">
      <formula>AK25&gt;=AJ25</formula>
    </cfRule>
  </conditionalFormatting>
  <conditionalFormatting sqref="AO25">
    <cfRule type="expression" dxfId="0" priority="63">
      <formula>AO25&lt;AN25</formula>
    </cfRule>
  </conditionalFormatting>
  <conditionalFormatting sqref="AO25">
    <cfRule type="expression" dxfId="1" priority="64">
      <formula>AO25&gt;=AN25</formula>
    </cfRule>
  </conditionalFormatting>
  <conditionalFormatting sqref="AS25">
    <cfRule type="expression" dxfId="0" priority="65">
      <formula>AS25&lt;AR25</formula>
    </cfRule>
  </conditionalFormatting>
  <conditionalFormatting sqref="AS25">
    <cfRule type="expression" dxfId="1" priority="66">
      <formula>AS25&gt;=AR25</formula>
    </cfRule>
  </conditionalFormatting>
  <conditionalFormatting sqref="AW25">
    <cfRule type="expression" dxfId="0" priority="67">
      <formula>AW25&lt;AV25</formula>
    </cfRule>
  </conditionalFormatting>
  <conditionalFormatting sqref="AW25">
    <cfRule type="expression" dxfId="1" priority="68">
      <formula>AW25&gt;=AV25</formula>
    </cfRule>
  </conditionalFormatting>
  <conditionalFormatting sqref="BA25">
    <cfRule type="expression" dxfId="0" priority="69">
      <formula>BA25&lt;AZ25</formula>
    </cfRule>
  </conditionalFormatting>
  <conditionalFormatting sqref="BA25">
    <cfRule type="expression" dxfId="1" priority="70">
      <formula>BA25&gt;=AZ25</formula>
    </cfRule>
  </conditionalFormatting>
  <conditionalFormatting sqref="BE25">
    <cfRule type="expression" dxfId="0" priority="71">
      <formula>BE25&lt;BD25</formula>
    </cfRule>
  </conditionalFormatting>
  <conditionalFormatting sqref="BE25">
    <cfRule type="expression" dxfId="1" priority="72">
      <formula>BE25&gt;=BD25</formula>
    </cfRule>
  </conditionalFormatting>
  <conditionalFormatting sqref="BE32">
    <cfRule type="expression" dxfId="0" priority="73">
      <formula>BE32&lt;BD32</formula>
    </cfRule>
  </conditionalFormatting>
  <conditionalFormatting sqref="BE32">
    <cfRule type="expression" dxfId="1" priority="74">
      <formula>BE32&gt;=BD32</formula>
    </cfRule>
  </conditionalFormatting>
  <conditionalFormatting sqref="BA32">
    <cfRule type="expression" dxfId="0" priority="75">
      <formula>BA32&lt;AZ32</formula>
    </cfRule>
  </conditionalFormatting>
  <conditionalFormatting sqref="BA32">
    <cfRule type="expression" dxfId="1" priority="76">
      <formula>BA32&gt;=AZ32</formula>
    </cfRule>
  </conditionalFormatting>
  <conditionalFormatting sqref="AW32">
    <cfRule type="expression" dxfId="0" priority="77">
      <formula>AW32&lt;AV32</formula>
    </cfRule>
  </conditionalFormatting>
  <conditionalFormatting sqref="AW32">
    <cfRule type="expression" dxfId="1" priority="78">
      <formula>AW32&gt;=AV32</formula>
    </cfRule>
  </conditionalFormatting>
  <conditionalFormatting sqref="AS32">
    <cfRule type="expression" dxfId="0" priority="79">
      <formula>AS32&lt;AR32</formula>
    </cfRule>
  </conditionalFormatting>
  <conditionalFormatting sqref="AS32">
    <cfRule type="expression" dxfId="1" priority="80">
      <formula>AS32&gt;=AR32</formula>
    </cfRule>
  </conditionalFormatting>
  <conditionalFormatting sqref="AO32">
    <cfRule type="expression" dxfId="0" priority="81">
      <formula>AO32&lt;AN32</formula>
    </cfRule>
  </conditionalFormatting>
  <conditionalFormatting sqref="AO32">
    <cfRule type="expression" dxfId="1" priority="82">
      <formula>AO32&gt;=AN32</formula>
    </cfRule>
  </conditionalFormatting>
  <conditionalFormatting sqref="AK32">
    <cfRule type="expression" dxfId="0" priority="83">
      <formula>AK32&lt;AJ32</formula>
    </cfRule>
  </conditionalFormatting>
  <conditionalFormatting sqref="AK32">
    <cfRule type="expression" dxfId="1" priority="84">
      <formula>AK32&gt;=AJ32</formula>
    </cfRule>
  </conditionalFormatting>
  <conditionalFormatting sqref="AG32">
    <cfRule type="expression" dxfId="0" priority="85">
      <formula>AG32&lt;AF32</formula>
    </cfRule>
  </conditionalFormatting>
  <conditionalFormatting sqref="AG32">
    <cfRule type="expression" dxfId="1" priority="86">
      <formula>AG32&gt;=AF32</formula>
    </cfRule>
  </conditionalFormatting>
  <conditionalFormatting sqref="AC32">
    <cfRule type="expression" dxfId="0" priority="87">
      <formula>AC32&lt;AB32</formula>
    </cfRule>
  </conditionalFormatting>
  <conditionalFormatting sqref="AC32">
    <cfRule type="expression" dxfId="1" priority="88">
      <formula>AC32&gt;=AB32</formula>
    </cfRule>
  </conditionalFormatting>
  <conditionalFormatting sqref="U39">
    <cfRule type="expression" dxfId="0" priority="89">
      <formula>U39&lt;T39</formula>
    </cfRule>
  </conditionalFormatting>
  <conditionalFormatting sqref="U39">
    <cfRule type="expression" dxfId="1" priority="90">
      <formula>U39&gt;=T39</formula>
    </cfRule>
  </conditionalFormatting>
  <conditionalFormatting sqref="Y39">
    <cfRule type="expression" dxfId="0" priority="91">
      <formula>Y39&lt;X39</formula>
    </cfRule>
  </conditionalFormatting>
  <conditionalFormatting sqref="Y39">
    <cfRule type="expression" dxfId="1" priority="92">
      <formula>Y39&gt;=X39</formula>
    </cfRule>
  </conditionalFormatting>
  <conditionalFormatting sqref="AC39">
    <cfRule type="expression" dxfId="0" priority="93">
      <formula>AC39&lt;AB39</formula>
    </cfRule>
  </conditionalFormatting>
  <conditionalFormatting sqref="AC39">
    <cfRule type="expression" dxfId="1" priority="94">
      <formula>AC39&gt;=AB39</formula>
    </cfRule>
  </conditionalFormatting>
  <conditionalFormatting sqref="AG39">
    <cfRule type="expression" dxfId="0" priority="95">
      <formula>AG39&lt;AF39</formula>
    </cfRule>
  </conditionalFormatting>
  <conditionalFormatting sqref="AG39">
    <cfRule type="expression" dxfId="1" priority="96">
      <formula>AG39&gt;=AF39</formula>
    </cfRule>
  </conditionalFormatting>
  <conditionalFormatting sqref="AK39">
    <cfRule type="expression" dxfId="0" priority="97">
      <formula>AK39&lt;AJ39</formula>
    </cfRule>
  </conditionalFormatting>
  <conditionalFormatting sqref="AK39">
    <cfRule type="expression" dxfId="1" priority="98">
      <formula>AK39&gt;=AJ39</formula>
    </cfRule>
  </conditionalFormatting>
  <conditionalFormatting sqref="Y46">
    <cfRule type="expression" dxfId="0" priority="99">
      <formula>Y46&lt;X46</formula>
    </cfRule>
  </conditionalFormatting>
  <conditionalFormatting sqref="Y46">
    <cfRule type="expression" dxfId="1" priority="100">
      <formula>Y46&gt;=X46</formula>
    </cfRule>
  </conditionalFormatting>
  <conditionalFormatting sqref="AC46">
    <cfRule type="expression" dxfId="0" priority="101">
      <formula>AC46&lt;AB46</formula>
    </cfRule>
  </conditionalFormatting>
  <conditionalFormatting sqref="AC46">
    <cfRule type="expression" dxfId="1" priority="102">
      <formula>AC46&gt;=AB46</formula>
    </cfRule>
  </conditionalFormatting>
  <conditionalFormatting sqref="AG46">
    <cfRule type="expression" dxfId="0" priority="103">
      <formula>AG46&lt;AF46</formula>
    </cfRule>
  </conditionalFormatting>
  <conditionalFormatting sqref="AG46">
    <cfRule type="expression" dxfId="1" priority="104">
      <formula>AG46&gt;=AF46</formula>
    </cfRule>
  </conditionalFormatting>
  <conditionalFormatting sqref="AK46">
    <cfRule type="expression" dxfId="0" priority="105">
      <formula>AK46&lt;AJ46</formula>
    </cfRule>
  </conditionalFormatting>
  <conditionalFormatting sqref="AK46">
    <cfRule type="expression" dxfId="1" priority="106">
      <formula>AK46&gt;=AJ46</formula>
    </cfRule>
  </conditionalFormatting>
  <conditionalFormatting sqref="Y53">
    <cfRule type="expression" dxfId="0" priority="107">
      <formula>Y53&lt;X53</formula>
    </cfRule>
  </conditionalFormatting>
  <conditionalFormatting sqref="Y53">
    <cfRule type="expression" dxfId="1" priority="108">
      <formula>Y53&gt;=X53</formula>
    </cfRule>
  </conditionalFormatting>
  <conditionalFormatting sqref="AC53">
    <cfRule type="expression" dxfId="0" priority="109">
      <formula>AC53&lt;AB53</formula>
    </cfRule>
  </conditionalFormatting>
  <conditionalFormatting sqref="AC53">
    <cfRule type="expression" dxfId="1" priority="110">
      <formula>AC53&gt;=AB53</formula>
    </cfRule>
  </conditionalFormatting>
  <conditionalFormatting sqref="AG53">
    <cfRule type="expression" dxfId="0" priority="111">
      <formula>AG53&lt;AF53</formula>
    </cfRule>
  </conditionalFormatting>
  <conditionalFormatting sqref="AG53">
    <cfRule type="expression" dxfId="1" priority="112">
      <formula>AG53&gt;=AF53</formula>
    </cfRule>
  </conditionalFormatting>
  <conditionalFormatting sqref="AK53">
    <cfRule type="expression" dxfId="0" priority="113">
      <formula>AK53&lt;AJ53</formula>
    </cfRule>
  </conditionalFormatting>
  <conditionalFormatting sqref="AK53">
    <cfRule type="expression" dxfId="1" priority="114">
      <formula>AK53&gt;=AJ53</formula>
    </cfRule>
  </conditionalFormatting>
  <conditionalFormatting sqref="U53">
    <cfRule type="expression" dxfId="0" priority="115">
      <formula>U53&lt;T53</formula>
    </cfRule>
  </conditionalFormatting>
  <conditionalFormatting sqref="U53">
    <cfRule type="expression" dxfId="1" priority="116">
      <formula>U53&gt;=T53</formula>
    </cfRule>
  </conditionalFormatting>
  <conditionalFormatting sqref="AC60">
    <cfRule type="expression" dxfId="0" priority="117">
      <formula>AC60&lt;AB60</formula>
    </cfRule>
  </conditionalFormatting>
  <conditionalFormatting sqref="AC60">
    <cfRule type="expression" dxfId="1" priority="118">
      <formula>AC60&gt;=AB60</formula>
    </cfRule>
  </conditionalFormatting>
  <conditionalFormatting sqref="AG60">
    <cfRule type="expression" dxfId="0" priority="119">
      <formula>AG60&lt;AF60</formula>
    </cfRule>
  </conditionalFormatting>
  <conditionalFormatting sqref="AG60">
    <cfRule type="expression" dxfId="1" priority="120">
      <formula>AG60&gt;=AF60</formula>
    </cfRule>
  </conditionalFormatting>
  <conditionalFormatting sqref="AK60">
    <cfRule type="expression" dxfId="0" priority="121">
      <formula>AK60&lt;AJ60</formula>
    </cfRule>
  </conditionalFormatting>
  <conditionalFormatting sqref="AK60">
    <cfRule type="expression" dxfId="1" priority="122">
      <formula>AK60&gt;=AJ60</formula>
    </cfRule>
  </conditionalFormatting>
  <conditionalFormatting sqref="AO60">
    <cfRule type="expression" dxfId="0" priority="123">
      <formula>AO60&lt;AN60</formula>
    </cfRule>
  </conditionalFormatting>
  <conditionalFormatting sqref="AO60">
    <cfRule type="expression" dxfId="1" priority="124">
      <formula>AO60&gt;=AN60</formula>
    </cfRule>
  </conditionalFormatting>
  <conditionalFormatting sqref="AO53">
    <cfRule type="expression" dxfId="0" priority="125">
      <formula>AO53&lt;AN53</formula>
    </cfRule>
  </conditionalFormatting>
  <conditionalFormatting sqref="AO53">
    <cfRule type="expression" dxfId="1" priority="126">
      <formula>AO53&gt;=AN53</formula>
    </cfRule>
  </conditionalFormatting>
  <conditionalFormatting sqref="AO46">
    <cfRule type="expression" dxfId="0" priority="127">
      <formula>AO46&lt;AN46</formula>
    </cfRule>
  </conditionalFormatting>
  <conditionalFormatting sqref="AO46">
    <cfRule type="expression" dxfId="1" priority="128">
      <formula>AO46&gt;=AN46</formula>
    </cfRule>
  </conditionalFormatting>
  <conditionalFormatting sqref="AO39">
    <cfRule type="expression" dxfId="0" priority="129">
      <formula>AO39&lt;AN39</formula>
    </cfRule>
  </conditionalFormatting>
  <conditionalFormatting sqref="AO39">
    <cfRule type="expression" dxfId="1" priority="130">
      <formula>AO39&gt;=AN39</formula>
    </cfRule>
  </conditionalFormatting>
  <conditionalFormatting sqref="U60">
    <cfRule type="expression" dxfId="0" priority="131">
      <formula>U60&lt;T60</formula>
    </cfRule>
  </conditionalFormatting>
  <conditionalFormatting sqref="U60">
    <cfRule type="expression" dxfId="1" priority="132">
      <formula>U60&gt;=T60</formula>
    </cfRule>
  </conditionalFormatting>
  <conditionalFormatting sqref="Y60">
    <cfRule type="expression" dxfId="0" priority="133">
      <formula>Y60&lt;X60</formula>
    </cfRule>
  </conditionalFormatting>
  <conditionalFormatting sqref="Y60">
    <cfRule type="expression" dxfId="1" priority="134">
      <formula>Y60&gt;=X60</formula>
    </cfRule>
  </conditionalFormatting>
  <conditionalFormatting sqref="AS53">
    <cfRule type="expression" dxfId="0" priority="135">
      <formula>AS53&lt;AR53</formula>
    </cfRule>
  </conditionalFormatting>
  <conditionalFormatting sqref="AS53">
    <cfRule type="expression" dxfId="1" priority="136">
      <formula>AS53&gt;=AR53</formula>
    </cfRule>
  </conditionalFormatting>
  <conditionalFormatting sqref="AW53">
    <cfRule type="expression" dxfId="0" priority="137">
      <formula>AW53&lt;AV53</formula>
    </cfRule>
  </conditionalFormatting>
  <conditionalFormatting sqref="AW53">
    <cfRule type="expression" dxfId="1" priority="138">
      <formula>AW53&gt;=AV53</formula>
    </cfRule>
  </conditionalFormatting>
  <conditionalFormatting sqref="BA53">
    <cfRule type="expression" dxfId="0" priority="139">
      <formula>BA53&lt;AZ53</formula>
    </cfRule>
  </conditionalFormatting>
  <conditionalFormatting sqref="BA53">
    <cfRule type="expression" dxfId="1" priority="140">
      <formula>BA53&gt;=AZ53</formula>
    </cfRule>
  </conditionalFormatting>
  <conditionalFormatting sqref="AS46">
    <cfRule type="expression" dxfId="0" priority="141">
      <formula>AS46&lt;AR46</formula>
    </cfRule>
  </conditionalFormatting>
  <conditionalFormatting sqref="AS46">
    <cfRule type="expression" dxfId="1" priority="142">
      <formula>AS46&gt;=AR46</formula>
    </cfRule>
  </conditionalFormatting>
  <conditionalFormatting sqref="AW46">
    <cfRule type="expression" dxfId="0" priority="143">
      <formula>AW46&lt;AV46</formula>
    </cfRule>
  </conditionalFormatting>
  <conditionalFormatting sqref="AW46">
    <cfRule type="expression" dxfId="1" priority="144">
      <formula>AW46&gt;=AV46</formula>
    </cfRule>
  </conditionalFormatting>
  <conditionalFormatting sqref="BA46">
    <cfRule type="expression" dxfId="0" priority="145">
      <formula>BA46&lt;AZ46</formula>
    </cfRule>
  </conditionalFormatting>
  <conditionalFormatting sqref="BA46">
    <cfRule type="expression" dxfId="1" priority="146">
      <formula>BA46&gt;=AZ46</formula>
    </cfRule>
  </conditionalFormatting>
  <conditionalFormatting sqref="AS39">
    <cfRule type="expression" dxfId="0" priority="147">
      <formula>AS39&lt;AR39</formula>
    </cfRule>
  </conditionalFormatting>
  <conditionalFormatting sqref="AS39">
    <cfRule type="expression" dxfId="1" priority="148">
      <formula>AS39&gt;=AR39</formula>
    </cfRule>
  </conditionalFormatting>
  <conditionalFormatting sqref="AW39">
    <cfRule type="expression" dxfId="0" priority="149">
      <formula>AW39&lt;AV39</formula>
    </cfRule>
  </conditionalFormatting>
  <conditionalFormatting sqref="AW39">
    <cfRule type="expression" dxfId="1" priority="150">
      <formula>AW39&gt;=AV39</formula>
    </cfRule>
  </conditionalFormatting>
  <conditionalFormatting sqref="BA39">
    <cfRule type="expression" dxfId="0" priority="151">
      <formula>BA39&lt;AZ39</formula>
    </cfRule>
  </conditionalFormatting>
  <conditionalFormatting sqref="BA39">
    <cfRule type="expression" dxfId="1" priority="152">
      <formula>BA39&gt;=AZ39</formula>
    </cfRule>
  </conditionalFormatting>
  <conditionalFormatting sqref="BE39">
    <cfRule type="expression" dxfId="0" priority="153">
      <formula>BE39&lt;BD39</formula>
    </cfRule>
  </conditionalFormatting>
  <conditionalFormatting sqref="BE39">
    <cfRule type="expression" dxfId="1" priority="154">
      <formula>BE39&gt;=BD39</formula>
    </cfRule>
  </conditionalFormatting>
  <conditionalFormatting sqref="BE46">
    <cfRule type="expression" dxfId="0" priority="155">
      <formula>BE46&lt;BD46</formula>
    </cfRule>
  </conditionalFormatting>
  <conditionalFormatting sqref="BE46">
    <cfRule type="expression" dxfId="1" priority="156">
      <formula>BE46&gt;=BD46</formula>
    </cfRule>
  </conditionalFormatting>
  <conditionalFormatting sqref="BE53">
    <cfRule type="expression" dxfId="0" priority="157">
      <formula>BE53&lt;BD53</formula>
    </cfRule>
  </conditionalFormatting>
  <conditionalFormatting sqref="BE53">
    <cfRule type="expression" dxfId="1" priority="158">
      <formula>BE53&gt;=BD53</formula>
    </cfRule>
  </conditionalFormatting>
  <conditionalFormatting sqref="BE60">
    <cfRule type="expression" dxfId="0" priority="159">
      <formula>BE60&lt;BD60</formula>
    </cfRule>
  </conditionalFormatting>
  <conditionalFormatting sqref="BE60">
    <cfRule type="expression" dxfId="1" priority="160">
      <formula>BE60&gt;=BD60</formula>
    </cfRule>
  </conditionalFormatting>
  <conditionalFormatting sqref="BE67">
    <cfRule type="expression" dxfId="0" priority="161">
      <formula>BE67&lt;BD67</formula>
    </cfRule>
  </conditionalFormatting>
  <conditionalFormatting sqref="BE67">
    <cfRule type="expression" dxfId="1" priority="162">
      <formula>BE67&gt;=BD67</formula>
    </cfRule>
  </conditionalFormatting>
  <conditionalFormatting sqref="BE74">
    <cfRule type="expression" dxfId="0" priority="163">
      <formula>BE74&lt;BD74</formula>
    </cfRule>
  </conditionalFormatting>
  <conditionalFormatting sqref="BE74">
    <cfRule type="expression" dxfId="1" priority="164">
      <formula>BE74&gt;=BD74</formula>
    </cfRule>
  </conditionalFormatting>
  <conditionalFormatting sqref="BE81">
    <cfRule type="expression" dxfId="0" priority="165">
      <formula>BE81&lt;BD81</formula>
    </cfRule>
  </conditionalFormatting>
  <conditionalFormatting sqref="BE81">
    <cfRule type="expression" dxfId="1" priority="166">
      <formula>BE81&gt;=BD81</formula>
    </cfRule>
  </conditionalFormatting>
  <conditionalFormatting sqref="BE88">
    <cfRule type="expression" dxfId="0" priority="167">
      <formula>BE88&lt;BD88</formula>
    </cfRule>
  </conditionalFormatting>
  <conditionalFormatting sqref="BE88">
    <cfRule type="expression" dxfId="1" priority="168">
      <formula>BE88&gt;=BD88</formula>
    </cfRule>
  </conditionalFormatting>
  <conditionalFormatting sqref="BE95">
    <cfRule type="expression" dxfId="0" priority="169">
      <formula>BE95&lt;BD95</formula>
    </cfRule>
  </conditionalFormatting>
  <conditionalFormatting sqref="BE95">
    <cfRule type="expression" dxfId="1" priority="170">
      <formula>BE95&gt;=BD95</formula>
    </cfRule>
  </conditionalFormatting>
  <conditionalFormatting sqref="BE102">
    <cfRule type="expression" dxfId="0" priority="171">
      <formula>BE102&lt;BD102</formula>
    </cfRule>
  </conditionalFormatting>
  <conditionalFormatting sqref="BE102">
    <cfRule type="expression" dxfId="1" priority="172">
      <formula>BE102&gt;=BD102</formula>
    </cfRule>
  </conditionalFormatting>
  <conditionalFormatting sqref="BE109">
    <cfRule type="expression" dxfId="0" priority="173">
      <formula>BE109&lt;BD109</formula>
    </cfRule>
  </conditionalFormatting>
  <conditionalFormatting sqref="BE109">
    <cfRule type="expression" dxfId="1" priority="174">
      <formula>BE109&gt;=BD109</formula>
    </cfRule>
  </conditionalFormatting>
  <conditionalFormatting sqref="BE116">
    <cfRule type="expression" dxfId="0" priority="175">
      <formula>BE116&lt;BD116</formula>
    </cfRule>
  </conditionalFormatting>
  <conditionalFormatting sqref="BE116">
    <cfRule type="expression" dxfId="1" priority="176">
      <formula>BE116&gt;=BD116</formula>
    </cfRule>
  </conditionalFormatting>
  <conditionalFormatting sqref="BE123">
    <cfRule type="expression" dxfId="0" priority="177">
      <formula>BE123&lt;BD123</formula>
    </cfRule>
  </conditionalFormatting>
  <conditionalFormatting sqref="BE123">
    <cfRule type="expression" dxfId="1" priority="178">
      <formula>BE123&gt;=BD123</formula>
    </cfRule>
  </conditionalFormatting>
  <conditionalFormatting sqref="BA123">
    <cfRule type="expression" dxfId="0" priority="179">
      <formula>BA123&lt;AZ123</formula>
    </cfRule>
  </conditionalFormatting>
  <conditionalFormatting sqref="BA123">
    <cfRule type="expression" dxfId="1" priority="180">
      <formula>BA123&gt;=AZ123</formula>
    </cfRule>
  </conditionalFormatting>
  <conditionalFormatting sqref="BA116">
    <cfRule type="expression" dxfId="0" priority="181">
      <formula>BA116&lt;AZ116</formula>
    </cfRule>
  </conditionalFormatting>
  <conditionalFormatting sqref="BA116">
    <cfRule type="expression" dxfId="1" priority="182">
      <formula>BA116&gt;=AZ116</formula>
    </cfRule>
  </conditionalFormatting>
  <conditionalFormatting sqref="AW123">
    <cfRule type="expression" dxfId="0" priority="183">
      <formula>AW123&lt;AV123</formula>
    </cfRule>
  </conditionalFormatting>
  <conditionalFormatting sqref="AW123">
    <cfRule type="expression" dxfId="1" priority="184">
      <formula>AW123&gt;=AV123</formula>
    </cfRule>
  </conditionalFormatting>
  <conditionalFormatting sqref="AW116">
    <cfRule type="expression" dxfId="0" priority="185">
      <formula>AW116&lt;AV116</formula>
    </cfRule>
  </conditionalFormatting>
  <conditionalFormatting sqref="AW116">
    <cfRule type="expression" dxfId="1" priority="186">
      <formula>AW116&gt;=AV116</formula>
    </cfRule>
  </conditionalFormatting>
  <conditionalFormatting sqref="AW109">
    <cfRule type="expression" dxfId="0" priority="187">
      <formula>AW109&lt;AV109</formula>
    </cfRule>
  </conditionalFormatting>
  <conditionalFormatting sqref="AW109">
    <cfRule type="expression" dxfId="1" priority="188">
      <formula>AW109&gt;=AV109</formula>
    </cfRule>
  </conditionalFormatting>
  <conditionalFormatting sqref="AW102">
    <cfRule type="expression" dxfId="0" priority="189">
      <formula>AW102&lt;AV102</formula>
    </cfRule>
  </conditionalFormatting>
  <conditionalFormatting sqref="AW102">
    <cfRule type="expression" dxfId="1" priority="190">
      <formula>AW102&gt;=AV102</formula>
    </cfRule>
  </conditionalFormatting>
  <conditionalFormatting sqref="BA102">
    <cfRule type="expression" dxfId="0" priority="191">
      <formula>BA102&lt;AZ102</formula>
    </cfRule>
  </conditionalFormatting>
  <conditionalFormatting sqref="BA102">
    <cfRule type="expression" dxfId="1" priority="192">
      <formula>BA102&gt;=AZ102</formula>
    </cfRule>
  </conditionalFormatting>
  <conditionalFormatting sqref="BA109">
    <cfRule type="expression" dxfId="0" priority="193">
      <formula>BA109&lt;AZ109</formula>
    </cfRule>
  </conditionalFormatting>
  <conditionalFormatting sqref="BA109">
    <cfRule type="expression" dxfId="1" priority="194">
      <formula>BA109&gt;=AZ109</formula>
    </cfRule>
  </conditionalFormatting>
  <conditionalFormatting sqref="AW95">
    <cfRule type="expression" dxfId="0" priority="195">
      <formula>AW95&lt;AV95</formula>
    </cfRule>
  </conditionalFormatting>
  <conditionalFormatting sqref="AW95">
    <cfRule type="expression" dxfId="1" priority="196">
      <formula>AW95&gt;=AV95</formula>
    </cfRule>
  </conditionalFormatting>
  <conditionalFormatting sqref="BA95">
    <cfRule type="expression" dxfId="0" priority="197">
      <formula>BA95&lt;AZ95</formula>
    </cfRule>
  </conditionalFormatting>
  <conditionalFormatting sqref="BA95">
    <cfRule type="expression" dxfId="1" priority="198">
      <formula>BA95&gt;=AZ95</formula>
    </cfRule>
  </conditionalFormatting>
  <conditionalFormatting sqref="AW88">
    <cfRule type="expression" dxfId="0" priority="199">
      <formula>AW88&lt;AV88</formula>
    </cfRule>
  </conditionalFormatting>
  <conditionalFormatting sqref="AW88">
    <cfRule type="expression" dxfId="1" priority="200">
      <formula>AW88&gt;=AV88</formula>
    </cfRule>
  </conditionalFormatting>
  <conditionalFormatting sqref="BA88">
    <cfRule type="expression" dxfId="0" priority="201">
      <formula>BA88&lt;AZ88</formula>
    </cfRule>
  </conditionalFormatting>
  <conditionalFormatting sqref="BA88">
    <cfRule type="expression" dxfId="1" priority="202">
      <formula>BA88&gt;=AZ88</formula>
    </cfRule>
  </conditionalFormatting>
  <conditionalFormatting sqref="AW81">
    <cfRule type="expression" dxfId="0" priority="203">
      <formula>AW81&lt;AV81</formula>
    </cfRule>
  </conditionalFormatting>
  <conditionalFormatting sqref="AW81">
    <cfRule type="expression" dxfId="1" priority="204">
      <formula>AW81&gt;=AV81</formula>
    </cfRule>
  </conditionalFormatting>
  <conditionalFormatting sqref="BA81">
    <cfRule type="expression" dxfId="0" priority="205">
      <formula>BA81&lt;AZ81</formula>
    </cfRule>
  </conditionalFormatting>
  <conditionalFormatting sqref="BA81">
    <cfRule type="expression" dxfId="1" priority="206">
      <formula>BA81&gt;=AZ81</formula>
    </cfRule>
  </conditionalFormatting>
  <conditionalFormatting sqref="AW74">
    <cfRule type="expression" dxfId="0" priority="207">
      <formula>AW74&lt;AV74</formula>
    </cfRule>
  </conditionalFormatting>
  <conditionalFormatting sqref="AW74">
    <cfRule type="expression" dxfId="1" priority="208">
      <formula>AW74&gt;=AV74</formula>
    </cfRule>
  </conditionalFormatting>
  <conditionalFormatting sqref="BA74">
    <cfRule type="expression" dxfId="0" priority="209">
      <formula>BA74&lt;AZ74</formula>
    </cfRule>
  </conditionalFormatting>
  <conditionalFormatting sqref="BA74">
    <cfRule type="expression" dxfId="1" priority="210">
      <formula>BA74&gt;=AZ74</formula>
    </cfRule>
  </conditionalFormatting>
  <conditionalFormatting sqref="BA67">
    <cfRule type="expression" dxfId="0" priority="211">
      <formula>BA67&lt;AZ67</formula>
    </cfRule>
  </conditionalFormatting>
  <conditionalFormatting sqref="BA67">
    <cfRule type="expression" dxfId="1" priority="212">
      <formula>BA67&gt;=AZ67</formula>
    </cfRule>
  </conditionalFormatting>
  <conditionalFormatting sqref="AW67">
    <cfRule type="expression" dxfId="0" priority="213">
      <formula>AW67&lt;AV67</formula>
    </cfRule>
  </conditionalFormatting>
  <conditionalFormatting sqref="AW67">
    <cfRule type="expression" dxfId="1" priority="214">
      <formula>AW67&gt;=AV67</formula>
    </cfRule>
  </conditionalFormatting>
  <conditionalFormatting sqref="AW60">
    <cfRule type="expression" dxfId="0" priority="215">
      <formula>AW60&lt;AV60</formula>
    </cfRule>
  </conditionalFormatting>
  <conditionalFormatting sqref="AW60">
    <cfRule type="expression" dxfId="1" priority="216">
      <formula>AW60&gt;=AV60</formula>
    </cfRule>
  </conditionalFormatting>
  <conditionalFormatting sqref="BA60">
    <cfRule type="expression" dxfId="0" priority="217">
      <formula>BA60&lt;AZ60</formula>
    </cfRule>
  </conditionalFormatting>
  <conditionalFormatting sqref="BA60">
    <cfRule type="expression" dxfId="1" priority="218">
      <formula>BA60&gt;=AZ60</formula>
    </cfRule>
  </conditionalFormatting>
  <conditionalFormatting sqref="AS116">
    <cfRule type="expression" dxfId="0" priority="219">
      <formula>AS116&lt;AR116</formula>
    </cfRule>
  </conditionalFormatting>
  <conditionalFormatting sqref="AS116">
    <cfRule type="expression" dxfId="1" priority="220">
      <formula>AS116&gt;=AR116</formula>
    </cfRule>
  </conditionalFormatting>
  <conditionalFormatting sqref="AO116">
    <cfRule type="expression" dxfId="0" priority="221">
      <formula>AO116&lt;AN116</formula>
    </cfRule>
  </conditionalFormatting>
  <conditionalFormatting sqref="AO116">
    <cfRule type="expression" dxfId="1" priority="222">
      <formula>AO116&gt;=AN116</formula>
    </cfRule>
  </conditionalFormatting>
  <conditionalFormatting sqref="AK116">
    <cfRule type="expression" dxfId="0" priority="223">
      <formula>AK116&lt;AJ116</formula>
    </cfRule>
  </conditionalFormatting>
  <conditionalFormatting sqref="AK116">
    <cfRule type="expression" dxfId="1" priority="224">
      <formula>AK116&gt;=AJ116</formula>
    </cfRule>
  </conditionalFormatting>
  <conditionalFormatting sqref="AG116">
    <cfRule type="expression" dxfId="0" priority="225">
      <formula>AG116&lt;AF116</formula>
    </cfRule>
  </conditionalFormatting>
  <conditionalFormatting sqref="AG116">
    <cfRule type="expression" dxfId="1" priority="226">
      <formula>AG116&gt;=AF116</formula>
    </cfRule>
  </conditionalFormatting>
  <conditionalFormatting sqref="AG109">
    <cfRule type="expression" dxfId="0" priority="227">
      <formula>AG109&lt;AF109</formula>
    </cfRule>
  </conditionalFormatting>
  <conditionalFormatting sqref="AG109">
    <cfRule type="expression" dxfId="1" priority="228">
      <formula>AG109&gt;=AF109</formula>
    </cfRule>
  </conditionalFormatting>
  <conditionalFormatting sqref="AK109">
    <cfRule type="expression" dxfId="0" priority="229">
      <formula>AK109&lt;AJ109</formula>
    </cfRule>
  </conditionalFormatting>
  <conditionalFormatting sqref="AK109">
    <cfRule type="expression" dxfId="1" priority="230">
      <formula>AK109&gt;=AJ109</formula>
    </cfRule>
  </conditionalFormatting>
  <conditionalFormatting sqref="AO109">
    <cfRule type="expression" dxfId="0" priority="231">
      <formula>AO109&lt;AN109</formula>
    </cfRule>
  </conditionalFormatting>
  <conditionalFormatting sqref="AO109">
    <cfRule type="expression" dxfId="1" priority="232">
      <formula>AO109&gt;=AN109</formula>
    </cfRule>
  </conditionalFormatting>
  <conditionalFormatting sqref="AS109">
    <cfRule type="expression" dxfId="0" priority="233">
      <formula>AS109&lt;AR109</formula>
    </cfRule>
  </conditionalFormatting>
  <conditionalFormatting sqref="AS109">
    <cfRule type="expression" dxfId="1" priority="234">
      <formula>AS109&gt;=AR109</formula>
    </cfRule>
  </conditionalFormatting>
  <conditionalFormatting sqref="AS95">
    <cfRule type="expression" dxfId="0" priority="235">
      <formula>AS95&lt;AR95</formula>
    </cfRule>
  </conditionalFormatting>
  <conditionalFormatting sqref="AS95">
    <cfRule type="expression" dxfId="1" priority="236">
      <formula>AS95&gt;=AR95</formula>
    </cfRule>
  </conditionalFormatting>
  <conditionalFormatting sqref="AS102">
    <cfRule type="expression" dxfId="0" priority="237">
      <formula>AS102&lt;AR102</formula>
    </cfRule>
  </conditionalFormatting>
  <conditionalFormatting sqref="AS102">
    <cfRule type="expression" dxfId="1" priority="238">
      <formula>AS102&gt;=AR102</formula>
    </cfRule>
  </conditionalFormatting>
  <conditionalFormatting sqref="AO102">
    <cfRule type="expression" dxfId="0" priority="239">
      <formula>AO102&lt;AN102</formula>
    </cfRule>
  </conditionalFormatting>
  <conditionalFormatting sqref="AO102">
    <cfRule type="expression" dxfId="1" priority="240">
      <formula>AO102&gt;=AN102</formula>
    </cfRule>
  </conditionalFormatting>
  <conditionalFormatting sqref="AK102">
    <cfRule type="expression" dxfId="0" priority="241">
      <formula>AK102&lt;AJ102</formula>
    </cfRule>
  </conditionalFormatting>
  <conditionalFormatting sqref="AK102">
    <cfRule type="expression" dxfId="1" priority="242">
      <formula>AK102&gt;=AJ102</formula>
    </cfRule>
  </conditionalFormatting>
  <conditionalFormatting sqref="AG102">
    <cfRule type="expression" dxfId="0" priority="243">
      <formula>AG102&lt;AF102</formula>
    </cfRule>
  </conditionalFormatting>
  <conditionalFormatting sqref="AG102">
    <cfRule type="expression" dxfId="1" priority="244">
      <formula>AG102&gt;=AF102</formula>
    </cfRule>
  </conditionalFormatting>
  <conditionalFormatting sqref="AG95">
    <cfRule type="expression" dxfId="0" priority="245">
      <formula>AG95&lt;AF95</formula>
    </cfRule>
  </conditionalFormatting>
  <conditionalFormatting sqref="AG95">
    <cfRule type="expression" dxfId="1" priority="246">
      <formula>AG95&gt;=AF95</formula>
    </cfRule>
  </conditionalFormatting>
  <conditionalFormatting sqref="AK95">
    <cfRule type="expression" dxfId="0" priority="247">
      <formula>AK95&lt;AJ95</formula>
    </cfRule>
  </conditionalFormatting>
  <conditionalFormatting sqref="AK95">
    <cfRule type="expression" dxfId="1" priority="248">
      <formula>AK95&gt;=AJ95</formula>
    </cfRule>
  </conditionalFormatting>
  <conditionalFormatting sqref="AO95">
    <cfRule type="expression" dxfId="0" priority="249">
      <formula>AO95&lt;AN95</formula>
    </cfRule>
  </conditionalFormatting>
  <conditionalFormatting sqref="AO95">
    <cfRule type="expression" dxfId="1" priority="250">
      <formula>AO95&gt;=AN95</formula>
    </cfRule>
  </conditionalFormatting>
  <conditionalFormatting sqref="AG67">
    <cfRule type="expression" dxfId="0" priority="251">
      <formula>AG67&lt;AF67</formula>
    </cfRule>
  </conditionalFormatting>
  <conditionalFormatting sqref="AG67">
    <cfRule type="expression" dxfId="1" priority="252">
      <formula>AG67&gt;=AF67</formula>
    </cfRule>
  </conditionalFormatting>
  <conditionalFormatting sqref="AK67">
    <cfRule type="expression" dxfId="0" priority="253">
      <formula>AK67&lt;AJ67</formula>
    </cfRule>
  </conditionalFormatting>
  <conditionalFormatting sqref="AK67">
    <cfRule type="expression" dxfId="1" priority="254">
      <formula>AK67&gt;=AJ67</formula>
    </cfRule>
  </conditionalFormatting>
  <conditionalFormatting sqref="AO67">
    <cfRule type="expression" dxfId="0" priority="255">
      <formula>AO67&lt;AN67</formula>
    </cfRule>
  </conditionalFormatting>
  <conditionalFormatting sqref="AO67">
    <cfRule type="expression" dxfId="1" priority="256">
      <formula>AO67&gt;=AN67</formula>
    </cfRule>
  </conditionalFormatting>
  <conditionalFormatting sqref="AS67">
    <cfRule type="expression" dxfId="0" priority="257">
      <formula>AS67&lt;AR67</formula>
    </cfRule>
  </conditionalFormatting>
  <conditionalFormatting sqref="AS67">
    <cfRule type="expression" dxfId="1" priority="258">
      <formula>AS67&gt;=AR67</formula>
    </cfRule>
  </conditionalFormatting>
  <conditionalFormatting sqref="AG74">
    <cfRule type="expression" dxfId="0" priority="259">
      <formula>AG74&lt;AF74</formula>
    </cfRule>
  </conditionalFormatting>
  <conditionalFormatting sqref="AG74">
    <cfRule type="expression" dxfId="1" priority="260">
      <formula>AG74&gt;=AF74</formula>
    </cfRule>
  </conditionalFormatting>
  <conditionalFormatting sqref="AK74">
    <cfRule type="expression" dxfId="0" priority="261">
      <formula>AK74&lt;AJ74</formula>
    </cfRule>
  </conditionalFormatting>
  <conditionalFormatting sqref="AK74">
    <cfRule type="expression" dxfId="1" priority="262">
      <formula>AK74&gt;=AJ74</formula>
    </cfRule>
  </conditionalFormatting>
  <conditionalFormatting sqref="AO74">
    <cfRule type="expression" dxfId="0" priority="263">
      <formula>AO74&lt;AN74</formula>
    </cfRule>
  </conditionalFormatting>
  <conditionalFormatting sqref="AO74">
    <cfRule type="expression" dxfId="1" priority="264">
      <formula>AO74&gt;=AN74</formula>
    </cfRule>
  </conditionalFormatting>
  <conditionalFormatting sqref="AS74">
    <cfRule type="expression" dxfId="0" priority="265">
      <formula>AS74&lt;AR74</formula>
    </cfRule>
  </conditionalFormatting>
  <conditionalFormatting sqref="AS74">
    <cfRule type="expression" dxfId="1" priority="266">
      <formula>AS74&gt;=AR74</formula>
    </cfRule>
  </conditionalFormatting>
  <conditionalFormatting sqref="AG81">
    <cfRule type="expression" dxfId="0" priority="267">
      <formula>AG81&lt;AF81</formula>
    </cfRule>
  </conditionalFormatting>
  <conditionalFormatting sqref="AG81">
    <cfRule type="expression" dxfId="1" priority="268">
      <formula>AG81&gt;=AF81</formula>
    </cfRule>
  </conditionalFormatting>
  <conditionalFormatting sqref="AK81">
    <cfRule type="expression" dxfId="0" priority="269">
      <formula>AK81&lt;AJ81</formula>
    </cfRule>
  </conditionalFormatting>
  <conditionalFormatting sqref="AK81">
    <cfRule type="expression" dxfId="1" priority="270">
      <formula>AK81&gt;=AJ81</formula>
    </cfRule>
  </conditionalFormatting>
  <conditionalFormatting sqref="AO81">
    <cfRule type="expression" dxfId="0" priority="271">
      <formula>AO81&lt;AN81</formula>
    </cfRule>
  </conditionalFormatting>
  <conditionalFormatting sqref="AO81">
    <cfRule type="expression" dxfId="1" priority="272">
      <formula>AO81&gt;=AN81</formula>
    </cfRule>
  </conditionalFormatting>
  <conditionalFormatting sqref="AS81">
    <cfRule type="expression" dxfId="0" priority="273">
      <formula>AS81&lt;AR81</formula>
    </cfRule>
  </conditionalFormatting>
  <conditionalFormatting sqref="AS81">
    <cfRule type="expression" dxfId="1" priority="274">
      <formula>AS81&gt;=AR81</formula>
    </cfRule>
  </conditionalFormatting>
  <conditionalFormatting sqref="AG88">
    <cfRule type="expression" dxfId="0" priority="275">
      <formula>AG88&lt;AF88</formula>
    </cfRule>
  </conditionalFormatting>
  <conditionalFormatting sqref="AG88">
    <cfRule type="expression" dxfId="1" priority="276">
      <formula>AG88&gt;=AF88</formula>
    </cfRule>
  </conditionalFormatting>
  <conditionalFormatting sqref="AK88">
    <cfRule type="expression" dxfId="0" priority="277">
      <formula>AK88&lt;AJ88</formula>
    </cfRule>
  </conditionalFormatting>
  <conditionalFormatting sqref="AK88">
    <cfRule type="expression" dxfId="1" priority="278">
      <formula>AK88&gt;=AJ88</formula>
    </cfRule>
  </conditionalFormatting>
  <conditionalFormatting sqref="AO88">
    <cfRule type="expression" dxfId="0" priority="279">
      <formula>AO88&lt;AN88</formula>
    </cfRule>
  </conditionalFormatting>
  <conditionalFormatting sqref="AO88">
    <cfRule type="expression" dxfId="1" priority="280">
      <formula>AO88&gt;=AN88</formula>
    </cfRule>
  </conditionalFormatting>
  <conditionalFormatting sqref="AS88">
    <cfRule type="expression" dxfId="0" priority="281">
      <formula>AS88&lt;AR88</formula>
    </cfRule>
  </conditionalFormatting>
  <conditionalFormatting sqref="AS88">
    <cfRule type="expression" dxfId="1" priority="282">
      <formula>AS88&gt;=AR88</formula>
    </cfRule>
  </conditionalFormatting>
  <conditionalFormatting sqref="U67">
    <cfRule type="expression" dxfId="0" priority="283">
      <formula>U67&lt;T67</formula>
    </cfRule>
  </conditionalFormatting>
  <conditionalFormatting sqref="U67">
    <cfRule type="expression" dxfId="1" priority="284">
      <formula>U67&gt;=T67</formula>
    </cfRule>
  </conditionalFormatting>
  <conditionalFormatting sqref="Y67">
    <cfRule type="expression" dxfId="0" priority="285">
      <formula>Y67&lt;X67</formula>
    </cfRule>
  </conditionalFormatting>
  <conditionalFormatting sqref="Y67">
    <cfRule type="expression" dxfId="1" priority="286">
      <formula>Y67&gt;=X67</formula>
    </cfRule>
  </conditionalFormatting>
  <conditionalFormatting sqref="AC67">
    <cfRule type="expression" dxfId="0" priority="287">
      <formula>AC67&lt;AB67</formula>
    </cfRule>
  </conditionalFormatting>
  <conditionalFormatting sqref="AC67">
    <cfRule type="expression" dxfId="1" priority="288">
      <formula>AC67&gt;=AB67</formula>
    </cfRule>
  </conditionalFormatting>
  <conditionalFormatting sqref="U74">
    <cfRule type="expression" dxfId="0" priority="289">
      <formula>U74&lt;T74</formula>
    </cfRule>
  </conditionalFormatting>
  <conditionalFormatting sqref="U74">
    <cfRule type="expression" dxfId="1" priority="290">
      <formula>U74&gt;=T74</formula>
    </cfRule>
  </conditionalFormatting>
  <conditionalFormatting sqref="Y74">
    <cfRule type="expression" dxfId="0" priority="291">
      <formula>Y74&lt;X74</formula>
    </cfRule>
  </conditionalFormatting>
  <conditionalFormatting sqref="Y74">
    <cfRule type="expression" dxfId="1" priority="292">
      <formula>Y74&gt;=X74</formula>
    </cfRule>
  </conditionalFormatting>
  <conditionalFormatting sqref="AC74">
    <cfRule type="expression" dxfId="0" priority="293">
      <formula>AC74&lt;AB74</formula>
    </cfRule>
  </conditionalFormatting>
  <conditionalFormatting sqref="AC74">
    <cfRule type="expression" dxfId="1" priority="294">
      <formula>AC74&gt;=AB74</formula>
    </cfRule>
  </conditionalFormatting>
  <conditionalFormatting sqref="U81">
    <cfRule type="expression" dxfId="0" priority="295">
      <formula>U81&lt;T81</formula>
    </cfRule>
  </conditionalFormatting>
  <conditionalFormatting sqref="U81">
    <cfRule type="expression" dxfId="1" priority="296">
      <formula>U81&gt;=T81</formula>
    </cfRule>
  </conditionalFormatting>
  <conditionalFormatting sqref="Y81">
    <cfRule type="expression" dxfId="0" priority="297">
      <formula>Y81&lt;X81</formula>
    </cfRule>
  </conditionalFormatting>
  <conditionalFormatting sqref="Y81">
    <cfRule type="expression" dxfId="1" priority="298">
      <formula>Y81&gt;=X81</formula>
    </cfRule>
  </conditionalFormatting>
  <conditionalFormatting sqref="AC81">
    <cfRule type="expression" dxfId="0" priority="299">
      <formula>AC81&lt;AB81</formula>
    </cfRule>
  </conditionalFormatting>
  <conditionalFormatting sqref="AC81">
    <cfRule type="expression" dxfId="1" priority="300">
      <formula>AC81&gt;=AB81</formula>
    </cfRule>
  </conditionalFormatting>
  <conditionalFormatting sqref="AC88">
    <cfRule type="expression" dxfId="0" priority="301">
      <formula>AC88&lt;AB88</formula>
    </cfRule>
  </conditionalFormatting>
  <conditionalFormatting sqref="AC88">
    <cfRule type="expression" dxfId="1" priority="302">
      <formula>AC88&gt;=AB88</formula>
    </cfRule>
  </conditionalFormatting>
  <conditionalFormatting sqref="Y102">
    <cfRule type="expression" dxfId="0" priority="303">
      <formula>Y102&lt;X102</formula>
    </cfRule>
  </conditionalFormatting>
  <conditionalFormatting sqref="Y102">
    <cfRule type="expression" dxfId="1" priority="304">
      <formula>Y102&gt;=X102</formula>
    </cfRule>
  </conditionalFormatting>
  <conditionalFormatting sqref="AC102">
    <cfRule type="expression" dxfId="0" priority="305">
      <formula>AC102&lt;AB102</formula>
    </cfRule>
  </conditionalFormatting>
  <conditionalFormatting sqref="AC102">
    <cfRule type="expression" dxfId="1" priority="306">
      <formula>AC102&gt;=AB102</formula>
    </cfRule>
  </conditionalFormatting>
  <conditionalFormatting sqref="U102">
    <cfRule type="expression" dxfId="0" priority="307">
      <formula>U102&lt;T102</formula>
    </cfRule>
  </conditionalFormatting>
  <conditionalFormatting sqref="U102">
    <cfRule type="expression" dxfId="1" priority="308">
      <formula>U102&gt;=T102</formula>
    </cfRule>
  </conditionalFormatting>
  <conditionalFormatting sqref="U109">
    <cfRule type="expression" dxfId="0" priority="309">
      <formula>U109&lt;T109</formula>
    </cfRule>
  </conditionalFormatting>
  <conditionalFormatting sqref="U109">
    <cfRule type="expression" dxfId="1" priority="310">
      <formula>U109&gt;=T109</formula>
    </cfRule>
  </conditionalFormatting>
  <conditionalFormatting sqref="Y109">
    <cfRule type="expression" dxfId="0" priority="311">
      <formula>Y109&lt;X109</formula>
    </cfRule>
  </conditionalFormatting>
  <conditionalFormatting sqref="Y109">
    <cfRule type="expression" dxfId="1" priority="312">
      <formula>Y109&gt;=X109</formula>
    </cfRule>
  </conditionalFormatting>
  <conditionalFormatting sqref="AC109">
    <cfRule type="expression" dxfId="0" priority="313">
      <formula>AC109&lt;AB109</formula>
    </cfRule>
  </conditionalFormatting>
  <conditionalFormatting sqref="AC109">
    <cfRule type="expression" dxfId="1" priority="314">
      <formula>AC109&gt;=AB109</formula>
    </cfRule>
  </conditionalFormatting>
  <printOptions/>
  <pageMargins bottom="0.787401575" footer="0.0" header="0.0" left="0.511811024" right="0.511811024" top="0.7874015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0.71"/>
    <col customWidth="1" min="11" max="11" width="7.29"/>
    <col customWidth="1" min="12" max="12" width="15.14"/>
    <col customWidth="1" min="13" max="13" width="11.57"/>
    <col customWidth="1" min="14" max="14" width="15.0"/>
    <col customWidth="1" min="15" max="15" width="16.86"/>
    <col customWidth="1" min="16" max="16" width="15.43"/>
    <col customWidth="1" min="17" max="17" width="15.14"/>
    <col customWidth="1" min="18" max="19" width="16.43"/>
    <col customWidth="1" min="20" max="20" width="15.86"/>
    <col customWidth="1" min="21" max="22" width="16.43"/>
    <col customWidth="1" min="23" max="23" width="15.29"/>
    <col customWidth="1" min="24" max="24" width="16.14"/>
    <col customWidth="1" min="25" max="25" width="14.86"/>
    <col customWidth="1" min="26" max="27" width="15.57"/>
    <col customWidth="1" min="28" max="29" width="17.0"/>
    <col customWidth="1" min="30" max="30" width="15.14"/>
    <col customWidth="1" min="31" max="31" width="15.0"/>
    <col customWidth="1" min="32" max="32" width="14.57"/>
    <col customWidth="1" min="35" max="35" width="15.43"/>
    <col customWidth="1" min="38" max="38" width="15.14"/>
    <col customWidth="1" min="40" max="43" width="15.43"/>
    <col customWidth="1" min="44" max="44" width="15.57"/>
    <col customWidth="1" min="47" max="47" width="15.43"/>
    <col customWidth="1" min="49" max="49" width="12.57"/>
    <col customWidth="1" min="50" max="51" width="18.57"/>
    <col customWidth="1" min="53" max="53" width="18.57"/>
    <col customWidth="1" min="54" max="55" width="15.57"/>
    <col customWidth="1" min="58" max="59" width="15.43"/>
    <col customWidth="1" min="62" max="62" width="18.57"/>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3"/>
      <c r="AB1" s="3"/>
      <c r="AC1" s="3"/>
      <c r="AD1" s="3"/>
      <c r="AE1" s="3"/>
      <c r="AF1" s="3"/>
    </row>
    <row r="2" ht="15.75" customHeight="1">
      <c r="A2" s="1"/>
      <c r="B2" s="2"/>
      <c r="C2" s="16" t="s">
        <v>1</v>
      </c>
      <c r="D2" s="17" t="s">
        <v>2</v>
      </c>
      <c r="E2" s="18" t="s">
        <v>3</v>
      </c>
      <c r="F2" s="19" t="s">
        <v>4</v>
      </c>
      <c r="G2" s="20" t="s">
        <v>5</v>
      </c>
      <c r="H2" s="20" t="s">
        <v>6</v>
      </c>
      <c r="I2" s="20" t="s">
        <v>7</v>
      </c>
      <c r="J2" s="21"/>
      <c r="K2" s="22"/>
      <c r="L2" s="21"/>
      <c r="M2" s="21"/>
      <c r="N2" s="11"/>
      <c r="O2" s="11"/>
      <c r="P2" s="11"/>
      <c r="Q2" s="23"/>
      <c r="R2" s="24"/>
      <c r="S2" s="11"/>
      <c r="T2" s="11"/>
      <c r="U2" s="11"/>
      <c r="V2" s="11"/>
      <c r="W2" s="12"/>
      <c r="X2" s="13"/>
      <c r="Y2" s="14"/>
      <c r="Z2" s="15"/>
      <c r="AA2" s="3"/>
      <c r="AB2" s="3"/>
      <c r="AC2" s="3"/>
      <c r="AD2" s="3"/>
      <c r="AE2" s="3"/>
      <c r="AF2" s="3"/>
      <c r="AX2" s="25"/>
    </row>
    <row r="3">
      <c r="A3" s="1"/>
      <c r="B3" s="26">
        <v>1.0</v>
      </c>
      <c r="C3" s="27" t="s">
        <v>8</v>
      </c>
      <c r="D3" s="28"/>
      <c r="E3" s="29"/>
      <c r="F3" s="30"/>
      <c r="G3" s="31">
        <v>3.442912982002714E7</v>
      </c>
      <c r="H3" s="32">
        <v>329237.0</v>
      </c>
      <c r="I3" s="33">
        <v>104.57248067509771</v>
      </c>
      <c r="J3" s="34" t="s">
        <v>9</v>
      </c>
      <c r="K3" s="35"/>
      <c r="L3" s="36" t="s">
        <v>10</v>
      </c>
      <c r="M3" s="37" t="s">
        <v>11</v>
      </c>
      <c r="N3" s="38" t="s">
        <v>12</v>
      </c>
      <c r="O3" s="39" t="s">
        <v>13</v>
      </c>
      <c r="P3" s="40" t="s">
        <v>14</v>
      </c>
      <c r="Q3" s="41" t="s">
        <v>15</v>
      </c>
      <c r="R3" s="38" t="s">
        <v>16</v>
      </c>
      <c r="S3" s="42" t="s">
        <v>17</v>
      </c>
      <c r="T3" s="43" t="s">
        <v>18</v>
      </c>
      <c r="U3" s="37" t="s">
        <v>19</v>
      </c>
      <c r="V3" s="38" t="s">
        <v>20</v>
      </c>
      <c r="W3" s="39" t="s">
        <v>21</v>
      </c>
      <c r="X3" s="44" t="s">
        <v>22</v>
      </c>
      <c r="Y3" s="41" t="s">
        <v>23</v>
      </c>
      <c r="Z3" s="38" t="s">
        <v>24</v>
      </c>
      <c r="AA3" s="45" t="s">
        <v>25</v>
      </c>
      <c r="AB3" s="43" t="s">
        <v>26</v>
      </c>
      <c r="AC3" s="41" t="s">
        <v>27</v>
      </c>
      <c r="AD3" s="38" t="s">
        <v>28</v>
      </c>
      <c r="AE3" s="45" t="s">
        <v>29</v>
      </c>
      <c r="AF3" s="44" t="s">
        <v>30</v>
      </c>
      <c r="AG3" s="261" t="s">
        <v>107</v>
      </c>
      <c r="AH3" s="262" t="s">
        <v>108</v>
      </c>
      <c r="AI3" s="262" t="s">
        <v>109</v>
      </c>
      <c r="AJ3" s="262" t="s">
        <v>110</v>
      </c>
      <c r="AK3" s="262" t="s">
        <v>111</v>
      </c>
      <c r="AL3" s="262" t="s">
        <v>31</v>
      </c>
      <c r="AM3" s="38" t="s">
        <v>32</v>
      </c>
      <c r="AN3" s="45" t="s">
        <v>33</v>
      </c>
      <c r="AO3" s="43" t="s">
        <v>34</v>
      </c>
      <c r="AP3" s="41" t="s">
        <v>35</v>
      </c>
      <c r="AQ3" s="38" t="s">
        <v>36</v>
      </c>
      <c r="AR3" s="45" t="s">
        <v>37</v>
      </c>
      <c r="AS3" s="44" t="s">
        <v>38</v>
      </c>
      <c r="AT3" s="41" t="s">
        <v>39</v>
      </c>
      <c r="AU3" s="38" t="s">
        <v>40</v>
      </c>
      <c r="AV3" s="45" t="s">
        <v>41</v>
      </c>
      <c r="AW3" s="43" t="s">
        <v>42</v>
      </c>
      <c r="AX3" s="41" t="s">
        <v>43</v>
      </c>
      <c r="AY3" s="38" t="s">
        <v>44</v>
      </c>
      <c r="AZ3" s="45" t="s">
        <v>45</v>
      </c>
      <c r="BA3" s="44" t="s">
        <v>46</v>
      </c>
      <c r="BB3" s="41" t="s">
        <v>47</v>
      </c>
      <c r="BC3" s="38" t="s">
        <v>48</v>
      </c>
      <c r="BD3" s="45" t="s">
        <v>49</v>
      </c>
      <c r="BE3" s="43" t="s">
        <v>50</v>
      </c>
      <c r="BF3" s="41" t="s">
        <v>51</v>
      </c>
      <c r="BG3" s="38" t="s">
        <v>52</v>
      </c>
      <c r="BH3" s="45" t="s">
        <v>53</v>
      </c>
      <c r="BI3" s="44" t="s">
        <v>54</v>
      </c>
      <c r="BJ3" s="41" t="s">
        <v>55</v>
      </c>
      <c r="BK3" s="38" t="s">
        <v>56</v>
      </c>
      <c r="BL3" s="45" t="s">
        <v>57</v>
      </c>
      <c r="BM3" s="46">
        <v>2026.0</v>
      </c>
      <c r="BN3" s="37" t="s">
        <v>58</v>
      </c>
      <c r="BO3" s="47" t="s">
        <v>59</v>
      </c>
      <c r="BP3" s="48">
        <v>2025.0</v>
      </c>
      <c r="BQ3" s="49" t="s">
        <v>60</v>
      </c>
      <c r="BR3" s="3"/>
      <c r="BS3" s="3"/>
      <c r="BT3" s="3"/>
      <c r="BU3" s="3"/>
      <c r="BV3" s="3"/>
      <c r="BW3" s="3"/>
    </row>
    <row r="4">
      <c r="A4" s="1"/>
      <c r="B4" s="26"/>
      <c r="C4" s="27"/>
      <c r="D4" s="28"/>
      <c r="E4" s="29"/>
      <c r="F4" s="30"/>
      <c r="G4" s="31"/>
      <c r="H4" s="32"/>
      <c r="I4" s="33"/>
      <c r="J4" s="263" t="s">
        <v>112</v>
      </c>
      <c r="K4" s="264"/>
      <c r="L4" s="265"/>
      <c r="M4" s="266"/>
      <c r="N4" s="267"/>
      <c r="O4" s="268"/>
      <c r="P4" s="269"/>
      <c r="Q4" s="266"/>
      <c r="R4" s="267"/>
      <c r="S4" s="270"/>
      <c r="T4" s="271"/>
      <c r="U4" s="272"/>
      <c r="V4" s="267"/>
      <c r="W4" s="268"/>
      <c r="X4" s="271"/>
      <c r="Y4" s="272"/>
      <c r="Z4" s="267"/>
      <c r="AA4" s="268"/>
      <c r="AB4" s="271"/>
      <c r="AC4" s="272"/>
      <c r="AD4" s="267"/>
      <c r="AE4" s="268"/>
      <c r="AF4" s="271"/>
      <c r="AG4" s="273">
        <f t="shared" ref="AG4:AK4" si="1">$AF$5/5</f>
        <v>0.016</v>
      </c>
      <c r="AH4" s="273">
        <f t="shared" si="1"/>
        <v>0.016</v>
      </c>
      <c r="AI4" s="273">
        <f t="shared" si="1"/>
        <v>0.016</v>
      </c>
      <c r="AJ4" s="273">
        <f t="shared" si="1"/>
        <v>0.016</v>
      </c>
      <c r="AK4" s="273">
        <f t="shared" si="1"/>
        <v>0.016</v>
      </c>
      <c r="AL4" s="274"/>
      <c r="AM4" s="267"/>
      <c r="AN4" s="268"/>
      <c r="AO4" s="271"/>
      <c r="AP4" s="272"/>
      <c r="AQ4" s="267"/>
      <c r="AR4" s="268"/>
      <c r="AS4" s="271"/>
      <c r="AT4" s="272"/>
      <c r="AU4" s="267"/>
      <c r="AV4" s="268"/>
      <c r="AW4" s="271"/>
      <c r="AX4" s="272"/>
      <c r="AY4" s="267"/>
      <c r="AZ4" s="268"/>
      <c r="BA4" s="271"/>
      <c r="BB4" s="272"/>
      <c r="BC4" s="267"/>
      <c r="BD4" s="268"/>
      <c r="BE4" s="271"/>
      <c r="BF4" s="272"/>
      <c r="BG4" s="267"/>
      <c r="BH4" s="268"/>
      <c r="BI4" s="271"/>
      <c r="BJ4" s="272"/>
      <c r="BK4" s="267"/>
      <c r="BL4" s="268"/>
      <c r="BM4" s="275"/>
      <c r="BN4" s="276"/>
      <c r="BO4" s="277"/>
      <c r="BP4" s="278"/>
      <c r="BQ4" s="64"/>
      <c r="BR4" s="3"/>
      <c r="BS4" s="3"/>
      <c r="BT4" s="3"/>
      <c r="BU4" s="3"/>
      <c r="BV4" s="3"/>
      <c r="BW4" s="3"/>
    </row>
    <row r="5">
      <c r="A5" s="1"/>
      <c r="B5" s="26"/>
      <c r="C5" s="27"/>
      <c r="D5" s="28"/>
      <c r="E5" s="29"/>
      <c r="F5" s="30"/>
      <c r="G5" s="31"/>
      <c r="H5" s="32"/>
      <c r="I5" s="33"/>
      <c r="J5" s="50" t="s">
        <v>61</v>
      </c>
      <c r="K5" s="51"/>
      <c r="L5" s="52" t="s">
        <v>60</v>
      </c>
      <c r="M5" s="53" t="s">
        <v>60</v>
      </c>
      <c r="N5" s="54" t="s">
        <v>60</v>
      </c>
      <c r="O5" s="55" t="s">
        <v>62</v>
      </c>
      <c r="P5" s="56" t="s">
        <v>60</v>
      </c>
      <c r="Q5" s="53" t="s">
        <v>60</v>
      </c>
      <c r="R5" s="54" t="s">
        <v>60</v>
      </c>
      <c r="S5" s="57" t="s">
        <v>62</v>
      </c>
      <c r="T5" s="58">
        <v>0.04</v>
      </c>
      <c r="U5" s="59">
        <f>U6/(BM6-(L6 + P6))</f>
        <v>0.1186525251</v>
      </c>
      <c r="V5" s="54" t="s">
        <v>60</v>
      </c>
      <c r="W5" s="55" t="s">
        <v>62</v>
      </c>
      <c r="X5" s="58">
        <v>0.06</v>
      </c>
      <c r="Y5" s="59">
        <f>Y6/(BM6-(L6+P6))</f>
        <v>0.08226236219</v>
      </c>
      <c r="Z5" s="54" t="s">
        <v>60</v>
      </c>
      <c r="AA5" s="55" t="s">
        <v>62</v>
      </c>
      <c r="AB5" s="58">
        <v>0.08</v>
      </c>
      <c r="AC5" s="59">
        <f>AC6/(BM6-(L6+P6))</f>
        <v>0.07963860664</v>
      </c>
      <c r="AD5" s="54" t="s">
        <v>60</v>
      </c>
      <c r="AE5" s="55" t="s">
        <v>62</v>
      </c>
      <c r="AF5" s="58">
        <v>0.08</v>
      </c>
      <c r="AG5" s="61">
        <f t="shared" ref="AG5:AK5" si="2">AG6/($BM$6-($L$6+$P$6))</f>
        <v>0.007934322479</v>
      </c>
      <c r="AH5" s="61">
        <f t="shared" si="2"/>
        <v>0.01829872354</v>
      </c>
      <c r="AI5" s="61">
        <f t="shared" si="2"/>
        <v>0.01525350159</v>
      </c>
      <c r="AJ5" s="61">
        <f t="shared" si="2"/>
        <v>0</v>
      </c>
      <c r="AK5" s="61">
        <f t="shared" si="2"/>
        <v>0</v>
      </c>
      <c r="AL5" s="279">
        <f t="shared" ref="AL5:AL7" si="4">SUM(AG5:AK5)</f>
        <v>0.04148654761</v>
      </c>
      <c r="AM5" s="280">
        <f>AL5-AF5</f>
        <v>-0.03851345239</v>
      </c>
      <c r="AN5" s="55" t="s">
        <v>62</v>
      </c>
      <c r="AO5" s="58">
        <v>0.1</v>
      </c>
      <c r="AP5" s="59">
        <f>AP6/(BM6-(L6+P6))</f>
        <v>0</v>
      </c>
      <c r="AQ5" s="54" t="s">
        <v>60</v>
      </c>
      <c r="AR5" s="55" t="s">
        <v>62</v>
      </c>
      <c r="AS5" s="58">
        <v>0.06</v>
      </c>
      <c r="AT5" s="59">
        <f>AT6/(BM6-(L6+P6))</f>
        <v>0</v>
      </c>
      <c r="AU5" s="54" t="s">
        <v>60</v>
      </c>
      <c r="AV5" s="55" t="s">
        <v>62</v>
      </c>
      <c r="AW5" s="58">
        <v>0.14</v>
      </c>
      <c r="AX5" s="59">
        <f>AX6/(BM6-(L6+P6))</f>
        <v>0</v>
      </c>
      <c r="AY5" s="54" t="s">
        <v>60</v>
      </c>
      <c r="AZ5" s="55" t="s">
        <v>62</v>
      </c>
      <c r="BA5" s="58">
        <v>0.14</v>
      </c>
      <c r="BB5" s="59">
        <f>BB6/(BM6-(L6+P6))</f>
        <v>0</v>
      </c>
      <c r="BC5" s="54" t="s">
        <v>60</v>
      </c>
      <c r="BD5" s="55" t="s">
        <v>62</v>
      </c>
      <c r="BE5" s="58">
        <v>0.16</v>
      </c>
      <c r="BF5" s="59">
        <f>BF6/(BM6-(L6+P6))</f>
        <v>0</v>
      </c>
      <c r="BG5" s="54" t="s">
        <v>60</v>
      </c>
      <c r="BH5" s="55" t="s">
        <v>62</v>
      </c>
      <c r="BI5" s="58">
        <v>0.14</v>
      </c>
      <c r="BJ5" s="59">
        <f>BJ6/(CN6-(BA6 + BE6))</f>
        <v>0</v>
      </c>
      <c r="BK5" s="54" t="s">
        <v>60</v>
      </c>
      <c r="BL5" s="55" t="s">
        <v>62</v>
      </c>
      <c r="BM5" s="60">
        <f t="shared" ref="BM5:BN5" si="3">SUM(T5,X5,AB5,AF5,AO5,AS5,AW5,BA5,BE5,BI5)</f>
        <v>1</v>
      </c>
      <c r="BN5" s="61">
        <f t="shared" si="3"/>
        <v>0.2884878164</v>
      </c>
      <c r="BO5" s="62"/>
      <c r="BP5" s="63"/>
      <c r="BQ5" s="64"/>
      <c r="BR5" s="3"/>
      <c r="BS5" s="3"/>
      <c r="BT5" s="3"/>
      <c r="BU5" s="3"/>
      <c r="BV5" s="3"/>
      <c r="BW5" s="3"/>
    </row>
    <row r="6">
      <c r="A6" s="1"/>
      <c r="B6" s="26"/>
      <c r="C6" s="27"/>
      <c r="D6" s="28"/>
      <c r="E6" s="29"/>
      <c r="F6" s="30"/>
      <c r="G6" s="31"/>
      <c r="H6" s="32"/>
      <c r="I6" s="33"/>
      <c r="J6" s="50" t="s">
        <v>63</v>
      </c>
      <c r="K6" s="51"/>
      <c r="L6" s="65">
        <v>2864120.0</v>
      </c>
      <c r="M6" s="66">
        <v>3131157.88</v>
      </c>
      <c r="N6" s="67">
        <f t="shared" ref="N6:N9" si="5">IFERROR(M6-L6,"-")</f>
        <v>267037.88</v>
      </c>
      <c r="O6" s="68">
        <f t="shared" ref="O6:O9" si="6">IFERROR(M6/L6-1,"-")</f>
        <v>0.09323557672</v>
      </c>
      <c r="P6" s="69">
        <v>2553655.0</v>
      </c>
      <c r="Q6" s="66">
        <v>2769592.71</v>
      </c>
      <c r="R6" s="67">
        <f t="shared" ref="R6:R9" si="7">IFERROR(Q6-P6,"-")</f>
        <v>215937.71</v>
      </c>
      <c r="S6" s="70">
        <f t="shared" ref="S6:S9" si="8">IFERROR(Q6/P6-1,"-")</f>
        <v>0.08456025187</v>
      </c>
      <c r="T6" s="71">
        <f>($BM$6-($L$6+$P$6))*T5</f>
        <v>1783289</v>
      </c>
      <c r="U6" s="66">
        <v>5289793.57</v>
      </c>
      <c r="V6" s="67">
        <f t="shared" ref="V6:V9" si="9">IFERROR(U6-T6,"-")</f>
        <v>3506504.57</v>
      </c>
      <c r="W6" s="68">
        <f t="shared" ref="W6:W9" si="10">IFERROR(U6/T6-1,"-")</f>
        <v>1.966313127</v>
      </c>
      <c r="X6" s="71">
        <f>($BM$6-($L$6+$P$6))*X5</f>
        <v>2674933.5</v>
      </c>
      <c r="Y6" s="72">
        <v>3667439.14</v>
      </c>
      <c r="Z6" s="67">
        <f t="shared" ref="Z6:Z9" si="11">IFERROR(Y6-X6,"-")</f>
        <v>992505.64</v>
      </c>
      <c r="AA6" s="68">
        <f t="shared" ref="AA6:AA9" si="12">IFERROR(Y6/X6-1,"-")</f>
        <v>0.3710393698</v>
      </c>
      <c r="AB6" s="71">
        <f>($BM$6-($L$6+$P$6))*AB5</f>
        <v>3566578</v>
      </c>
      <c r="AC6" s="66">
        <v>3550466.28</v>
      </c>
      <c r="AD6" s="67">
        <f t="shared" ref="AD6:AD9" si="13">IFERROR(AC6-AB6,"-")</f>
        <v>-16111.72</v>
      </c>
      <c r="AE6" s="68">
        <f t="shared" ref="AE6:AE9" si="14">IFERROR(AC6/AB6-1,"-")</f>
        <v>-0.004517416975</v>
      </c>
      <c r="AF6" s="71">
        <f>($BM$6-($L$6+$P$6))*AF5</f>
        <v>3566578</v>
      </c>
      <c r="AG6" s="73">
        <v>353729.75</v>
      </c>
      <c r="AH6" s="281">
        <v>815797.81</v>
      </c>
      <c r="AI6" s="282">
        <v>680035.04</v>
      </c>
      <c r="AJ6" s="282"/>
      <c r="AK6" s="282"/>
      <c r="AL6" s="283">
        <f t="shared" si="4"/>
        <v>1849562.6</v>
      </c>
      <c r="AM6" s="67">
        <f t="shared" ref="AM6:AM9" si="15">IFERROR(AL6-AF6,"-")</f>
        <v>-1717015.4</v>
      </c>
      <c r="AN6" s="68">
        <f t="shared" ref="AN6:AN9" si="16">IFERROR(AL6/AF6-1,"-")</f>
        <v>-0.4814181549</v>
      </c>
      <c r="AO6" s="71">
        <f>($BM$6-($L$6+$P$6))*AO5</f>
        <v>4458222.5</v>
      </c>
      <c r="AP6" s="66"/>
      <c r="AQ6" s="67">
        <f t="shared" ref="AQ6:AQ9" si="17">IFERROR(AP6-AO6,"-")</f>
        <v>-4458222.5</v>
      </c>
      <c r="AR6" s="68">
        <f t="shared" ref="AR6:AR9" si="18">IFERROR(AP6/AO6-1,"-")</f>
        <v>-1</v>
      </c>
      <c r="AS6" s="71">
        <f>($BM$6-($L$6+$P$6))*AS5</f>
        <v>2674933.5</v>
      </c>
      <c r="AT6" s="66"/>
      <c r="AU6" s="67">
        <f t="shared" ref="AU6:AU9" si="19">IFERROR(AT6-AS6,"-")</f>
        <v>-2674933.5</v>
      </c>
      <c r="AV6" s="68">
        <f t="shared" ref="AV6:AV9" si="20">IFERROR(AT6/AS6-1,"-")</f>
        <v>-1</v>
      </c>
      <c r="AW6" s="71">
        <f>($BM$6-($L$6+$P$6))*AW5</f>
        <v>6241511.5</v>
      </c>
      <c r="AX6" s="66"/>
      <c r="AY6" s="67">
        <f t="shared" ref="AY6:AY9" si="21">IFERROR(AX6-AW6,"-")</f>
        <v>-6241511.5</v>
      </c>
      <c r="AZ6" s="68">
        <f t="shared" ref="AZ6:AZ9" si="22">IFERROR(AX6/AW6-1,"-")</f>
        <v>-1</v>
      </c>
      <c r="BA6" s="71">
        <f>($BM$6-($L$6+$P$6))*BA5</f>
        <v>6241511.5</v>
      </c>
      <c r="BB6" s="66"/>
      <c r="BC6" s="67">
        <f t="shared" ref="BC6:BC9" si="23">IFERROR(BB6-BA6,"-")</f>
        <v>-6241511.5</v>
      </c>
      <c r="BD6" s="68">
        <f t="shared" ref="BD6:BD9" si="24">IFERROR(BB6/BA6-1,"-")</f>
        <v>-1</v>
      </c>
      <c r="BE6" s="71">
        <f>($BM$6-($L$6+$P$6))*BE5</f>
        <v>7133156</v>
      </c>
      <c r="BF6" s="66"/>
      <c r="BG6" s="67">
        <f t="shared" ref="BG6:BG9" si="25">IFERROR(BF6-BE6,"-")</f>
        <v>-7133156</v>
      </c>
      <c r="BH6" s="68">
        <f t="shared" ref="BH6:BH9" si="26">IFERROR(BF6/BE6-1,"-")</f>
        <v>-1</v>
      </c>
      <c r="BI6" s="71">
        <f>($BM$6-($L$6+$P$6))*BI5</f>
        <v>6241511.5</v>
      </c>
      <c r="BJ6" s="66"/>
      <c r="BK6" s="67">
        <f t="shared" ref="BK6:BK9" si="27">IFERROR(BJ6-BI6,"-")</f>
        <v>-6241511.5</v>
      </c>
      <c r="BL6" s="68">
        <f t="shared" ref="BL6:BL9" si="28">IFERROR(BJ6/BI6-1,"-")</f>
        <v>-1</v>
      </c>
      <c r="BM6" s="74">
        <v>5.0E7</v>
      </c>
      <c r="BN6" s="75">
        <f>SUM(M6,Q6,U6,Y6,AC6,AG6,AP6,AT6,AX6,BB6,BF6,BJ6)</f>
        <v>18762179.33</v>
      </c>
      <c r="BO6" s="76">
        <f>IFERROR(BN6/BM6-1,"-")</f>
        <v>-0.6247564134</v>
      </c>
      <c r="BP6" s="77">
        <v>3.46450673E7</v>
      </c>
      <c r="BQ6" s="78">
        <f t="shared" ref="BQ6:BQ9" si="30">BM6/BP6-1</f>
        <v>0.4432068949</v>
      </c>
      <c r="BR6" s="3"/>
      <c r="BS6" s="3"/>
      <c r="BT6" s="3"/>
      <c r="BU6" s="3"/>
      <c r="BV6" s="3"/>
      <c r="BW6" s="3"/>
    </row>
    <row r="7">
      <c r="A7" s="1"/>
      <c r="B7" s="26"/>
      <c r="C7" s="27"/>
      <c r="D7" s="28"/>
      <c r="E7" s="29"/>
      <c r="F7" s="30"/>
      <c r="G7" s="31"/>
      <c r="H7" s="32"/>
      <c r="I7" s="33"/>
      <c r="J7" s="50" t="s">
        <v>64</v>
      </c>
      <c r="K7" s="79"/>
      <c r="L7" s="80">
        <v>33527.0</v>
      </c>
      <c r="M7" s="81">
        <v>33320.0</v>
      </c>
      <c r="N7" s="82">
        <f t="shared" si="5"/>
        <v>-207</v>
      </c>
      <c r="O7" s="68">
        <f t="shared" si="6"/>
        <v>-0.006174128314</v>
      </c>
      <c r="P7" s="83">
        <v>28807.0</v>
      </c>
      <c r="Q7" s="81">
        <v>28740.0</v>
      </c>
      <c r="R7" s="82">
        <f t="shared" si="7"/>
        <v>-67</v>
      </c>
      <c r="S7" s="70">
        <f t="shared" si="8"/>
        <v>-0.002325823585</v>
      </c>
      <c r="T7" s="84">
        <f>T6/$K$8</f>
        <v>19814.32222</v>
      </c>
      <c r="U7" s="81">
        <v>41947.0</v>
      </c>
      <c r="V7" s="82">
        <f t="shared" si="9"/>
        <v>22132.67778</v>
      </c>
      <c r="W7" s="68">
        <f t="shared" si="10"/>
        <v>1.11700403</v>
      </c>
      <c r="X7" s="84">
        <f>X6/$K$8</f>
        <v>29721.48333</v>
      </c>
      <c r="Y7" s="81">
        <v>37395.0</v>
      </c>
      <c r="Z7" s="82">
        <f t="shared" si="11"/>
        <v>7673.516667</v>
      </c>
      <c r="AA7" s="68">
        <f t="shared" si="12"/>
        <v>0.2581808109</v>
      </c>
      <c r="AB7" s="84">
        <f>AB6/$K$8</f>
        <v>39628.64444</v>
      </c>
      <c r="AC7" s="81">
        <v>35712.0</v>
      </c>
      <c r="AD7" s="82">
        <f t="shared" si="13"/>
        <v>-3916.644444</v>
      </c>
      <c r="AE7" s="68">
        <f t="shared" si="14"/>
        <v>-0.09883367194</v>
      </c>
      <c r="AF7" s="84">
        <f>AF6/$K$8</f>
        <v>39628.64444</v>
      </c>
      <c r="AG7" s="85">
        <v>4815.0</v>
      </c>
      <c r="AH7" s="284">
        <v>9026.0</v>
      </c>
      <c r="AI7" s="285">
        <v>7871.0</v>
      </c>
      <c r="AJ7" s="285"/>
      <c r="AK7" s="285"/>
      <c r="AL7" s="286">
        <f t="shared" si="4"/>
        <v>21712</v>
      </c>
      <c r="AM7" s="82">
        <f t="shared" si="15"/>
        <v>-17916.64444</v>
      </c>
      <c r="AN7" s="68">
        <f t="shared" si="16"/>
        <v>-0.4521134824</v>
      </c>
      <c r="AO7" s="84">
        <f>AO6/$K$8</f>
        <v>49535.80556</v>
      </c>
      <c r="AP7" s="81"/>
      <c r="AQ7" s="82">
        <f t="shared" si="17"/>
        <v>-49535.80556</v>
      </c>
      <c r="AR7" s="68">
        <f t="shared" si="18"/>
        <v>-1</v>
      </c>
      <c r="AS7" s="84">
        <f>AS6/$K$8</f>
        <v>29721.48333</v>
      </c>
      <c r="AT7" s="81"/>
      <c r="AU7" s="82">
        <f t="shared" si="19"/>
        <v>-29721.48333</v>
      </c>
      <c r="AV7" s="68">
        <f t="shared" si="20"/>
        <v>-1</v>
      </c>
      <c r="AW7" s="84">
        <f>AW6/$K$8</f>
        <v>69350.12778</v>
      </c>
      <c r="AX7" s="81"/>
      <c r="AY7" s="82">
        <f t="shared" si="21"/>
        <v>-69350.12778</v>
      </c>
      <c r="AZ7" s="68">
        <f t="shared" si="22"/>
        <v>-1</v>
      </c>
      <c r="BA7" s="84">
        <f>BA6/$K$8</f>
        <v>69350.12778</v>
      </c>
      <c r="BB7" s="81"/>
      <c r="BC7" s="82">
        <f t="shared" si="23"/>
        <v>-69350.12778</v>
      </c>
      <c r="BD7" s="68">
        <f t="shared" si="24"/>
        <v>-1</v>
      </c>
      <c r="BE7" s="84">
        <f>BE6/$K$8</f>
        <v>79257.28889</v>
      </c>
      <c r="BF7" s="81"/>
      <c r="BG7" s="82">
        <f t="shared" si="25"/>
        <v>-79257.28889</v>
      </c>
      <c r="BH7" s="68">
        <f t="shared" si="26"/>
        <v>-1</v>
      </c>
      <c r="BI7" s="84">
        <f>BI6/$K$8</f>
        <v>69350.12778</v>
      </c>
      <c r="BJ7" s="81"/>
      <c r="BK7" s="82">
        <f t="shared" si="27"/>
        <v>-69350.12778</v>
      </c>
      <c r="BL7" s="68">
        <f t="shared" si="28"/>
        <v>-1</v>
      </c>
      <c r="BM7" s="86">
        <f t="shared" ref="BM7:BN7" si="29">SUM(L7,P7,T7,X7,AB7,AF7,AO7,AS7,AW7,BA7,BE7,BI7)</f>
        <v>557692.0556</v>
      </c>
      <c r="BN7" s="87">
        <f t="shared" si="29"/>
        <v>181929</v>
      </c>
      <c r="BO7" s="76">
        <f t="shared" ref="BO7:BO9" si="34">(BN7/BM7-1)</f>
        <v>-0.6737823353</v>
      </c>
      <c r="BP7" s="88">
        <v>329232.0</v>
      </c>
      <c r="BQ7" s="78">
        <f t="shared" si="30"/>
        <v>0.6939181354</v>
      </c>
      <c r="BR7" s="3"/>
      <c r="BS7" s="3"/>
      <c r="BT7" s="3"/>
      <c r="BU7" s="3"/>
      <c r="BV7" s="3"/>
      <c r="BW7" s="3"/>
    </row>
    <row r="8">
      <c r="A8" s="1"/>
      <c r="B8" s="26"/>
      <c r="C8" s="27"/>
      <c r="D8" s="28"/>
      <c r="E8" s="29"/>
      <c r="F8" s="30"/>
      <c r="G8" s="31"/>
      <c r="H8" s="32"/>
      <c r="I8" s="33"/>
      <c r="J8" s="50" t="s">
        <v>65</v>
      </c>
      <c r="K8" s="79">
        <v>90.0</v>
      </c>
      <c r="L8" s="65">
        <v>90.0</v>
      </c>
      <c r="M8" s="66">
        <f>IFERROR(M6/M7,"-")</f>
        <v>93.97232533</v>
      </c>
      <c r="N8" s="67">
        <f t="shared" si="5"/>
        <v>3.97232533</v>
      </c>
      <c r="O8" s="68">
        <f t="shared" si="6"/>
        <v>0.04413694811</v>
      </c>
      <c r="P8" s="69">
        <v>90.0</v>
      </c>
      <c r="Q8" s="66">
        <f>Q6/Q7</f>
        <v>96.3671785</v>
      </c>
      <c r="R8" s="67">
        <f t="shared" si="7"/>
        <v>6.367178497</v>
      </c>
      <c r="S8" s="70">
        <f t="shared" si="8"/>
        <v>0.07074642774</v>
      </c>
      <c r="T8" s="71">
        <v>90.0</v>
      </c>
      <c r="U8" s="66">
        <f>IFERROR(U6/U7,"-")</f>
        <v>126.1066005</v>
      </c>
      <c r="V8" s="67">
        <f t="shared" si="9"/>
        <v>36.10660047</v>
      </c>
      <c r="W8" s="68">
        <f t="shared" si="10"/>
        <v>0.4011844497</v>
      </c>
      <c r="X8" s="71">
        <f t="shared" ref="X8:Y8" si="31">IFERROR(X6/X7,"-")</f>
        <v>90</v>
      </c>
      <c r="Y8" s="66">
        <f t="shared" si="31"/>
        <v>98.07298141</v>
      </c>
      <c r="Z8" s="67">
        <f t="shared" si="11"/>
        <v>8.072981415</v>
      </c>
      <c r="AA8" s="68">
        <f t="shared" si="12"/>
        <v>0.0896997935</v>
      </c>
      <c r="AB8" s="71">
        <v>90.0</v>
      </c>
      <c r="AC8" s="66">
        <f>IFERROR(AC6/AC7,"-")</f>
        <v>99.41941868</v>
      </c>
      <c r="AD8" s="67">
        <f t="shared" si="13"/>
        <v>9.419418683</v>
      </c>
      <c r="AE8" s="68">
        <f t="shared" si="14"/>
        <v>0.1046602076</v>
      </c>
      <c r="AF8" s="71">
        <f>AF6/AF7</f>
        <v>90</v>
      </c>
      <c r="AG8" s="66">
        <f t="shared" ref="AG8:AL8" si="32">IFERROR(AG6/AG7,"-")</f>
        <v>73.46412253</v>
      </c>
      <c r="AH8" s="66">
        <f t="shared" si="32"/>
        <v>90.38309439</v>
      </c>
      <c r="AI8" s="287">
        <f t="shared" si="32"/>
        <v>86.39754034</v>
      </c>
      <c r="AJ8" s="287" t="str">
        <f t="shared" si="32"/>
        <v>-</v>
      </c>
      <c r="AK8" s="287" t="str">
        <f t="shared" si="32"/>
        <v>-</v>
      </c>
      <c r="AL8" s="288">
        <f t="shared" si="32"/>
        <v>85.18619197</v>
      </c>
      <c r="AM8" s="67">
        <f t="shared" si="15"/>
        <v>-4.813808032</v>
      </c>
      <c r="AN8" s="68">
        <f t="shared" si="16"/>
        <v>-0.05348675592</v>
      </c>
      <c r="AO8" s="71">
        <f>AO6/AO7</f>
        <v>90</v>
      </c>
      <c r="AP8" s="66" t="str">
        <f>IFERROR(AP6/AP7,"-")</f>
        <v>-</v>
      </c>
      <c r="AQ8" s="67" t="str">
        <f t="shared" si="17"/>
        <v>-</v>
      </c>
      <c r="AR8" s="68" t="str">
        <f t="shared" si="18"/>
        <v>-</v>
      </c>
      <c r="AS8" s="71">
        <f>AS6/AS7</f>
        <v>90</v>
      </c>
      <c r="AT8" s="66" t="str">
        <f>IFERROR(AT6/AT7,"-")</f>
        <v>-</v>
      </c>
      <c r="AU8" s="67" t="str">
        <f t="shared" si="19"/>
        <v>-</v>
      </c>
      <c r="AV8" s="68" t="str">
        <f t="shared" si="20"/>
        <v>-</v>
      </c>
      <c r="AW8" s="71">
        <f>AW6/AW7</f>
        <v>90</v>
      </c>
      <c r="AX8" s="66" t="str">
        <f>IFERROR(AX6/AX7,"-")</f>
        <v>-</v>
      </c>
      <c r="AY8" s="67" t="str">
        <f t="shared" si="21"/>
        <v>-</v>
      </c>
      <c r="AZ8" s="68" t="str">
        <f t="shared" si="22"/>
        <v>-</v>
      </c>
      <c r="BA8" s="71">
        <f>BA6/BA7</f>
        <v>90</v>
      </c>
      <c r="BB8" s="66" t="str">
        <f>IFERROR(BB6/BB7,"-")</f>
        <v>-</v>
      </c>
      <c r="BC8" s="67" t="str">
        <f t="shared" si="23"/>
        <v>-</v>
      </c>
      <c r="BD8" s="68" t="str">
        <f t="shared" si="24"/>
        <v>-</v>
      </c>
      <c r="BE8" s="71">
        <f>BE6/BE7</f>
        <v>90</v>
      </c>
      <c r="BF8" s="66" t="str">
        <f>IFERROR(BF6/BF7,"-")</f>
        <v>-</v>
      </c>
      <c r="BG8" s="67" t="str">
        <f t="shared" si="25"/>
        <v>-</v>
      </c>
      <c r="BH8" s="68" t="str">
        <f t="shared" si="26"/>
        <v>-</v>
      </c>
      <c r="BI8" s="71">
        <f>BI6/BI7</f>
        <v>90</v>
      </c>
      <c r="BJ8" s="66" t="str">
        <f>IFERROR(BJ6/BJ7,"-")</f>
        <v>-</v>
      </c>
      <c r="BK8" s="67" t="str">
        <f t="shared" si="27"/>
        <v>-</v>
      </c>
      <c r="BL8" s="68" t="str">
        <f t="shared" si="28"/>
        <v>-</v>
      </c>
      <c r="BM8" s="89">
        <f t="shared" ref="BM8:BN8" si="33">BM6/BM7</f>
        <v>89.65521295</v>
      </c>
      <c r="BN8" s="90">
        <f t="shared" si="33"/>
        <v>103.1291291</v>
      </c>
      <c r="BO8" s="76">
        <f t="shared" si="34"/>
        <v>0.15028592</v>
      </c>
      <c r="BP8" s="77">
        <f>BP6/BP7</f>
        <v>105.2299512</v>
      </c>
      <c r="BQ8" s="78">
        <f t="shared" si="30"/>
        <v>-0.1480067043</v>
      </c>
      <c r="BR8" s="3"/>
      <c r="BS8" s="3"/>
      <c r="BT8" s="3"/>
      <c r="BU8" s="3"/>
      <c r="BV8" s="3"/>
      <c r="BW8" s="3"/>
    </row>
    <row r="9">
      <c r="A9" s="1"/>
      <c r="B9" s="26"/>
      <c r="C9" s="27"/>
      <c r="D9" s="28"/>
      <c r="E9" s="29"/>
      <c r="F9" s="30"/>
      <c r="G9" s="31"/>
      <c r="H9" s="32"/>
      <c r="I9" s="33"/>
      <c r="J9" s="91" t="s">
        <v>66</v>
      </c>
      <c r="K9" s="92">
        <v>0.049</v>
      </c>
      <c r="L9" s="93">
        <f t="shared" ref="L9:M9" si="35">L6*$K$9</f>
        <v>140341.88</v>
      </c>
      <c r="M9" s="94">
        <f t="shared" si="35"/>
        <v>153426.7361</v>
      </c>
      <c r="N9" s="95">
        <f t="shared" si="5"/>
        <v>13084.85612</v>
      </c>
      <c r="O9" s="96">
        <f t="shared" si="6"/>
        <v>0.09323557672</v>
      </c>
      <c r="P9" s="97">
        <f t="shared" ref="P9:Q9" si="36">P6*$K$9</f>
        <v>125129.095</v>
      </c>
      <c r="Q9" s="94">
        <f t="shared" si="36"/>
        <v>135710.0428</v>
      </c>
      <c r="R9" s="95">
        <f t="shared" si="7"/>
        <v>10580.94779</v>
      </c>
      <c r="S9" s="98">
        <f t="shared" si="8"/>
        <v>0.08456025187</v>
      </c>
      <c r="T9" s="99">
        <f t="shared" ref="T9:U9" si="37">T6*$K$9</f>
        <v>87381.161</v>
      </c>
      <c r="U9" s="94">
        <f t="shared" si="37"/>
        <v>259199.8849</v>
      </c>
      <c r="V9" s="95">
        <f t="shared" si="9"/>
        <v>171818.7239</v>
      </c>
      <c r="W9" s="96">
        <f t="shared" si="10"/>
        <v>1.966313127</v>
      </c>
      <c r="X9" s="93">
        <f t="shared" ref="X9:Y9" si="38">X6*$K$9</f>
        <v>131071.7415</v>
      </c>
      <c r="Y9" s="97">
        <f t="shared" si="38"/>
        <v>179704.5179</v>
      </c>
      <c r="Z9" s="95">
        <f t="shared" si="11"/>
        <v>48632.77636</v>
      </c>
      <c r="AA9" s="96">
        <f t="shared" si="12"/>
        <v>0.3710393698</v>
      </c>
      <c r="AB9" s="93">
        <f t="shared" ref="AB9:AC9" si="39">AB6*$K$9</f>
        <v>174762.322</v>
      </c>
      <c r="AC9" s="97">
        <f t="shared" si="39"/>
        <v>173972.8477</v>
      </c>
      <c r="AD9" s="95">
        <f t="shared" si="13"/>
        <v>-789.47428</v>
      </c>
      <c r="AE9" s="96">
        <f t="shared" si="14"/>
        <v>-0.004517416975</v>
      </c>
      <c r="AF9" s="93">
        <f t="shared" ref="AF9:AL9" si="40">AF6*$K$9</f>
        <v>174762.322</v>
      </c>
      <c r="AG9" s="97">
        <f t="shared" si="40"/>
        <v>17332.75775</v>
      </c>
      <c r="AH9" s="97">
        <f t="shared" si="40"/>
        <v>39974.09269</v>
      </c>
      <c r="AI9" s="289">
        <f t="shared" si="40"/>
        <v>33321.71696</v>
      </c>
      <c r="AJ9" s="289">
        <f t="shared" si="40"/>
        <v>0</v>
      </c>
      <c r="AK9" s="289">
        <f t="shared" si="40"/>
        <v>0</v>
      </c>
      <c r="AL9" s="290">
        <f t="shared" si="40"/>
        <v>90628.5674</v>
      </c>
      <c r="AM9" s="95">
        <f t="shared" si="15"/>
        <v>-84133.7546</v>
      </c>
      <c r="AN9" s="96">
        <f t="shared" si="16"/>
        <v>-0.4814181549</v>
      </c>
      <c r="AO9" s="93">
        <f t="shared" ref="AO9:AP9" si="41">AO6*$K$9</f>
        <v>218452.9025</v>
      </c>
      <c r="AP9" s="97">
        <f t="shared" si="41"/>
        <v>0</v>
      </c>
      <c r="AQ9" s="95">
        <f t="shared" si="17"/>
        <v>-218452.9025</v>
      </c>
      <c r="AR9" s="96">
        <f t="shared" si="18"/>
        <v>-1</v>
      </c>
      <c r="AS9" s="93">
        <f t="shared" ref="AS9:AT9" si="42">AS6*$K$9</f>
        <v>131071.7415</v>
      </c>
      <c r="AT9" s="97">
        <f t="shared" si="42"/>
        <v>0</v>
      </c>
      <c r="AU9" s="95">
        <f t="shared" si="19"/>
        <v>-131071.7415</v>
      </c>
      <c r="AV9" s="96">
        <f t="shared" si="20"/>
        <v>-1</v>
      </c>
      <c r="AW9" s="93">
        <f t="shared" ref="AW9:AX9" si="43">AW6*$K$9</f>
        <v>305834.0635</v>
      </c>
      <c r="AX9" s="97">
        <f t="shared" si="43"/>
        <v>0</v>
      </c>
      <c r="AY9" s="95">
        <f t="shared" si="21"/>
        <v>-305834.0635</v>
      </c>
      <c r="AZ9" s="96">
        <f t="shared" si="22"/>
        <v>-1</v>
      </c>
      <c r="BA9" s="93">
        <f t="shared" ref="BA9:BB9" si="44">BA6*$K$9</f>
        <v>305834.0635</v>
      </c>
      <c r="BB9" s="97">
        <f t="shared" si="44"/>
        <v>0</v>
      </c>
      <c r="BC9" s="95">
        <f t="shared" si="23"/>
        <v>-305834.0635</v>
      </c>
      <c r="BD9" s="96">
        <f t="shared" si="24"/>
        <v>-1</v>
      </c>
      <c r="BE9" s="93">
        <f t="shared" ref="BE9:BF9" si="45">BE6*$K$9</f>
        <v>349524.644</v>
      </c>
      <c r="BF9" s="97">
        <f t="shared" si="45"/>
        <v>0</v>
      </c>
      <c r="BG9" s="95">
        <f t="shared" si="25"/>
        <v>-349524.644</v>
      </c>
      <c r="BH9" s="96">
        <f t="shared" si="26"/>
        <v>-1</v>
      </c>
      <c r="BI9" s="93">
        <f t="shared" ref="BI9:BJ9" si="46">BI6*$K$9</f>
        <v>305834.0635</v>
      </c>
      <c r="BJ9" s="97">
        <f t="shared" si="46"/>
        <v>0</v>
      </c>
      <c r="BK9" s="95">
        <f t="shared" si="27"/>
        <v>-305834.0635</v>
      </c>
      <c r="BL9" s="96">
        <f t="shared" si="28"/>
        <v>-1</v>
      </c>
      <c r="BM9" s="100">
        <f t="shared" ref="BM9:BN9" si="47">SUM(L9,P9,T9,X9,AB9,AF9,AO9,AS9,AW9,BA9,BE9,BI9)</f>
        <v>2450000</v>
      </c>
      <c r="BN9" s="101">
        <f t="shared" si="47"/>
        <v>919346.7872</v>
      </c>
      <c r="BO9" s="102">
        <f t="shared" si="34"/>
        <v>-0.6247564134</v>
      </c>
      <c r="BP9" s="103">
        <f>BP6*0.049</f>
        <v>1697608.298</v>
      </c>
      <c r="BQ9" s="104">
        <f t="shared" si="30"/>
        <v>0.4432068949</v>
      </c>
      <c r="BR9" s="3"/>
      <c r="BS9" s="3"/>
      <c r="BT9" s="4"/>
      <c r="BU9" s="3"/>
      <c r="BV9" s="3"/>
      <c r="BW9" s="3"/>
    </row>
    <row r="10">
      <c r="A10" s="1"/>
      <c r="B10" s="105"/>
      <c r="C10" s="106"/>
      <c r="D10" s="107"/>
      <c r="E10" s="108"/>
      <c r="F10" s="109"/>
      <c r="G10" s="110"/>
      <c r="H10" s="111"/>
      <c r="I10" s="112"/>
      <c r="J10" s="13"/>
      <c r="K10" s="113"/>
      <c r="L10" s="113"/>
      <c r="M10" s="114"/>
      <c r="N10" s="114"/>
      <c r="O10" s="114"/>
      <c r="P10" s="115">
        <v>16.0</v>
      </c>
      <c r="Q10" s="23"/>
      <c r="R10" s="115">
        <v>100.0</v>
      </c>
      <c r="S10" s="115">
        <v>180.0</v>
      </c>
      <c r="T10" s="115">
        <v>300.0</v>
      </c>
      <c r="U10" s="115">
        <v>400.0</v>
      </c>
      <c r="V10" s="115">
        <v>450.0</v>
      </c>
      <c r="W10" s="115">
        <v>500.0</v>
      </c>
      <c r="X10" s="116"/>
      <c r="Y10" s="14"/>
      <c r="Z10" s="15"/>
      <c r="AA10" s="3"/>
      <c r="AB10" s="3"/>
      <c r="AC10" s="3"/>
      <c r="AD10" s="3"/>
      <c r="AE10" s="3"/>
      <c r="AF10" s="3"/>
      <c r="AG10" s="291"/>
      <c r="AH10" s="291"/>
      <c r="AI10" s="291"/>
      <c r="AJ10" s="291"/>
      <c r="AK10" s="291"/>
      <c r="AL10" s="291"/>
      <c r="AU10" s="117"/>
      <c r="AV10" s="25"/>
      <c r="AW10" s="117"/>
      <c r="AX10" s="118"/>
      <c r="AY10" s="25"/>
    </row>
    <row r="11">
      <c r="A11" s="1"/>
      <c r="B11" s="105"/>
      <c r="C11" s="106"/>
      <c r="D11" s="107"/>
      <c r="E11" s="108"/>
      <c r="F11" s="109"/>
      <c r="G11" s="110"/>
      <c r="H11" s="111"/>
      <c r="I11" s="112"/>
      <c r="J11" s="34" t="s">
        <v>67</v>
      </c>
      <c r="K11" s="35"/>
      <c r="L11" s="36" t="s">
        <v>10</v>
      </c>
      <c r="M11" s="37" t="s">
        <v>11</v>
      </c>
      <c r="N11" s="38" t="s">
        <v>12</v>
      </c>
      <c r="O11" s="39" t="s">
        <v>13</v>
      </c>
      <c r="P11" s="119" t="s">
        <v>14</v>
      </c>
      <c r="Q11" s="37" t="s">
        <v>15</v>
      </c>
      <c r="R11" s="38" t="s">
        <v>16</v>
      </c>
      <c r="S11" s="39" t="s">
        <v>17</v>
      </c>
      <c r="T11" s="36" t="s">
        <v>18</v>
      </c>
      <c r="U11" s="37" t="s">
        <v>19</v>
      </c>
      <c r="V11" s="38" t="s">
        <v>20</v>
      </c>
      <c r="W11" s="39" t="s">
        <v>21</v>
      </c>
      <c r="X11" s="119" t="s">
        <v>22</v>
      </c>
      <c r="Y11" s="120" t="s">
        <v>23</v>
      </c>
      <c r="Z11" s="38" t="s">
        <v>24</v>
      </c>
      <c r="AA11" s="121" t="s">
        <v>25</v>
      </c>
      <c r="AB11" s="43" t="s">
        <v>26</v>
      </c>
      <c r="AC11" s="120" t="s">
        <v>27</v>
      </c>
      <c r="AD11" s="38" t="s">
        <v>28</v>
      </c>
      <c r="AE11" s="121" t="s">
        <v>29</v>
      </c>
      <c r="AF11" s="44" t="s">
        <v>30</v>
      </c>
      <c r="AG11" s="261" t="s">
        <v>107</v>
      </c>
      <c r="AH11" s="262" t="s">
        <v>108</v>
      </c>
      <c r="AI11" s="262" t="s">
        <v>109</v>
      </c>
      <c r="AJ11" s="262" t="s">
        <v>110</v>
      </c>
      <c r="AK11" s="262" t="s">
        <v>111</v>
      </c>
      <c r="AL11" s="262" t="s">
        <v>31</v>
      </c>
      <c r="AM11" s="38" t="s">
        <v>32</v>
      </c>
      <c r="AN11" s="121" t="s">
        <v>33</v>
      </c>
      <c r="AO11" s="43" t="s">
        <v>34</v>
      </c>
      <c r="AP11" s="120" t="s">
        <v>35</v>
      </c>
      <c r="AQ11" s="38" t="s">
        <v>36</v>
      </c>
      <c r="AR11" s="121" t="s">
        <v>37</v>
      </c>
      <c r="AS11" s="44" t="s">
        <v>38</v>
      </c>
      <c r="AT11" s="120" t="s">
        <v>39</v>
      </c>
      <c r="AU11" s="38" t="s">
        <v>40</v>
      </c>
      <c r="AV11" s="121" t="s">
        <v>41</v>
      </c>
      <c r="AW11" s="43" t="s">
        <v>42</v>
      </c>
      <c r="AX11" s="120" t="s">
        <v>43</v>
      </c>
      <c r="AY11" s="38" t="s">
        <v>44</v>
      </c>
      <c r="AZ11" s="121" t="s">
        <v>45</v>
      </c>
      <c r="BA11" s="44" t="s">
        <v>46</v>
      </c>
      <c r="BB11" s="120" t="s">
        <v>47</v>
      </c>
      <c r="BC11" s="38" t="s">
        <v>48</v>
      </c>
      <c r="BD11" s="121" t="s">
        <v>49</v>
      </c>
      <c r="BE11" s="43" t="s">
        <v>50</v>
      </c>
      <c r="BF11" s="120" t="s">
        <v>51</v>
      </c>
      <c r="BG11" s="38" t="s">
        <v>52</v>
      </c>
      <c r="BH11" s="121" t="s">
        <v>53</v>
      </c>
      <c r="BI11" s="44" t="s">
        <v>54</v>
      </c>
      <c r="BJ11" s="120" t="s">
        <v>55</v>
      </c>
      <c r="BK11" s="38" t="s">
        <v>56</v>
      </c>
      <c r="BL11" s="121" t="s">
        <v>57</v>
      </c>
      <c r="BM11" s="122">
        <v>2026.0</v>
      </c>
      <c r="BN11" s="123" t="s">
        <v>58</v>
      </c>
      <c r="BO11" s="47" t="s">
        <v>59</v>
      </c>
      <c r="BP11" s="124">
        <v>2025.0</v>
      </c>
      <c r="BQ11" s="49" t="s">
        <v>60</v>
      </c>
      <c r="BR11" s="3"/>
      <c r="BS11" s="3"/>
      <c r="BT11" s="3"/>
      <c r="BU11" s="3"/>
      <c r="BV11" s="3"/>
      <c r="BW11" s="3"/>
    </row>
    <row r="12">
      <c r="A12" s="1"/>
      <c r="B12" s="105"/>
      <c r="C12" s="106"/>
      <c r="D12" s="107"/>
      <c r="E12" s="108"/>
      <c r="F12" s="109"/>
      <c r="G12" s="110"/>
      <c r="H12" s="111"/>
      <c r="I12" s="112"/>
      <c r="J12" s="263" t="s">
        <v>112</v>
      </c>
      <c r="K12" s="264"/>
      <c r="L12" s="265"/>
      <c r="M12" s="266"/>
      <c r="N12" s="267"/>
      <c r="O12" s="268"/>
      <c r="P12" s="265"/>
      <c r="Q12" s="266"/>
      <c r="R12" s="267"/>
      <c r="S12" s="268"/>
      <c r="T12" s="265"/>
      <c r="U12" s="266"/>
      <c r="V12" s="267"/>
      <c r="W12" s="268"/>
      <c r="X12" s="265"/>
      <c r="Y12" s="266"/>
      <c r="Z12" s="267"/>
      <c r="AA12" s="268"/>
      <c r="AB12" s="271"/>
      <c r="AC12" s="272"/>
      <c r="AD12" s="267"/>
      <c r="AE12" s="268"/>
      <c r="AF12" s="271"/>
      <c r="AG12" s="273">
        <f t="shared" ref="AG12:AK12" si="48">$AF$13/5</f>
        <v>0.004</v>
      </c>
      <c r="AH12" s="273">
        <f t="shared" si="48"/>
        <v>0.004</v>
      </c>
      <c r="AI12" s="273">
        <f t="shared" si="48"/>
        <v>0.004</v>
      </c>
      <c r="AJ12" s="273">
        <f t="shared" si="48"/>
        <v>0.004</v>
      </c>
      <c r="AK12" s="273">
        <f t="shared" si="48"/>
        <v>0.004</v>
      </c>
      <c r="AL12" s="274"/>
      <c r="AM12" s="267"/>
      <c r="AN12" s="268"/>
      <c r="AO12" s="271"/>
      <c r="AP12" s="272"/>
      <c r="AQ12" s="267"/>
      <c r="AR12" s="268"/>
      <c r="AS12" s="271"/>
      <c r="AT12" s="272"/>
      <c r="AU12" s="267"/>
      <c r="AV12" s="268"/>
      <c r="AW12" s="271"/>
      <c r="AX12" s="272"/>
      <c r="AY12" s="267"/>
      <c r="AZ12" s="268"/>
      <c r="BA12" s="271"/>
      <c r="BB12" s="272"/>
      <c r="BC12" s="267"/>
      <c r="BD12" s="268"/>
      <c r="BE12" s="271"/>
      <c r="BF12" s="272"/>
      <c r="BG12" s="267"/>
      <c r="BH12" s="268"/>
      <c r="BI12" s="271"/>
      <c r="BJ12" s="272"/>
      <c r="BK12" s="267"/>
      <c r="BL12" s="268"/>
      <c r="BM12" s="292"/>
      <c r="BN12" s="293"/>
      <c r="BO12" s="277"/>
      <c r="BP12" s="294"/>
      <c r="BQ12" s="64"/>
      <c r="BR12" s="3"/>
      <c r="BS12" s="3"/>
      <c r="BT12" s="3"/>
      <c r="BU12" s="3"/>
      <c r="BV12" s="3"/>
      <c r="BW12" s="3"/>
    </row>
    <row r="13">
      <c r="A13" s="1"/>
      <c r="B13" s="105">
        <v>3.0</v>
      </c>
      <c r="C13" s="106" t="s">
        <v>68</v>
      </c>
      <c r="D13" s="107"/>
      <c r="E13" s="108"/>
      <c r="F13" s="109"/>
      <c r="G13" s="110"/>
      <c r="H13" s="111"/>
      <c r="I13" s="112"/>
      <c r="J13" s="50" t="s">
        <v>61</v>
      </c>
      <c r="K13" s="51"/>
      <c r="L13" s="52" t="s">
        <v>60</v>
      </c>
      <c r="M13" s="53" t="s">
        <v>60</v>
      </c>
      <c r="N13" s="54" t="s">
        <v>60</v>
      </c>
      <c r="O13" s="55" t="s">
        <v>62</v>
      </c>
      <c r="P13" s="52" t="s">
        <v>60</v>
      </c>
      <c r="Q13" s="53"/>
      <c r="R13" s="54" t="s">
        <v>60</v>
      </c>
      <c r="S13" s="55" t="s">
        <v>62</v>
      </c>
      <c r="T13" s="52" t="s">
        <v>60</v>
      </c>
      <c r="U13" s="53"/>
      <c r="V13" s="54" t="s">
        <v>60</v>
      </c>
      <c r="W13" s="55" t="s">
        <v>62</v>
      </c>
      <c r="X13" s="52" t="s">
        <v>60</v>
      </c>
      <c r="Y13" s="53"/>
      <c r="Z13" s="54" t="s">
        <v>60</v>
      </c>
      <c r="AA13" s="55" t="s">
        <v>62</v>
      </c>
      <c r="AB13" s="58">
        <v>0.01</v>
      </c>
      <c r="AC13" s="59">
        <f>AC14/(BM14-(L14+P14+T14+X14))</f>
        <v>0.000267215</v>
      </c>
      <c r="AD13" s="54" t="s">
        <v>60</v>
      </c>
      <c r="AE13" s="55" t="s">
        <v>62</v>
      </c>
      <c r="AF13" s="58">
        <v>0.02</v>
      </c>
      <c r="AG13" s="61">
        <f t="shared" ref="AG13:AK13" si="49">AG14/($BM$14-($L$14+$P$14+$T$14+$X$14))</f>
        <v>0.000475815</v>
      </c>
      <c r="AH13" s="61">
        <f t="shared" si="49"/>
        <v>0.00113945</v>
      </c>
      <c r="AI13" s="61">
        <f t="shared" si="49"/>
        <v>0.00010949</v>
      </c>
      <c r="AJ13" s="61">
        <f t="shared" si="49"/>
        <v>0</v>
      </c>
      <c r="AK13" s="61">
        <f t="shared" si="49"/>
        <v>0</v>
      </c>
      <c r="AL13" s="279">
        <f t="shared" ref="AL13:AL15" si="51">SUM(AG13:AK13)</f>
        <v>0.001724755</v>
      </c>
      <c r="AM13" s="280">
        <f>AL13-AF13</f>
        <v>-0.018275245</v>
      </c>
      <c r="AN13" s="55" t="s">
        <v>62</v>
      </c>
      <c r="AO13" s="58">
        <v>0.05</v>
      </c>
      <c r="AP13" s="59">
        <f>AP14/(BM14-(L14+P14+T14+X14))</f>
        <v>0</v>
      </c>
      <c r="AQ13" s="54" t="s">
        <v>60</v>
      </c>
      <c r="AR13" s="55" t="s">
        <v>62</v>
      </c>
      <c r="AS13" s="58">
        <v>0.1</v>
      </c>
      <c r="AT13" s="59">
        <f>AT14/(BM14-(L14+P14+T14+X14))</f>
        <v>0</v>
      </c>
      <c r="AU13" s="54" t="s">
        <v>60</v>
      </c>
      <c r="AV13" s="55" t="s">
        <v>62</v>
      </c>
      <c r="AW13" s="58">
        <v>0.12</v>
      </c>
      <c r="AX13" s="59">
        <f>AX14/(BM14-(L14+P14+T14+X14))</f>
        <v>0</v>
      </c>
      <c r="AY13" s="54" t="s">
        <v>60</v>
      </c>
      <c r="AZ13" s="55" t="s">
        <v>62</v>
      </c>
      <c r="BA13" s="58">
        <v>0.2</v>
      </c>
      <c r="BB13" s="59">
        <f>BB14/(BM14-(L14+P14+T14+X14))</f>
        <v>0</v>
      </c>
      <c r="BC13" s="54" t="s">
        <v>60</v>
      </c>
      <c r="BD13" s="55" t="s">
        <v>62</v>
      </c>
      <c r="BE13" s="58">
        <v>0.25</v>
      </c>
      <c r="BF13" s="59">
        <f>BF14/(BM14-(L14+P14+T14+X14))</f>
        <v>0</v>
      </c>
      <c r="BG13" s="54" t="s">
        <v>60</v>
      </c>
      <c r="BH13" s="55" t="s">
        <v>62</v>
      </c>
      <c r="BI13" s="58">
        <v>0.25</v>
      </c>
      <c r="BJ13" s="59">
        <f>BJ14/(BM14-(L14+P14+T14+X14))</f>
        <v>0</v>
      </c>
      <c r="BK13" s="54" t="s">
        <v>60</v>
      </c>
      <c r="BL13" s="55" t="s">
        <v>62</v>
      </c>
      <c r="BM13" s="125">
        <f t="shared" ref="BM13:BN13" si="50">SUM(AB13,AF13,AO13,AS13,AW13,BA13,BE13,BI13)</f>
        <v>1</v>
      </c>
      <c r="BN13" s="126">
        <f t="shared" si="50"/>
        <v>0.00074303</v>
      </c>
      <c r="BO13" s="62"/>
      <c r="BP13" s="63" t="s">
        <v>60</v>
      </c>
      <c r="BQ13" s="64"/>
      <c r="BR13" s="3"/>
      <c r="BS13" s="3"/>
      <c r="BT13" s="3"/>
      <c r="BU13" s="3"/>
      <c r="BV13" s="3"/>
      <c r="BW13" s="3"/>
    </row>
    <row r="14">
      <c r="A14" s="1"/>
      <c r="B14" s="105"/>
      <c r="C14" s="106"/>
      <c r="D14" s="107"/>
      <c r="E14" s="108"/>
      <c r="F14" s="109"/>
      <c r="G14" s="110"/>
      <c r="H14" s="111"/>
      <c r="I14" s="112"/>
      <c r="J14" s="50" t="s">
        <v>63</v>
      </c>
      <c r="K14" s="51"/>
      <c r="L14" s="127">
        <v>0.0</v>
      </c>
      <c r="M14" s="66">
        <v>345.44</v>
      </c>
      <c r="N14" s="67">
        <f t="shared" ref="N14:N17" si="52">IFERROR(M14-L14,"-")</f>
        <v>345.44</v>
      </c>
      <c r="O14" s="68" t="str">
        <f t="shared" ref="O14:O17" si="53">IFERROR(M14/L14-1,"-")</f>
        <v>-</v>
      </c>
      <c r="P14" s="127">
        <v>0.0</v>
      </c>
      <c r="Q14" s="66">
        <v>511.94</v>
      </c>
      <c r="R14" s="67">
        <f t="shared" ref="R14:R17" si="54">IFERROR(Q14-P14,"-")</f>
        <v>511.94</v>
      </c>
      <c r="S14" s="68" t="str">
        <f t="shared" ref="S14:S17" si="55">IFERROR(Q14/P14-1,"-")</f>
        <v>-</v>
      </c>
      <c r="T14" s="65">
        <v>0.0</v>
      </c>
      <c r="U14" s="66">
        <v>724.91</v>
      </c>
      <c r="V14" s="67">
        <f t="shared" ref="V14:V17" si="56">IFERROR(U14-T14,"-")</f>
        <v>724.91</v>
      </c>
      <c r="W14" s="68" t="str">
        <f t="shared" ref="W14:W17" si="57">IFERROR(U14/T14-1,"-")</f>
        <v>-</v>
      </c>
      <c r="X14" s="65">
        <v>0.0</v>
      </c>
      <c r="Y14" s="66">
        <v>682.92</v>
      </c>
      <c r="Z14" s="67">
        <f t="shared" ref="Z14:Z17" si="58">IFERROR(Y14-X14,"-")</f>
        <v>682.92</v>
      </c>
      <c r="AA14" s="68" t="str">
        <f t="shared" ref="AA14:AA17" si="59">IFERROR(Y14/X14-1,"-")</f>
        <v>-</v>
      </c>
      <c r="AB14" s="71">
        <f>($BM$14-($L$14+$P$14+T14+X14))*AB13</f>
        <v>20000</v>
      </c>
      <c r="AC14" s="66">
        <v>534.43</v>
      </c>
      <c r="AD14" s="67">
        <f t="shared" ref="AD14:AD17" si="60">IFERROR(AC14-AB14,"-")</f>
        <v>-19465.57</v>
      </c>
      <c r="AE14" s="68">
        <f t="shared" ref="AE14:AE17" si="61">IFERROR(AC14/AB14-1,"-")</f>
        <v>-0.9732785</v>
      </c>
      <c r="AF14" s="71">
        <f>($BM$14-($L$14+$P$14+$T$14+$X$14))*AF13</f>
        <v>40000</v>
      </c>
      <c r="AG14" s="73">
        <v>951.63</v>
      </c>
      <c r="AH14" s="281">
        <v>2278.9</v>
      </c>
      <c r="AI14" s="282">
        <v>218.98</v>
      </c>
      <c r="AJ14" s="282"/>
      <c r="AK14" s="282"/>
      <c r="AL14" s="283">
        <f t="shared" si="51"/>
        <v>3449.51</v>
      </c>
      <c r="AM14" s="67">
        <f t="shared" ref="AM14:AM17" si="62">IFERROR(AL14-AF14,"-")</f>
        <v>-36550.49</v>
      </c>
      <c r="AN14" s="68">
        <f t="shared" ref="AN14:AN17" si="63">IFERROR(AL14/AF14-1,"-")</f>
        <v>-0.91376225</v>
      </c>
      <c r="AO14" s="71">
        <f>($BM$14-($L$14+$P$14+$T$14+$X$14))*AO13</f>
        <v>100000</v>
      </c>
      <c r="AP14" s="66"/>
      <c r="AQ14" s="67">
        <f t="shared" ref="AQ14:AQ17" si="64">IFERROR(AP14-AO14,"-")</f>
        <v>-100000</v>
      </c>
      <c r="AR14" s="68">
        <f t="shared" ref="AR14:AR17" si="65">IFERROR(AP14/AO14-1,"-")</f>
        <v>-1</v>
      </c>
      <c r="AS14" s="71">
        <f>($BM$14-($L$14+$P$14+$T$14+$X$14))*AS13</f>
        <v>200000</v>
      </c>
      <c r="AT14" s="66"/>
      <c r="AU14" s="67">
        <f t="shared" ref="AU14:AU17" si="66">IFERROR(AT14-AS14,"-")</f>
        <v>-200000</v>
      </c>
      <c r="AV14" s="68">
        <f t="shared" ref="AV14:AV17" si="67">IFERROR(AT14/AS14-1,"-")</f>
        <v>-1</v>
      </c>
      <c r="AW14" s="71">
        <f>($BM$14-($L$14+$P$14+$T$14+$X$14))*AW13</f>
        <v>240000</v>
      </c>
      <c r="AX14" s="66"/>
      <c r="AY14" s="67">
        <f t="shared" ref="AY14:AY17" si="68">IFERROR(AX14-AW14,"-")</f>
        <v>-240000</v>
      </c>
      <c r="AZ14" s="68">
        <f t="shared" ref="AZ14:AZ17" si="69">IFERROR(AX14/AW14-1,"-")</f>
        <v>-1</v>
      </c>
      <c r="BA14" s="71">
        <f>($BM$14-($L$14+$P$14+$T$14+$X$14))*BA13</f>
        <v>400000</v>
      </c>
      <c r="BB14" s="66"/>
      <c r="BC14" s="67">
        <f t="shared" ref="BC14:BC17" si="70">IFERROR(BB14-BA14,"-")</f>
        <v>-400000</v>
      </c>
      <c r="BD14" s="68">
        <f t="shared" ref="BD14:BD17" si="71">IFERROR(BB14/BA14-1,"-")</f>
        <v>-1</v>
      </c>
      <c r="BE14" s="71">
        <f>($BM$14-($L$14+$P$14+$T$14+$X$14))*BE13</f>
        <v>500000</v>
      </c>
      <c r="BF14" s="66"/>
      <c r="BG14" s="67">
        <f t="shared" ref="BG14:BG17" si="72">IFERROR(BF14-BE14,"-")</f>
        <v>-500000</v>
      </c>
      <c r="BH14" s="68">
        <f t="shared" ref="BH14:BH17" si="73">IFERROR(BF14/BE14-1,"-")</f>
        <v>-1</v>
      </c>
      <c r="BI14" s="71">
        <f>($BM$14-($L$14+$P$14+$T$14+$X$14))*BI13</f>
        <v>500000</v>
      </c>
      <c r="BJ14" s="66"/>
      <c r="BK14" s="67">
        <f t="shared" ref="BK14:BK17" si="74">IFERROR(BJ14-BI14,"-")</f>
        <v>-500000</v>
      </c>
      <c r="BL14" s="68">
        <f t="shared" ref="BL14:BL17" si="75">IFERROR(BJ14/BI14-1,"-")</f>
        <v>-1</v>
      </c>
      <c r="BM14" s="75">
        <v>2000000.0</v>
      </c>
      <c r="BN14" s="128">
        <f>SUM(M14,Q14,U14,Y14,AC14,AG14,AP14,AT14,AX14,BB14,BF14,BJ14)</f>
        <v>3751.27</v>
      </c>
      <c r="BO14" s="76">
        <f t="shared" ref="BO14:BO17" si="77">IFERROR(BN14/BM14-1,"-")</f>
        <v>-0.998124365</v>
      </c>
      <c r="BP14" s="77" t="s">
        <v>60</v>
      </c>
      <c r="BQ14" s="78" t="str">
        <f t="shared" ref="BQ14:BQ15" si="78">IFERROR((BM14/BP14),"-")</f>
        <v>-</v>
      </c>
      <c r="BR14" s="3"/>
      <c r="BS14" s="3"/>
      <c r="BT14" s="3"/>
      <c r="BU14" s="3"/>
      <c r="BV14" s="3"/>
      <c r="BW14" s="3"/>
    </row>
    <row r="15">
      <c r="A15" s="1"/>
      <c r="B15" s="105"/>
      <c r="C15" s="106"/>
      <c r="D15" s="107"/>
      <c r="E15" s="108"/>
      <c r="F15" s="109"/>
      <c r="G15" s="110"/>
      <c r="H15" s="111"/>
      <c r="I15" s="112"/>
      <c r="J15" s="50" t="s">
        <v>64</v>
      </c>
      <c r="K15" s="79"/>
      <c r="L15" s="129">
        <v>0.0</v>
      </c>
      <c r="M15" s="81">
        <v>15.0</v>
      </c>
      <c r="N15" s="82">
        <f t="shared" si="52"/>
        <v>15</v>
      </c>
      <c r="O15" s="68" t="str">
        <f t="shared" si="53"/>
        <v>-</v>
      </c>
      <c r="P15" s="129">
        <v>0.0</v>
      </c>
      <c r="Q15" s="81">
        <v>8.0</v>
      </c>
      <c r="R15" s="82">
        <f t="shared" si="54"/>
        <v>8</v>
      </c>
      <c r="S15" s="68" t="str">
        <f t="shared" si="55"/>
        <v>-</v>
      </c>
      <c r="T15" s="80">
        <f>T14/$K$16</f>
        <v>0</v>
      </c>
      <c r="U15" s="81">
        <v>9.0</v>
      </c>
      <c r="V15" s="82">
        <f t="shared" si="56"/>
        <v>9</v>
      </c>
      <c r="W15" s="68" t="str">
        <f t="shared" si="57"/>
        <v>-</v>
      </c>
      <c r="X15" s="80">
        <f>X14/$K$16</f>
        <v>0</v>
      </c>
      <c r="Y15" s="81">
        <v>11.0</v>
      </c>
      <c r="Z15" s="82">
        <f t="shared" si="58"/>
        <v>11</v>
      </c>
      <c r="AA15" s="68" t="str">
        <f t="shared" si="59"/>
        <v>-</v>
      </c>
      <c r="AB15" s="84">
        <f>AB14/$K$16</f>
        <v>666.6666667</v>
      </c>
      <c r="AC15" s="81">
        <v>11.0</v>
      </c>
      <c r="AD15" s="82">
        <f t="shared" si="60"/>
        <v>-655.6666667</v>
      </c>
      <c r="AE15" s="68">
        <f t="shared" si="61"/>
        <v>-0.9835</v>
      </c>
      <c r="AF15" s="84">
        <f>AF14/$K$16</f>
        <v>1333.333333</v>
      </c>
      <c r="AG15" s="85">
        <v>52.0</v>
      </c>
      <c r="AH15" s="284">
        <v>88.0</v>
      </c>
      <c r="AI15" s="285">
        <v>7.0</v>
      </c>
      <c r="AJ15" s="285"/>
      <c r="AK15" s="285"/>
      <c r="AL15" s="286">
        <f t="shared" si="51"/>
        <v>147</v>
      </c>
      <c r="AM15" s="82">
        <f t="shared" si="62"/>
        <v>-1186.333333</v>
      </c>
      <c r="AN15" s="68">
        <f t="shared" si="63"/>
        <v>-0.88975</v>
      </c>
      <c r="AO15" s="84">
        <f>AO14/$K$16</f>
        <v>3333.333333</v>
      </c>
      <c r="AP15" s="81"/>
      <c r="AQ15" s="82">
        <f t="shared" si="64"/>
        <v>-3333.333333</v>
      </c>
      <c r="AR15" s="68">
        <f t="shared" si="65"/>
        <v>-1</v>
      </c>
      <c r="AS15" s="84">
        <f>AS14/$K$16</f>
        <v>6666.666667</v>
      </c>
      <c r="AT15" s="81"/>
      <c r="AU15" s="82">
        <f t="shared" si="66"/>
        <v>-6666.666667</v>
      </c>
      <c r="AV15" s="68">
        <f t="shared" si="67"/>
        <v>-1</v>
      </c>
      <c r="AW15" s="84">
        <f>AW14/$K$16</f>
        <v>8000</v>
      </c>
      <c r="AX15" s="81"/>
      <c r="AY15" s="82">
        <f t="shared" si="68"/>
        <v>-8000</v>
      </c>
      <c r="AZ15" s="68">
        <f t="shared" si="69"/>
        <v>-1</v>
      </c>
      <c r="BA15" s="84">
        <f>BA14/$K$16</f>
        <v>13333.33333</v>
      </c>
      <c r="BB15" s="81"/>
      <c r="BC15" s="82">
        <f t="shared" si="70"/>
        <v>-13333.33333</v>
      </c>
      <c r="BD15" s="68">
        <f t="shared" si="71"/>
        <v>-1</v>
      </c>
      <c r="BE15" s="84">
        <f>BE14/$K$16</f>
        <v>16666.66667</v>
      </c>
      <c r="BF15" s="81"/>
      <c r="BG15" s="82">
        <f t="shared" si="72"/>
        <v>-16666.66667</v>
      </c>
      <c r="BH15" s="68">
        <f t="shared" si="73"/>
        <v>-1</v>
      </c>
      <c r="BI15" s="84">
        <f>BI14/$K$16</f>
        <v>16666.66667</v>
      </c>
      <c r="BJ15" s="81"/>
      <c r="BK15" s="82">
        <f t="shared" si="74"/>
        <v>-16666.66667</v>
      </c>
      <c r="BL15" s="68">
        <f t="shared" si="75"/>
        <v>-1</v>
      </c>
      <c r="BM15" s="87">
        <f t="shared" ref="BM15:BN15" si="76">SUM(L15,P15,T15,X15,AB15,AF15,AO15,AS15,AW15,BA15,BE15,BI15)</f>
        <v>66666.66667</v>
      </c>
      <c r="BN15" s="130">
        <f t="shared" si="76"/>
        <v>106</v>
      </c>
      <c r="BO15" s="76">
        <f t="shared" si="77"/>
        <v>-0.99841</v>
      </c>
      <c r="BP15" s="88" t="s">
        <v>60</v>
      </c>
      <c r="BQ15" s="78" t="str">
        <f t="shared" si="78"/>
        <v>-</v>
      </c>
      <c r="BR15" s="3"/>
      <c r="BS15" s="3"/>
      <c r="BT15" s="4"/>
      <c r="BU15" s="3"/>
      <c r="BV15" s="3"/>
      <c r="BW15" s="3"/>
    </row>
    <row r="16">
      <c r="A16" s="1"/>
      <c r="B16" s="105"/>
      <c r="C16" s="106"/>
      <c r="D16" s="107"/>
      <c r="E16" s="108"/>
      <c r="F16" s="109"/>
      <c r="G16" s="110"/>
      <c r="H16" s="111"/>
      <c r="I16" s="112"/>
      <c r="J16" s="50" t="s">
        <v>65</v>
      </c>
      <c r="K16" s="79">
        <v>30.0</v>
      </c>
      <c r="L16" s="127">
        <v>30.0</v>
      </c>
      <c r="M16" s="66">
        <f>IFERROR(M14/M15,"-")</f>
        <v>23.02933333</v>
      </c>
      <c r="N16" s="67">
        <f t="shared" si="52"/>
        <v>-6.970666667</v>
      </c>
      <c r="O16" s="68">
        <f t="shared" si="53"/>
        <v>-0.2323555556</v>
      </c>
      <c r="P16" s="127">
        <v>30.0</v>
      </c>
      <c r="Q16" s="66">
        <f>IFERROR(Q14/Q15,"-")</f>
        <v>63.9925</v>
      </c>
      <c r="R16" s="67">
        <f t="shared" si="54"/>
        <v>33.9925</v>
      </c>
      <c r="S16" s="68">
        <f t="shared" si="55"/>
        <v>1.133083333</v>
      </c>
      <c r="T16" s="65">
        <v>30.0</v>
      </c>
      <c r="U16" s="66">
        <f>IFERROR(U14/U15,"-")</f>
        <v>80.54555556</v>
      </c>
      <c r="V16" s="67">
        <f t="shared" si="56"/>
        <v>50.54555556</v>
      </c>
      <c r="W16" s="68">
        <f t="shared" si="57"/>
        <v>1.684851852</v>
      </c>
      <c r="X16" s="65">
        <v>30.0</v>
      </c>
      <c r="Y16" s="66">
        <f>IFERROR(Y14/Y15,"-")</f>
        <v>62.08363636</v>
      </c>
      <c r="Z16" s="67">
        <f t="shared" si="58"/>
        <v>32.08363636</v>
      </c>
      <c r="AA16" s="68">
        <f t="shared" si="59"/>
        <v>1.069454545</v>
      </c>
      <c r="AB16" s="71">
        <f>AB14/AB15</f>
        <v>30</v>
      </c>
      <c r="AC16" s="66">
        <f>IFERROR(AC14/AC15,"-")</f>
        <v>48.58454545</v>
      </c>
      <c r="AD16" s="67">
        <f t="shared" si="60"/>
        <v>18.58454545</v>
      </c>
      <c r="AE16" s="68">
        <f t="shared" si="61"/>
        <v>0.6194848485</v>
      </c>
      <c r="AF16" s="295">
        <f>AF14/AF15</f>
        <v>30</v>
      </c>
      <c r="AG16" s="296">
        <f t="shared" ref="AG16:AL16" si="79">IFERROR(AG14/AG15,"-")</f>
        <v>18.30057692</v>
      </c>
      <c r="AH16" s="296">
        <f t="shared" si="79"/>
        <v>25.89659091</v>
      </c>
      <c r="AI16" s="297">
        <f t="shared" si="79"/>
        <v>31.28285714</v>
      </c>
      <c r="AJ16" s="297" t="str">
        <f t="shared" si="79"/>
        <v>-</v>
      </c>
      <c r="AK16" s="297" t="str">
        <f t="shared" si="79"/>
        <v>-</v>
      </c>
      <c r="AL16" s="298">
        <f t="shared" si="79"/>
        <v>23.46605442</v>
      </c>
      <c r="AM16" s="67">
        <f t="shared" si="62"/>
        <v>-6.533945578</v>
      </c>
      <c r="AN16" s="68">
        <f t="shared" si="63"/>
        <v>-0.2177981859</v>
      </c>
      <c r="AO16" s="71">
        <f>AO14/AO15</f>
        <v>30</v>
      </c>
      <c r="AP16" s="66" t="str">
        <f>IFERROR(AP14/AP15,"-")</f>
        <v>-</v>
      </c>
      <c r="AQ16" s="67" t="str">
        <f t="shared" si="64"/>
        <v>-</v>
      </c>
      <c r="AR16" s="68" t="str">
        <f t="shared" si="65"/>
        <v>-</v>
      </c>
      <c r="AS16" s="71">
        <f>AS14/AS15</f>
        <v>30</v>
      </c>
      <c r="AT16" s="66" t="str">
        <f>IFERROR(AT14/AT15,"-")</f>
        <v>-</v>
      </c>
      <c r="AU16" s="67" t="str">
        <f t="shared" si="66"/>
        <v>-</v>
      </c>
      <c r="AV16" s="68" t="str">
        <f t="shared" si="67"/>
        <v>-</v>
      </c>
      <c r="AW16" s="71">
        <f>AW14/AW15</f>
        <v>30</v>
      </c>
      <c r="AX16" s="66" t="str">
        <f>IFERROR(AX14/AX15,"-")</f>
        <v>-</v>
      </c>
      <c r="AY16" s="67" t="str">
        <f t="shared" si="68"/>
        <v>-</v>
      </c>
      <c r="AZ16" s="68" t="str">
        <f t="shared" si="69"/>
        <v>-</v>
      </c>
      <c r="BA16" s="71">
        <f>BA14/BA15</f>
        <v>30</v>
      </c>
      <c r="BB16" s="66" t="str">
        <f>IFERROR(BB14/BB15,"-")</f>
        <v>-</v>
      </c>
      <c r="BC16" s="67" t="str">
        <f t="shared" si="70"/>
        <v>-</v>
      </c>
      <c r="BD16" s="68" t="str">
        <f t="shared" si="71"/>
        <v>-</v>
      </c>
      <c r="BE16" s="71">
        <f>BE14/BE15</f>
        <v>30</v>
      </c>
      <c r="BF16" s="66" t="str">
        <f>IFERROR(BF14/BF15,"-")</f>
        <v>-</v>
      </c>
      <c r="BG16" s="67" t="str">
        <f t="shared" si="72"/>
        <v>-</v>
      </c>
      <c r="BH16" s="68" t="str">
        <f t="shared" si="73"/>
        <v>-</v>
      </c>
      <c r="BI16" s="71">
        <f>BI14/BI15</f>
        <v>30</v>
      </c>
      <c r="BJ16" s="66" t="str">
        <f>IFERROR(BJ14/BJ15,"-")</f>
        <v>-</v>
      </c>
      <c r="BK16" s="67" t="str">
        <f t="shared" si="74"/>
        <v>-</v>
      </c>
      <c r="BL16" s="68" t="str">
        <f t="shared" si="75"/>
        <v>-</v>
      </c>
      <c r="BM16" s="90">
        <f t="shared" ref="BM16:BN16" si="80">BM14/BM15</f>
        <v>30</v>
      </c>
      <c r="BN16" s="131">
        <f t="shared" si="80"/>
        <v>35.38933962</v>
      </c>
      <c r="BO16" s="76">
        <f t="shared" si="77"/>
        <v>0.1796446541</v>
      </c>
      <c r="BP16" s="77" t="s">
        <v>60</v>
      </c>
      <c r="BQ16" s="132"/>
      <c r="BR16" s="3"/>
      <c r="BS16" s="3"/>
      <c r="BT16" s="3"/>
      <c r="BU16" s="3"/>
      <c r="BV16" s="3"/>
      <c r="BW16" s="3"/>
    </row>
    <row r="17">
      <c r="A17" s="1"/>
      <c r="B17" s="105"/>
      <c r="C17" s="106"/>
      <c r="D17" s="107"/>
      <c r="E17" s="108"/>
      <c r="F17" s="109"/>
      <c r="G17" s="110"/>
      <c r="H17" s="111"/>
      <c r="I17" s="112"/>
      <c r="J17" s="91" t="s">
        <v>66</v>
      </c>
      <c r="K17" s="133">
        <v>1.4</v>
      </c>
      <c r="L17" s="99">
        <f t="shared" ref="L17:M17" si="81">IF(L15=0, 0,
  MIN(L15, 10000) * 1.4 +
  MAX(0, MIN(L15, 25000) - 10000) * 1.25 +
  MAX(0, MIN(L15, 50000) - 25000) * 1.15 +
  MAX(0, MIN(L15, 100000) - 50000) * 0.9 +
  MAX(0, MIN(L15, 150000) - 100000) * 0.8 +
  MAX(0, L15 - 150000) * 0.7
)</f>
        <v>0</v>
      </c>
      <c r="M17" s="94">
        <f t="shared" si="81"/>
        <v>21</v>
      </c>
      <c r="N17" s="95">
        <f t="shared" si="52"/>
        <v>21</v>
      </c>
      <c r="O17" s="96" t="str">
        <f t="shared" si="53"/>
        <v>-</v>
      </c>
      <c r="P17" s="99">
        <f t="shared" ref="P17:Q17" si="82">IF(P15=0, 0,
  MIN(P15, 10000) * 1.4 +
  MAX(0, MIN(P15, 25000) - 10000) * 1.25 +
  MAX(0, MIN(P15, 50000) - 25000) * 1.15 +
  MAX(0, MIN(P15, 100000) - 50000) * 0.9 +
  MAX(0, MIN(P15, 150000) - 100000) * 0.8 +
  MAX(0, P15 - 150000) * 0.7
)</f>
        <v>0</v>
      </c>
      <c r="Q17" s="94">
        <f t="shared" si="82"/>
        <v>11.2</v>
      </c>
      <c r="R17" s="95">
        <f t="shared" si="54"/>
        <v>11.2</v>
      </c>
      <c r="S17" s="96" t="str">
        <f t="shared" si="55"/>
        <v>-</v>
      </c>
      <c r="T17" s="99">
        <f t="shared" ref="T17:U17" si="83">IF(T15=0, 0,
  MIN(T15, 10000) * 1.4 +
  MAX(0, MIN(T15, 25000) - 10000) * 1.25 +
  MAX(0, MIN(T15, 50000) - 25000) * 1.15 +
  MAX(0, MIN(T15, 100000) - 50000) * 0.9 +
  MAX(0, MIN(T15, 150000) - 100000) * 0.8 +
  MAX(0, T15 - 150000) * 0.7
)</f>
        <v>0</v>
      </c>
      <c r="U17" s="94">
        <f t="shared" si="83"/>
        <v>12.6</v>
      </c>
      <c r="V17" s="95">
        <f t="shared" si="56"/>
        <v>12.6</v>
      </c>
      <c r="W17" s="96" t="str">
        <f t="shared" si="57"/>
        <v>-</v>
      </c>
      <c r="X17" s="99">
        <f t="shared" ref="X17:Y17" si="84">IF(X15=0, 0,
  MIN(X15, 10000) * 1.4 +
  MAX(0, MIN(X15, 25000) - 10000) * 1.25 +
  MAX(0, MIN(X15, 50000) - 25000) * 1.15 +
  MAX(0, MIN(X15, 100000) - 50000) * 0.9 +
  MAX(0, MIN(X15, 150000) - 100000) * 0.8 +
  MAX(0, X15 - 150000) * 0.7
)</f>
        <v>0</v>
      </c>
      <c r="Y17" s="94">
        <f t="shared" si="84"/>
        <v>15.4</v>
      </c>
      <c r="Z17" s="95">
        <f t="shared" si="58"/>
        <v>15.4</v>
      </c>
      <c r="AA17" s="96" t="str">
        <f t="shared" si="59"/>
        <v>-</v>
      </c>
      <c r="AB17" s="99">
        <f t="shared" ref="AB17:AC17" si="85">IF(AB15=0, 0,
  MIN(AB15, 10000) * 1.4 +
  MAX(0, MIN(AB15, 25000) - 10000) * 1.25 +
  MAX(0, MIN(AB15, 50000) - 25000) * 1.15 +
  MAX(0, MIN(AB15, 100000) - 50000) * 0.9 +
  MAX(0, MIN(AB15, 150000) - 100000) * 0.8 +
  MAX(0, AB15 - 150000) * 0.7
)</f>
        <v>933.3333333</v>
      </c>
      <c r="AC17" s="94">
        <f t="shared" si="85"/>
        <v>15.4</v>
      </c>
      <c r="AD17" s="95">
        <f t="shared" si="60"/>
        <v>-917.9333333</v>
      </c>
      <c r="AE17" s="299">
        <f t="shared" si="61"/>
        <v>-0.9835</v>
      </c>
      <c r="AF17" s="300">
        <f t="shared" ref="AF17:AL17" si="86">IF(AF15=0, 0,
  MIN(AF15, 10000) * 1.4 +
  MAX(0, MIN(AF15, 25000) - 10000) * 1.25 +
  MAX(0, MIN(AF15, 50000) - 25000) * 1.15 +
  MAX(0, MIN(AF15, 100000) - 50000) * 0.9 +
  MAX(0, MIN(AF15, 150000) - 100000) * 0.8 +
  MAX(0, AF15 - 150000) * 0.7
)</f>
        <v>1866.666667</v>
      </c>
      <c r="AG17" s="301">
        <f t="shared" si="86"/>
        <v>72.8</v>
      </c>
      <c r="AH17" s="301">
        <f t="shared" si="86"/>
        <v>123.2</v>
      </c>
      <c r="AI17" s="301">
        <f t="shared" si="86"/>
        <v>9.8</v>
      </c>
      <c r="AJ17" s="301">
        <f t="shared" si="86"/>
        <v>0</v>
      </c>
      <c r="AK17" s="301">
        <f t="shared" si="86"/>
        <v>0</v>
      </c>
      <c r="AL17" s="302">
        <f t="shared" si="86"/>
        <v>205.8</v>
      </c>
      <c r="AM17" s="95">
        <f t="shared" si="62"/>
        <v>-1660.866667</v>
      </c>
      <c r="AN17" s="96">
        <f t="shared" si="63"/>
        <v>-0.88975</v>
      </c>
      <c r="AO17" s="99">
        <f t="shared" ref="AO17:AP17" si="87">IF(AO15=0, 0,
  MIN(AO15, 10000) * 1.4 +
  MAX(0, MIN(AO15, 25000) - 10000) * 1.25 +
  MAX(0, MIN(AO15, 50000) - 25000) * 1.15 +
  MAX(0, MIN(AO15, 100000) - 50000) * 0.9 +
  MAX(0, MIN(AO15, 150000) - 100000) * 0.8 +
  MAX(0, AO15 - 150000) * 0.7
)</f>
        <v>4666.666667</v>
      </c>
      <c r="AP17" s="94">
        <f t="shared" si="87"/>
        <v>0</v>
      </c>
      <c r="AQ17" s="95">
        <f t="shared" si="64"/>
        <v>-4666.666667</v>
      </c>
      <c r="AR17" s="96">
        <f t="shared" si="65"/>
        <v>-1</v>
      </c>
      <c r="AS17" s="99">
        <f t="shared" ref="AS17:AT17" si="88">IF(AS15=0, 0,
  MIN(AS15, 10000) * 1.4 +
  MAX(0, MIN(AS15, 25000) - 10000) * 1.25 +
  MAX(0, MIN(AS15, 50000) - 25000) * 1.15 +
  MAX(0, MIN(AS15, 100000) - 50000) * 0.9 +
  MAX(0, MIN(AS15, 150000) - 100000) * 0.8 +
  MAX(0, AS15 - 150000) * 0.7
)</f>
        <v>9333.333333</v>
      </c>
      <c r="AT17" s="94">
        <f t="shared" si="88"/>
        <v>0</v>
      </c>
      <c r="AU17" s="95">
        <f t="shared" si="66"/>
        <v>-9333.333333</v>
      </c>
      <c r="AV17" s="96">
        <f t="shared" si="67"/>
        <v>-1</v>
      </c>
      <c r="AW17" s="99">
        <f t="shared" ref="AW17:AX17" si="89">IF(AW15=0, 0,
  MIN(AW15, 10000) * 1.4 +
  MAX(0, MIN(AW15, 25000) - 10000) * 1.25 +
  MAX(0, MIN(AW15, 50000) - 25000) * 1.15 +
  MAX(0, MIN(AW15, 100000) - 50000) * 0.9 +
  MAX(0, MIN(AW15, 150000) - 100000) * 0.8 +
  MAX(0, AW15 - 150000) * 0.7
)</f>
        <v>11200</v>
      </c>
      <c r="AX17" s="94">
        <f t="shared" si="89"/>
        <v>0</v>
      </c>
      <c r="AY17" s="95">
        <f t="shared" si="68"/>
        <v>-11200</v>
      </c>
      <c r="AZ17" s="96">
        <f t="shared" si="69"/>
        <v>-1</v>
      </c>
      <c r="BA17" s="99">
        <f t="shared" ref="BA17:BB17" si="90">IF(BA15=0, 0,
  MIN(BA15, 10000) * 1.4 +
  MAX(0, MIN(BA15, 25000) - 10000) * 1.25 +
  MAX(0, MIN(BA15, 50000) - 25000) * 1.15 +
  MAX(0, MIN(BA15, 100000) - 50000) * 0.9 +
  MAX(0, MIN(BA15, 150000) - 100000) * 0.8 +
  MAX(0, BA15 - 150000) * 0.7
)</f>
        <v>18166.66667</v>
      </c>
      <c r="BB17" s="94">
        <f t="shared" si="90"/>
        <v>0</v>
      </c>
      <c r="BC17" s="95">
        <f t="shared" si="70"/>
        <v>-18166.66667</v>
      </c>
      <c r="BD17" s="96">
        <f t="shared" si="71"/>
        <v>-1</v>
      </c>
      <c r="BE17" s="99">
        <f t="shared" ref="BE17:BF17" si="91">IF(BE15=0, 0,
  MIN(BE15, 10000) * 1.4 +
  MAX(0, MIN(BE15, 25000) - 10000) * 1.25 +
  MAX(0, MIN(BE15, 50000) - 25000) * 1.15 +
  MAX(0, MIN(BE15, 100000) - 50000) * 0.9 +
  MAX(0, MIN(BE15, 150000) - 100000) * 0.8 +
  MAX(0, BE15 - 150000) * 0.7
)</f>
        <v>22333.33333</v>
      </c>
      <c r="BF17" s="94">
        <f t="shared" si="91"/>
        <v>0</v>
      </c>
      <c r="BG17" s="95">
        <f t="shared" si="72"/>
        <v>-22333.33333</v>
      </c>
      <c r="BH17" s="96">
        <f t="shared" si="73"/>
        <v>-1</v>
      </c>
      <c r="BI17" s="99">
        <f t="shared" ref="BI17:BJ17" si="92">IF(BI15=0, 0,
  MIN(BI15, 10000) * 1.4 +
  MAX(0, MIN(BI15, 25000) - 10000) * 1.25 +
  MAX(0, MIN(BI15, 50000) - 25000) * 1.15 +
  MAX(0, MIN(BI15, 100000) - 50000) * 0.9 +
  MAX(0, MIN(BI15, 150000) - 100000) * 0.8 +
  MAX(0, BI15 - 150000) * 0.7
)</f>
        <v>22333.33333</v>
      </c>
      <c r="BJ17" s="94">
        <f t="shared" si="92"/>
        <v>0</v>
      </c>
      <c r="BK17" s="95">
        <f t="shared" si="74"/>
        <v>-22333.33333</v>
      </c>
      <c r="BL17" s="96">
        <f t="shared" si="75"/>
        <v>-1</v>
      </c>
      <c r="BM17" s="101">
        <f t="shared" ref="BM17:BN17" si="93">SUM(L17,P17,T17,X17,AB17,AF17,AO17,AS17,AW17,BA17,BE17,BI17)</f>
        <v>90833.33333</v>
      </c>
      <c r="BN17" s="134">
        <f t="shared" si="93"/>
        <v>148.4</v>
      </c>
      <c r="BO17" s="102">
        <f t="shared" si="77"/>
        <v>-0.9983662385</v>
      </c>
      <c r="BP17" s="103" t="s">
        <v>60</v>
      </c>
      <c r="BQ17" s="104" t="str">
        <f>IFERROR((BM17/BP17),"-")</f>
        <v>-</v>
      </c>
      <c r="BR17" s="3"/>
      <c r="BS17" s="3"/>
      <c r="BT17" s="3"/>
      <c r="BU17" s="3"/>
      <c r="BV17" s="3"/>
      <c r="BW17" s="3"/>
    </row>
    <row r="18">
      <c r="A18" s="1"/>
      <c r="B18" s="105"/>
      <c r="C18" s="106"/>
      <c r="D18" s="107"/>
      <c r="E18" s="108"/>
      <c r="F18" s="109"/>
      <c r="G18" s="110"/>
      <c r="H18" s="111"/>
      <c r="I18" s="112"/>
      <c r="J18" s="13"/>
      <c r="K18" s="135"/>
      <c r="L18" s="136"/>
      <c r="M18" s="136"/>
      <c r="N18" s="136"/>
      <c r="O18" s="136"/>
      <c r="P18" s="136"/>
      <c r="Q18" s="23"/>
      <c r="R18" s="136"/>
      <c r="S18" s="136"/>
      <c r="T18" s="136"/>
      <c r="U18" s="136"/>
      <c r="V18" s="136"/>
      <c r="W18" s="136"/>
      <c r="X18" s="137"/>
      <c r="Y18" s="14"/>
      <c r="Z18" s="15"/>
      <c r="AA18" s="3"/>
      <c r="AB18" s="3"/>
      <c r="AC18" s="3"/>
      <c r="AD18" s="3"/>
      <c r="AE18" s="3"/>
      <c r="AF18" s="3"/>
      <c r="AG18" s="303"/>
      <c r="AH18" s="303"/>
      <c r="AI18" s="303"/>
      <c r="AJ18" s="303"/>
      <c r="AK18" s="303"/>
      <c r="AL18" s="303"/>
      <c r="AM18" s="25"/>
      <c r="AN18" s="25"/>
      <c r="AO18" s="25"/>
      <c r="AP18" s="25"/>
      <c r="AQ18" s="25"/>
      <c r="AR18" s="25"/>
      <c r="AS18" s="25"/>
      <c r="AT18" s="25"/>
      <c r="AU18" s="25"/>
      <c r="AV18" s="138"/>
      <c r="AW18" s="25"/>
      <c r="AX18" s="139"/>
      <c r="AY18" s="25"/>
    </row>
    <row r="19">
      <c r="A19" s="1"/>
      <c r="B19" s="105"/>
      <c r="C19" s="106"/>
      <c r="D19" s="107"/>
      <c r="E19" s="108"/>
      <c r="F19" s="109"/>
      <c r="G19" s="110"/>
      <c r="H19" s="111"/>
      <c r="I19" s="140"/>
      <c r="J19" s="34" t="s">
        <v>69</v>
      </c>
      <c r="K19" s="35"/>
      <c r="L19" s="36" t="s">
        <v>10</v>
      </c>
      <c r="M19" s="37" t="s">
        <v>11</v>
      </c>
      <c r="N19" s="38" t="s">
        <v>12</v>
      </c>
      <c r="O19" s="39" t="s">
        <v>13</v>
      </c>
      <c r="P19" s="141" t="s">
        <v>14</v>
      </c>
      <c r="Q19" s="37" t="s">
        <v>15</v>
      </c>
      <c r="R19" s="38" t="s">
        <v>16</v>
      </c>
      <c r="S19" s="39" t="s">
        <v>17</v>
      </c>
      <c r="T19" s="142" t="s">
        <v>18</v>
      </c>
      <c r="U19" s="37" t="s">
        <v>19</v>
      </c>
      <c r="V19" s="38" t="s">
        <v>20</v>
      </c>
      <c r="W19" s="39" t="s">
        <v>21</v>
      </c>
      <c r="X19" s="119" t="s">
        <v>22</v>
      </c>
      <c r="Y19" s="41" t="s">
        <v>23</v>
      </c>
      <c r="Z19" s="38" t="s">
        <v>24</v>
      </c>
      <c r="AA19" s="45" t="s">
        <v>25</v>
      </c>
      <c r="AB19" s="43" t="s">
        <v>26</v>
      </c>
      <c r="AC19" s="41" t="s">
        <v>27</v>
      </c>
      <c r="AD19" s="38" t="s">
        <v>28</v>
      </c>
      <c r="AE19" s="45" t="s">
        <v>29</v>
      </c>
      <c r="AF19" s="44" t="s">
        <v>30</v>
      </c>
      <c r="AG19" s="261" t="s">
        <v>107</v>
      </c>
      <c r="AH19" s="262" t="s">
        <v>108</v>
      </c>
      <c r="AI19" s="262" t="s">
        <v>109</v>
      </c>
      <c r="AJ19" s="262" t="s">
        <v>110</v>
      </c>
      <c r="AK19" s="262" t="s">
        <v>111</v>
      </c>
      <c r="AL19" s="262" t="s">
        <v>31</v>
      </c>
      <c r="AM19" s="38" t="s">
        <v>32</v>
      </c>
      <c r="AN19" s="45" t="s">
        <v>33</v>
      </c>
      <c r="AO19" s="43" t="s">
        <v>34</v>
      </c>
      <c r="AP19" s="41" t="s">
        <v>35</v>
      </c>
      <c r="AQ19" s="38" t="s">
        <v>36</v>
      </c>
      <c r="AR19" s="45" t="s">
        <v>37</v>
      </c>
      <c r="AS19" s="44" t="s">
        <v>38</v>
      </c>
      <c r="AT19" s="41" t="s">
        <v>39</v>
      </c>
      <c r="AU19" s="38" t="s">
        <v>40</v>
      </c>
      <c r="AV19" s="45" t="s">
        <v>41</v>
      </c>
      <c r="AW19" s="43" t="s">
        <v>42</v>
      </c>
      <c r="AX19" s="41" t="s">
        <v>43</v>
      </c>
      <c r="AY19" s="38" t="s">
        <v>44</v>
      </c>
      <c r="AZ19" s="45" t="s">
        <v>45</v>
      </c>
      <c r="BA19" s="44" t="s">
        <v>46</v>
      </c>
      <c r="BB19" s="41" t="s">
        <v>47</v>
      </c>
      <c r="BC19" s="38" t="s">
        <v>48</v>
      </c>
      <c r="BD19" s="45" t="s">
        <v>49</v>
      </c>
      <c r="BE19" s="43" t="s">
        <v>50</v>
      </c>
      <c r="BF19" s="41" t="s">
        <v>51</v>
      </c>
      <c r="BG19" s="38" t="s">
        <v>52</v>
      </c>
      <c r="BH19" s="45" t="s">
        <v>53</v>
      </c>
      <c r="BI19" s="44" t="s">
        <v>54</v>
      </c>
      <c r="BJ19" s="41" t="s">
        <v>55</v>
      </c>
      <c r="BK19" s="38" t="s">
        <v>56</v>
      </c>
      <c r="BL19" s="45" t="s">
        <v>57</v>
      </c>
      <c r="BM19" s="143">
        <v>2026.0</v>
      </c>
      <c r="BN19" s="123" t="s">
        <v>58</v>
      </c>
      <c r="BO19" s="47" t="s">
        <v>59</v>
      </c>
      <c r="BP19" s="48">
        <v>2025.0</v>
      </c>
      <c r="BQ19" s="49" t="s">
        <v>60</v>
      </c>
      <c r="BR19" s="3"/>
      <c r="BS19" s="3"/>
      <c r="BT19" s="3"/>
      <c r="BU19" s="3"/>
      <c r="BV19" s="3"/>
      <c r="BW19" s="3"/>
    </row>
    <row r="20" ht="15.75" customHeight="1">
      <c r="A20" s="1"/>
      <c r="B20" s="105"/>
      <c r="C20" s="106"/>
      <c r="D20" s="107"/>
      <c r="E20" s="144"/>
      <c r="F20" s="109"/>
      <c r="G20" s="110"/>
      <c r="H20" s="111"/>
      <c r="I20" s="140"/>
      <c r="J20" s="263" t="s">
        <v>112</v>
      </c>
      <c r="K20" s="264"/>
      <c r="L20" s="265"/>
      <c r="M20" s="266"/>
      <c r="N20" s="267"/>
      <c r="O20" s="268"/>
      <c r="P20" s="265"/>
      <c r="Q20" s="266"/>
      <c r="R20" s="267"/>
      <c r="S20" s="268"/>
      <c r="T20" s="265"/>
      <c r="U20" s="266"/>
      <c r="V20" s="267"/>
      <c r="W20" s="268"/>
      <c r="X20" s="265"/>
      <c r="Y20" s="266"/>
      <c r="Z20" s="267"/>
      <c r="AA20" s="268"/>
      <c r="AB20" s="271"/>
      <c r="AC20" s="272"/>
      <c r="AD20" s="267"/>
      <c r="AE20" s="268"/>
      <c r="AF20" s="271"/>
      <c r="AG20" s="273">
        <f t="shared" ref="AG20:AK20" si="94">$AF$21/5</f>
        <v>0.01</v>
      </c>
      <c r="AH20" s="273">
        <f t="shared" si="94"/>
        <v>0.01</v>
      </c>
      <c r="AI20" s="273">
        <f t="shared" si="94"/>
        <v>0.01</v>
      </c>
      <c r="AJ20" s="273">
        <f t="shared" si="94"/>
        <v>0.01</v>
      </c>
      <c r="AK20" s="273">
        <f t="shared" si="94"/>
        <v>0.01</v>
      </c>
      <c r="AL20" s="274"/>
      <c r="AM20" s="267"/>
      <c r="AN20" s="268"/>
      <c r="AO20" s="271"/>
      <c r="AP20" s="272"/>
      <c r="AQ20" s="267"/>
      <c r="AR20" s="268"/>
      <c r="AS20" s="271"/>
      <c r="AT20" s="272"/>
      <c r="AU20" s="267"/>
      <c r="AV20" s="268"/>
      <c r="AW20" s="271"/>
      <c r="AX20" s="272"/>
      <c r="AY20" s="267"/>
      <c r="AZ20" s="268"/>
      <c r="BA20" s="271"/>
      <c r="BB20" s="272"/>
      <c r="BC20" s="267"/>
      <c r="BD20" s="268"/>
      <c r="BE20" s="271"/>
      <c r="BF20" s="272"/>
      <c r="BG20" s="267"/>
      <c r="BH20" s="268"/>
      <c r="BI20" s="271"/>
      <c r="BJ20" s="272"/>
      <c r="BK20" s="267"/>
      <c r="BL20" s="268"/>
      <c r="BM20" s="304"/>
      <c r="BN20" s="293"/>
      <c r="BO20" s="277"/>
      <c r="BP20" s="278"/>
      <c r="BQ20" s="64"/>
      <c r="BR20" s="3"/>
      <c r="BS20" s="3"/>
      <c r="BT20" s="3"/>
      <c r="BU20" s="3"/>
      <c r="BV20" s="3"/>
      <c r="BW20" s="3"/>
    </row>
    <row r="21" ht="15.75" customHeight="1">
      <c r="A21" s="1"/>
      <c r="B21" s="105">
        <v>4.0</v>
      </c>
      <c r="C21" s="106" t="s">
        <v>70</v>
      </c>
      <c r="D21" s="107">
        <f>15000*12*4</f>
        <v>720000</v>
      </c>
      <c r="E21" s="144">
        <v>92.0</v>
      </c>
      <c r="F21" s="109">
        <f>E21*D21</f>
        <v>66240000</v>
      </c>
      <c r="G21" s="110">
        <v>1632825.7999999607</v>
      </c>
      <c r="H21" s="111">
        <v>15759.0</v>
      </c>
      <c r="I21" s="140">
        <v>103.61227235230413</v>
      </c>
      <c r="J21" s="50" t="s">
        <v>61</v>
      </c>
      <c r="K21" s="51"/>
      <c r="L21" s="52" t="s">
        <v>60</v>
      </c>
      <c r="M21" s="53" t="s">
        <v>60</v>
      </c>
      <c r="N21" s="54" t="s">
        <v>60</v>
      </c>
      <c r="O21" s="55" t="s">
        <v>62</v>
      </c>
      <c r="P21" s="52" t="s">
        <v>60</v>
      </c>
      <c r="Q21" s="53" t="s">
        <v>60</v>
      </c>
      <c r="R21" s="54" t="s">
        <v>60</v>
      </c>
      <c r="S21" s="55" t="s">
        <v>62</v>
      </c>
      <c r="T21" s="52" t="s">
        <v>60</v>
      </c>
      <c r="U21" s="53"/>
      <c r="V21" s="54" t="s">
        <v>60</v>
      </c>
      <c r="W21" s="55" t="s">
        <v>62</v>
      </c>
      <c r="X21" s="52" t="s">
        <v>60</v>
      </c>
      <c r="Y21" s="53"/>
      <c r="Z21" s="54" t="s">
        <v>60</v>
      </c>
      <c r="AA21" s="55" t="s">
        <v>62</v>
      </c>
      <c r="AB21" s="58">
        <v>0.01</v>
      </c>
      <c r="AC21" s="59">
        <f>AC22/(BM22-(L22+P22+T22+X22))</f>
        <v>0.00001</v>
      </c>
      <c r="AD21" s="54" t="s">
        <v>60</v>
      </c>
      <c r="AE21" s="55" t="s">
        <v>62</v>
      </c>
      <c r="AF21" s="58">
        <v>0.05</v>
      </c>
      <c r="AG21" s="61">
        <f t="shared" ref="AG21:AK21" si="95">AG22/($BM$22-($L$22+$P$22+$T$22+$X$22))</f>
        <v>0</v>
      </c>
      <c r="AH21" s="61">
        <f t="shared" si="95"/>
        <v>0</v>
      </c>
      <c r="AI21" s="61">
        <f t="shared" si="95"/>
        <v>0.0000197225</v>
      </c>
      <c r="AJ21" s="61">
        <f t="shared" si="95"/>
        <v>0</v>
      </c>
      <c r="AK21" s="61">
        <f t="shared" si="95"/>
        <v>0</v>
      </c>
      <c r="AL21" s="279">
        <f>SUM(AG21:AK21)</f>
        <v>0.0000197225</v>
      </c>
      <c r="AM21" s="280">
        <f>AL21-AF21</f>
        <v>-0.0499802775</v>
      </c>
      <c r="AN21" s="55" t="s">
        <v>62</v>
      </c>
      <c r="AO21" s="58">
        <v>0.1</v>
      </c>
      <c r="AP21" s="59">
        <f>AP22/(BM22-(L22+P22+T22+X22))</f>
        <v>0</v>
      </c>
      <c r="AQ21" s="54" t="s">
        <v>60</v>
      </c>
      <c r="AR21" s="55" t="s">
        <v>62</v>
      </c>
      <c r="AS21" s="58">
        <v>0.14</v>
      </c>
      <c r="AT21" s="59">
        <f>AT22/(BM22-(L22+P22+T22+X22))</f>
        <v>0</v>
      </c>
      <c r="AU21" s="54" t="s">
        <v>60</v>
      </c>
      <c r="AV21" s="55" t="s">
        <v>62</v>
      </c>
      <c r="AW21" s="58">
        <v>0.15</v>
      </c>
      <c r="AX21" s="59">
        <f>AX22/(BM22-(L22+P22+T22+X22))</f>
        <v>0</v>
      </c>
      <c r="AY21" s="54" t="s">
        <v>60</v>
      </c>
      <c r="AZ21" s="55" t="s">
        <v>62</v>
      </c>
      <c r="BA21" s="58">
        <v>0.2</v>
      </c>
      <c r="BB21" s="59">
        <f>BB22/(BM22-(L22+P22+T22+X22))</f>
        <v>0</v>
      </c>
      <c r="BC21" s="54" t="s">
        <v>60</v>
      </c>
      <c r="BD21" s="55" t="s">
        <v>62</v>
      </c>
      <c r="BE21" s="58">
        <v>0.2</v>
      </c>
      <c r="BF21" s="59">
        <f>BF22/(BM22-(L22+P22+T22+X22))</f>
        <v>0</v>
      </c>
      <c r="BG21" s="54" t="s">
        <v>60</v>
      </c>
      <c r="BH21" s="55" t="s">
        <v>62</v>
      </c>
      <c r="BI21" s="58">
        <v>0.15</v>
      </c>
      <c r="BJ21" s="59">
        <f>BJ22/(BM22-(L22+P22+T22+X22))</f>
        <v>0</v>
      </c>
      <c r="BK21" s="54" t="s">
        <v>60</v>
      </c>
      <c r="BL21" s="55" t="s">
        <v>62</v>
      </c>
      <c r="BM21" s="125">
        <f t="shared" ref="BM21:BN21" si="96">SUM(AB21,AF21,AO21,AS21,AW21,BA21,BE21,BI21)</f>
        <v>1</v>
      </c>
      <c r="BN21" s="126">
        <f t="shared" si="96"/>
        <v>0.00001</v>
      </c>
      <c r="BO21" s="62"/>
      <c r="BP21" s="63" t="s">
        <v>60</v>
      </c>
      <c r="BQ21" s="64"/>
      <c r="BR21" s="3"/>
      <c r="BS21" s="3"/>
      <c r="BT21" s="3"/>
      <c r="BU21" s="3"/>
      <c r="BV21" s="3"/>
      <c r="BW21" s="3"/>
    </row>
    <row r="22" ht="15.75" customHeight="1">
      <c r="A22" s="1"/>
      <c r="B22" s="26"/>
      <c r="C22" s="27"/>
      <c r="D22" s="28"/>
      <c r="E22" s="29"/>
      <c r="F22" s="30"/>
      <c r="G22" s="31"/>
      <c r="H22" s="32"/>
      <c r="I22" s="33"/>
      <c r="J22" s="50" t="s">
        <v>63</v>
      </c>
      <c r="K22" s="51"/>
      <c r="L22" s="127">
        <v>0.0</v>
      </c>
      <c r="M22" s="66"/>
      <c r="N22" s="67">
        <f t="shared" ref="N22:N25" si="97">IFERROR(M22-L22,"-")</f>
        <v>0</v>
      </c>
      <c r="O22" s="68" t="str">
        <f t="shared" ref="O22:O25" si="98">IFERROR(M22/L22-1,"-")</f>
        <v>-</v>
      </c>
      <c r="P22" s="127">
        <v>0.0</v>
      </c>
      <c r="Q22" s="66"/>
      <c r="R22" s="67">
        <f t="shared" ref="R22:R25" si="99">IFERROR(Q22-P22,"-")</f>
        <v>0</v>
      </c>
      <c r="S22" s="68" t="str">
        <f t="shared" ref="S22:S25" si="100">IFERROR(Q22/P22-1,"-")</f>
        <v>-</v>
      </c>
      <c r="T22" s="65">
        <v>0.0</v>
      </c>
      <c r="U22" s="66"/>
      <c r="V22" s="67">
        <f t="shared" ref="V22:V25" si="101">IFERROR(U22-T22,"-")</f>
        <v>0</v>
      </c>
      <c r="W22" s="68" t="str">
        <f t="shared" ref="W22:W25" si="102">IFERROR(U22/T22-1,"-")</f>
        <v>-</v>
      </c>
      <c r="X22" s="65">
        <v>0.0</v>
      </c>
      <c r="Y22" s="66"/>
      <c r="Z22" s="67">
        <f t="shared" ref="Z22:Z25" si="103">IFERROR(Y22-X22,"-")</f>
        <v>0</v>
      </c>
      <c r="AA22" s="68" t="str">
        <f t="shared" ref="AA22:AA25" si="104">IFERROR(Y22/X22-1,"-")</f>
        <v>-</v>
      </c>
      <c r="AB22" s="71">
        <f>($BM$22-($L$22+$P$22+T22+X22))*AB21</f>
        <v>40000</v>
      </c>
      <c r="AC22" s="66">
        <v>40.0</v>
      </c>
      <c r="AD22" s="67">
        <f t="shared" ref="AD22:AD25" si="105">IFERROR(AC22-AB22,"-")</f>
        <v>-39960</v>
      </c>
      <c r="AE22" s="68">
        <f t="shared" ref="AE22:AE25" si="106">IFERROR(AC22/AB22-1,"-")</f>
        <v>-0.999</v>
      </c>
      <c r="AF22" s="71">
        <f>($BM$22-($L$22+$P$22+$T$22+$X$22))*AF21</f>
        <v>200000</v>
      </c>
      <c r="AG22" s="66"/>
      <c r="AH22" s="66"/>
      <c r="AI22" s="73">
        <v>78.89</v>
      </c>
      <c r="AJ22" s="66"/>
      <c r="AK22" s="66"/>
      <c r="AL22" s="66"/>
      <c r="AM22" s="67">
        <f t="shared" ref="AM22:AM25" si="107">IFERROR(AL22-AF22,"-")</f>
        <v>-200000</v>
      </c>
      <c r="AN22" s="68">
        <f t="shared" ref="AN22:AN25" si="108">IFERROR(AL22/AF22-1,"-")</f>
        <v>-1</v>
      </c>
      <c r="AO22" s="71">
        <f>($BM$22-($L$22+$P$22+$T$22+$X$22))*AO21</f>
        <v>400000</v>
      </c>
      <c r="AP22" s="66"/>
      <c r="AQ22" s="67">
        <f t="shared" ref="AQ22:AQ25" si="109">IFERROR(AP22-AO22,"-")</f>
        <v>-400000</v>
      </c>
      <c r="AR22" s="68">
        <f t="shared" ref="AR22:AR25" si="110">IFERROR(AP22/AO22-1,"-")</f>
        <v>-1</v>
      </c>
      <c r="AS22" s="71">
        <f>($BM$22-($L$22+$P$22+$T$22+$X$22))*AS21</f>
        <v>560000</v>
      </c>
      <c r="AT22" s="66"/>
      <c r="AU22" s="67">
        <f t="shared" ref="AU22:AU25" si="111">IFERROR(AT22-AS22,"-")</f>
        <v>-560000</v>
      </c>
      <c r="AV22" s="68">
        <f t="shared" ref="AV22:AV25" si="112">IFERROR(AT22/AS22-1,"-")</f>
        <v>-1</v>
      </c>
      <c r="AW22" s="71">
        <f>($BM$22-($L$22+$P$22+$T$22+$X$22))*AW21</f>
        <v>600000</v>
      </c>
      <c r="AX22" s="66"/>
      <c r="AY22" s="67">
        <f t="shared" ref="AY22:AY25" si="113">IFERROR(AX22-AW22,"-")</f>
        <v>-600000</v>
      </c>
      <c r="AZ22" s="68">
        <f t="shared" ref="AZ22:AZ25" si="114">IFERROR(AX22/AW22-1,"-")</f>
        <v>-1</v>
      </c>
      <c r="BA22" s="71">
        <f>($BM$22-($L$22+$P$22+$T$22+$X$22))*BA21</f>
        <v>800000</v>
      </c>
      <c r="BB22" s="66"/>
      <c r="BC22" s="67">
        <f t="shared" ref="BC22:BC25" si="115">IFERROR(BB22-BA22,"-")</f>
        <v>-800000</v>
      </c>
      <c r="BD22" s="68">
        <f t="shared" ref="BD22:BD25" si="116">IFERROR(BB22/BA22-1,"-")</f>
        <v>-1</v>
      </c>
      <c r="BE22" s="71">
        <f>($BM$22-($L$22+$P$22+$T$22+$X$22))*BE21</f>
        <v>800000</v>
      </c>
      <c r="BF22" s="66"/>
      <c r="BG22" s="67">
        <f t="shared" ref="BG22:BG25" si="117">IFERROR(BF22-BE22,"-")</f>
        <v>-800000</v>
      </c>
      <c r="BH22" s="68">
        <f t="shared" ref="BH22:BH25" si="118">IFERROR(BF22/BE22-1,"-")</f>
        <v>-1</v>
      </c>
      <c r="BI22" s="71">
        <f>($BM$22-($L$22+$P$22+$T$22+$X$22))*BI21</f>
        <v>600000</v>
      </c>
      <c r="BJ22" s="66"/>
      <c r="BK22" s="67">
        <f t="shared" ref="BK22:BK25" si="119">IFERROR(BJ22-BI22,"-")</f>
        <v>-600000</v>
      </c>
      <c r="BL22" s="68">
        <f t="shared" ref="BL22:BL25" si="120">IFERROR(BJ22/BI22-1,"-")</f>
        <v>-1</v>
      </c>
      <c r="BM22" s="75">
        <v>4000000.0</v>
      </c>
      <c r="BN22" s="131">
        <f>SUM(M22,Q22,U22,Y22,AC22,AG22,AP22,AT22,AX22,BB22,BF22,BJ22)</f>
        <v>40</v>
      </c>
      <c r="BO22" s="76">
        <f t="shared" ref="BO22:BO25" si="122">IFERROR(BN22/BM22-1,"-")</f>
        <v>-0.99999</v>
      </c>
      <c r="BP22" s="77" t="s">
        <v>60</v>
      </c>
      <c r="BQ22" s="78" t="str">
        <f t="shared" ref="BQ22:BQ23" si="123">IFERROR((BM22/BP22),"-")</f>
        <v>-</v>
      </c>
      <c r="BR22" s="3"/>
      <c r="BS22" s="3"/>
      <c r="BT22" s="3"/>
      <c r="BU22" s="3"/>
      <c r="BV22" s="3"/>
      <c r="BW22" s="3"/>
    </row>
    <row r="23" ht="15.75" customHeight="1">
      <c r="A23" s="1"/>
      <c r="B23" s="105"/>
      <c r="C23" s="106"/>
      <c r="D23" s="107"/>
      <c r="E23" s="144"/>
      <c r="F23" s="109"/>
      <c r="G23" s="31"/>
      <c r="H23" s="32"/>
      <c r="I23" s="145"/>
      <c r="J23" s="50" t="s">
        <v>64</v>
      </c>
      <c r="K23" s="79"/>
      <c r="L23" s="129">
        <f>L22/$K$24</f>
        <v>0</v>
      </c>
      <c r="M23" s="81"/>
      <c r="N23" s="82">
        <f t="shared" si="97"/>
        <v>0</v>
      </c>
      <c r="O23" s="68" t="str">
        <f t="shared" si="98"/>
        <v>-</v>
      </c>
      <c r="P23" s="129">
        <f>P22/$K$24</f>
        <v>0</v>
      </c>
      <c r="Q23" s="81"/>
      <c r="R23" s="82">
        <f t="shared" si="99"/>
        <v>0</v>
      </c>
      <c r="S23" s="68" t="str">
        <f t="shared" si="100"/>
        <v>-</v>
      </c>
      <c r="T23" s="80">
        <f>T22/$K$24</f>
        <v>0</v>
      </c>
      <c r="U23" s="81"/>
      <c r="V23" s="82">
        <f t="shared" si="101"/>
        <v>0</v>
      </c>
      <c r="W23" s="68" t="str">
        <f t="shared" si="102"/>
        <v>-</v>
      </c>
      <c r="X23" s="80">
        <f>X22/$K$24</f>
        <v>0</v>
      </c>
      <c r="Y23" s="81"/>
      <c r="Z23" s="82">
        <f t="shared" si="103"/>
        <v>0</v>
      </c>
      <c r="AA23" s="68" t="str">
        <f t="shared" si="104"/>
        <v>-</v>
      </c>
      <c r="AB23" s="84">
        <f>AB22/$K$24</f>
        <v>222.2222222</v>
      </c>
      <c r="AC23" s="81">
        <v>2.0</v>
      </c>
      <c r="AD23" s="82">
        <f t="shared" si="105"/>
        <v>-220.2222222</v>
      </c>
      <c r="AE23" s="68">
        <f t="shared" si="106"/>
        <v>-0.991</v>
      </c>
      <c r="AF23" s="84">
        <f>AF22/$K$24</f>
        <v>1111.111111</v>
      </c>
      <c r="AG23" s="81"/>
      <c r="AH23" s="81"/>
      <c r="AI23" s="85">
        <v>2.0</v>
      </c>
      <c r="AJ23" s="81"/>
      <c r="AK23" s="81"/>
      <c r="AL23" s="81"/>
      <c r="AM23" s="82">
        <f t="shared" si="107"/>
        <v>-1111.111111</v>
      </c>
      <c r="AN23" s="68">
        <f t="shared" si="108"/>
        <v>-1</v>
      </c>
      <c r="AO23" s="84">
        <f>AO22/$K$24</f>
        <v>2222.222222</v>
      </c>
      <c r="AP23" s="81"/>
      <c r="AQ23" s="82">
        <f t="shared" si="109"/>
        <v>-2222.222222</v>
      </c>
      <c r="AR23" s="68">
        <f t="shared" si="110"/>
        <v>-1</v>
      </c>
      <c r="AS23" s="84">
        <f>AS22/$K$24</f>
        <v>3111.111111</v>
      </c>
      <c r="AT23" s="81"/>
      <c r="AU23" s="82">
        <f t="shared" si="111"/>
        <v>-3111.111111</v>
      </c>
      <c r="AV23" s="68">
        <f t="shared" si="112"/>
        <v>-1</v>
      </c>
      <c r="AW23" s="84">
        <f>AW22/$K$24</f>
        <v>3333.333333</v>
      </c>
      <c r="AX23" s="81"/>
      <c r="AY23" s="82">
        <f t="shared" si="113"/>
        <v>-3333.333333</v>
      </c>
      <c r="AZ23" s="68">
        <f t="shared" si="114"/>
        <v>-1</v>
      </c>
      <c r="BA23" s="84">
        <f>BA22/$K$24</f>
        <v>4444.444444</v>
      </c>
      <c r="BB23" s="81"/>
      <c r="BC23" s="82">
        <f t="shared" si="115"/>
        <v>-4444.444444</v>
      </c>
      <c r="BD23" s="68">
        <f t="shared" si="116"/>
        <v>-1</v>
      </c>
      <c r="BE23" s="84">
        <f>BE22/$K$24</f>
        <v>4444.444444</v>
      </c>
      <c r="BF23" s="81"/>
      <c r="BG23" s="82">
        <f t="shared" si="117"/>
        <v>-4444.444444</v>
      </c>
      <c r="BH23" s="68">
        <f t="shared" si="118"/>
        <v>-1</v>
      </c>
      <c r="BI23" s="84">
        <f>BI22/$K$24</f>
        <v>3333.333333</v>
      </c>
      <c r="BJ23" s="81"/>
      <c r="BK23" s="82">
        <f t="shared" si="119"/>
        <v>-3333.333333</v>
      </c>
      <c r="BL23" s="68">
        <f t="shared" si="120"/>
        <v>-1</v>
      </c>
      <c r="BM23" s="87">
        <f t="shared" ref="BM23:BN23" si="121">SUM(L23,P23,T23,X23,AB23,AF23,AO23,AS23,AW23,BA23,BE23,BI23)</f>
        <v>22222.22222</v>
      </c>
      <c r="BN23" s="130">
        <f t="shared" si="121"/>
        <v>2</v>
      </c>
      <c r="BO23" s="76">
        <f t="shared" si="122"/>
        <v>-0.99991</v>
      </c>
      <c r="BP23" s="88" t="s">
        <v>60</v>
      </c>
      <c r="BQ23" s="78" t="str">
        <f t="shared" si="123"/>
        <v>-</v>
      </c>
      <c r="BR23" s="4"/>
      <c r="BS23" s="3"/>
      <c r="BT23" s="3"/>
      <c r="BU23" s="3"/>
      <c r="BV23" s="3"/>
      <c r="BW23" s="3"/>
    </row>
    <row r="24" ht="15.75" customHeight="1">
      <c r="A24" s="1"/>
      <c r="B24" s="105"/>
      <c r="C24" s="106"/>
      <c r="D24" s="107"/>
      <c r="E24" s="144"/>
      <c r="F24" s="109"/>
      <c r="G24" s="31"/>
      <c r="H24" s="32"/>
      <c r="I24" s="145"/>
      <c r="J24" s="50" t="s">
        <v>65</v>
      </c>
      <c r="K24" s="79">
        <v>180.0</v>
      </c>
      <c r="L24" s="127">
        <v>180.0</v>
      </c>
      <c r="M24" s="66" t="str">
        <f>IFERROR(M22/M23,"-")</f>
        <v>-</v>
      </c>
      <c r="N24" s="67" t="str">
        <f t="shared" si="97"/>
        <v>-</v>
      </c>
      <c r="O24" s="68" t="str">
        <f t="shared" si="98"/>
        <v>-</v>
      </c>
      <c r="P24" s="127">
        <v>180.0</v>
      </c>
      <c r="Q24" s="66" t="str">
        <f>IFERROR(Q22/Q23,"-")</f>
        <v>-</v>
      </c>
      <c r="R24" s="67" t="str">
        <f t="shared" si="99"/>
        <v>-</v>
      </c>
      <c r="S24" s="68" t="str">
        <f t="shared" si="100"/>
        <v>-</v>
      </c>
      <c r="T24" s="65">
        <v>180.0</v>
      </c>
      <c r="U24" s="66" t="str">
        <f>IFERROR(U22/U23,"-")</f>
        <v>-</v>
      </c>
      <c r="V24" s="67" t="str">
        <f t="shared" si="101"/>
        <v>-</v>
      </c>
      <c r="W24" s="68" t="str">
        <f t="shared" si="102"/>
        <v>-</v>
      </c>
      <c r="X24" s="127">
        <v>180.0</v>
      </c>
      <c r="Y24" s="66" t="str">
        <f>IFERROR(Y22/Y23,"-")</f>
        <v>-</v>
      </c>
      <c r="Z24" s="67" t="str">
        <f t="shared" si="103"/>
        <v>-</v>
      </c>
      <c r="AA24" s="68" t="str">
        <f t="shared" si="104"/>
        <v>-</v>
      </c>
      <c r="AB24" s="71">
        <f>AB22/AB23</f>
        <v>180</v>
      </c>
      <c r="AC24" s="66">
        <f>IFERROR(AC22/AC23,"-")</f>
        <v>20</v>
      </c>
      <c r="AD24" s="67">
        <f t="shared" si="105"/>
        <v>-160</v>
      </c>
      <c r="AE24" s="68">
        <f t="shared" si="106"/>
        <v>-0.8888888889</v>
      </c>
      <c r="AF24" s="295">
        <f>AF22/AF23</f>
        <v>180</v>
      </c>
      <c r="AG24" s="296" t="str">
        <f t="shared" ref="AG24:AL24" si="124">IFERROR(AG22/AG23,"-")</f>
        <v>-</v>
      </c>
      <c r="AH24" s="296" t="str">
        <f t="shared" si="124"/>
        <v>-</v>
      </c>
      <c r="AI24" s="296">
        <f t="shared" si="124"/>
        <v>39.445</v>
      </c>
      <c r="AJ24" s="296" t="str">
        <f t="shared" si="124"/>
        <v>-</v>
      </c>
      <c r="AK24" s="296" t="str">
        <f t="shared" si="124"/>
        <v>-</v>
      </c>
      <c r="AL24" s="296" t="str">
        <f t="shared" si="124"/>
        <v>-</v>
      </c>
      <c r="AM24" s="67" t="str">
        <f t="shared" si="107"/>
        <v>-</v>
      </c>
      <c r="AN24" s="68" t="str">
        <f t="shared" si="108"/>
        <v>-</v>
      </c>
      <c r="AO24" s="71">
        <f>AO22/AO23</f>
        <v>180</v>
      </c>
      <c r="AP24" s="66" t="str">
        <f>IFERROR(AP22/AP23,"-")</f>
        <v>-</v>
      </c>
      <c r="AQ24" s="67" t="str">
        <f t="shared" si="109"/>
        <v>-</v>
      </c>
      <c r="AR24" s="68" t="str">
        <f t="shared" si="110"/>
        <v>-</v>
      </c>
      <c r="AS24" s="71">
        <f>AS22/AS23</f>
        <v>180</v>
      </c>
      <c r="AT24" s="66" t="str">
        <f>IFERROR(AT22/AT23,"-")</f>
        <v>-</v>
      </c>
      <c r="AU24" s="67" t="str">
        <f t="shared" si="111"/>
        <v>-</v>
      </c>
      <c r="AV24" s="68" t="str">
        <f t="shared" si="112"/>
        <v>-</v>
      </c>
      <c r="AW24" s="71">
        <f>AW22/AW23</f>
        <v>180</v>
      </c>
      <c r="AX24" s="66" t="str">
        <f>IFERROR(AX22/AX23,"-")</f>
        <v>-</v>
      </c>
      <c r="AY24" s="67" t="str">
        <f t="shared" si="113"/>
        <v>-</v>
      </c>
      <c r="AZ24" s="68" t="str">
        <f t="shared" si="114"/>
        <v>-</v>
      </c>
      <c r="BA24" s="71">
        <f>BA22/BA23</f>
        <v>180</v>
      </c>
      <c r="BB24" s="66" t="str">
        <f>IFERROR(BB22/BB23,"-")</f>
        <v>-</v>
      </c>
      <c r="BC24" s="67" t="str">
        <f t="shared" si="115"/>
        <v>-</v>
      </c>
      <c r="BD24" s="68" t="str">
        <f t="shared" si="116"/>
        <v>-</v>
      </c>
      <c r="BE24" s="71">
        <f>BE22/BE23</f>
        <v>180</v>
      </c>
      <c r="BF24" s="66" t="str">
        <f>IFERROR(BF22/BF23,"-")</f>
        <v>-</v>
      </c>
      <c r="BG24" s="67" t="str">
        <f t="shared" si="117"/>
        <v>-</v>
      </c>
      <c r="BH24" s="68" t="str">
        <f t="shared" si="118"/>
        <v>-</v>
      </c>
      <c r="BI24" s="71">
        <f>BI22/BI23</f>
        <v>180</v>
      </c>
      <c r="BJ24" s="66" t="str">
        <f>IFERROR(BJ22/BJ23,"-")</f>
        <v>-</v>
      </c>
      <c r="BK24" s="67" t="str">
        <f t="shared" si="119"/>
        <v>-</v>
      </c>
      <c r="BL24" s="68" t="str">
        <f t="shared" si="120"/>
        <v>-</v>
      </c>
      <c r="BM24" s="90">
        <f>BM22/BM23</f>
        <v>180</v>
      </c>
      <c r="BN24" s="146">
        <f>IFERROR(BN22/BN23,"-")</f>
        <v>20</v>
      </c>
      <c r="BO24" s="76">
        <f t="shared" si="122"/>
        <v>-0.8888888889</v>
      </c>
      <c r="BP24" s="88"/>
      <c r="BQ24" s="78"/>
      <c r="BR24" s="4"/>
      <c r="BS24" s="3"/>
      <c r="BT24" s="3"/>
      <c r="BU24" s="3"/>
      <c r="BV24" s="3"/>
      <c r="BW24" s="3"/>
    </row>
    <row r="25" ht="15.75" customHeight="1">
      <c r="A25" s="1"/>
      <c r="B25" s="105"/>
      <c r="C25" s="106"/>
      <c r="D25" s="107"/>
      <c r="E25" s="144"/>
      <c r="F25" s="109"/>
      <c r="G25" s="110"/>
      <c r="H25" s="111"/>
      <c r="I25" s="140"/>
      <c r="J25" s="91" t="s">
        <v>66</v>
      </c>
      <c r="K25" s="133">
        <v>4.5</v>
      </c>
      <c r="L25" s="99">
        <f t="shared" ref="L25:M25" si="125">$K$25*L23</f>
        <v>0</v>
      </c>
      <c r="M25" s="94">
        <f t="shared" si="125"/>
        <v>0</v>
      </c>
      <c r="N25" s="95">
        <f t="shared" si="97"/>
        <v>0</v>
      </c>
      <c r="O25" s="96" t="str">
        <f t="shared" si="98"/>
        <v>-</v>
      </c>
      <c r="P25" s="99">
        <f t="shared" ref="P25:Q25" si="126">$K$25*P23</f>
        <v>0</v>
      </c>
      <c r="Q25" s="94">
        <f t="shared" si="126"/>
        <v>0</v>
      </c>
      <c r="R25" s="95">
        <f t="shared" si="99"/>
        <v>0</v>
      </c>
      <c r="S25" s="96" t="str">
        <f t="shared" si="100"/>
        <v>-</v>
      </c>
      <c r="T25" s="93">
        <f t="shared" ref="T25:U25" si="127">$K$25*T23</f>
        <v>0</v>
      </c>
      <c r="U25" s="97">
        <f t="shared" si="127"/>
        <v>0</v>
      </c>
      <c r="V25" s="95">
        <f t="shared" si="101"/>
        <v>0</v>
      </c>
      <c r="W25" s="96" t="str">
        <f t="shared" si="102"/>
        <v>-</v>
      </c>
      <c r="X25" s="93">
        <f t="shared" ref="X25:Y25" si="128">$K$25*X23</f>
        <v>0</v>
      </c>
      <c r="Y25" s="97">
        <f t="shared" si="128"/>
        <v>0</v>
      </c>
      <c r="Z25" s="95">
        <f t="shared" si="103"/>
        <v>0</v>
      </c>
      <c r="AA25" s="96" t="str">
        <f t="shared" si="104"/>
        <v>-</v>
      </c>
      <c r="AB25" s="93">
        <f t="shared" ref="AB25:AC25" si="129">$K$25*AB23</f>
        <v>1000</v>
      </c>
      <c r="AC25" s="97">
        <f t="shared" si="129"/>
        <v>9</v>
      </c>
      <c r="AD25" s="95">
        <f t="shared" si="105"/>
        <v>-991</v>
      </c>
      <c r="AE25" s="299">
        <f t="shared" si="106"/>
        <v>-0.991</v>
      </c>
      <c r="AF25" s="305">
        <f t="shared" ref="AF25:AL25" si="130">$K$25*AF23</f>
        <v>5000</v>
      </c>
      <c r="AG25" s="306">
        <f t="shared" si="130"/>
        <v>0</v>
      </c>
      <c r="AH25" s="306">
        <f t="shared" si="130"/>
        <v>0</v>
      </c>
      <c r="AI25" s="306">
        <f t="shared" si="130"/>
        <v>9</v>
      </c>
      <c r="AJ25" s="306">
        <f t="shared" si="130"/>
        <v>0</v>
      </c>
      <c r="AK25" s="306">
        <f t="shared" si="130"/>
        <v>0</v>
      </c>
      <c r="AL25" s="306">
        <f t="shared" si="130"/>
        <v>0</v>
      </c>
      <c r="AM25" s="95">
        <f t="shared" si="107"/>
        <v>-5000</v>
      </c>
      <c r="AN25" s="96">
        <f t="shared" si="108"/>
        <v>-1</v>
      </c>
      <c r="AO25" s="93">
        <f t="shared" ref="AO25:AP25" si="131">$K$25*AO23</f>
        <v>10000</v>
      </c>
      <c r="AP25" s="97">
        <f t="shared" si="131"/>
        <v>0</v>
      </c>
      <c r="AQ25" s="95">
        <f t="shared" si="109"/>
        <v>-10000</v>
      </c>
      <c r="AR25" s="96">
        <f t="shared" si="110"/>
        <v>-1</v>
      </c>
      <c r="AS25" s="93">
        <f t="shared" ref="AS25:AT25" si="132">$K$25*AS23</f>
        <v>14000</v>
      </c>
      <c r="AT25" s="97">
        <f t="shared" si="132"/>
        <v>0</v>
      </c>
      <c r="AU25" s="95">
        <f t="shared" si="111"/>
        <v>-14000</v>
      </c>
      <c r="AV25" s="96">
        <f t="shared" si="112"/>
        <v>-1</v>
      </c>
      <c r="AW25" s="93">
        <f t="shared" ref="AW25:AX25" si="133">$K$25*AW23</f>
        <v>15000</v>
      </c>
      <c r="AX25" s="97">
        <f t="shared" si="133"/>
        <v>0</v>
      </c>
      <c r="AY25" s="95">
        <f t="shared" si="113"/>
        <v>-15000</v>
      </c>
      <c r="AZ25" s="96">
        <f t="shared" si="114"/>
        <v>-1</v>
      </c>
      <c r="BA25" s="93">
        <f t="shared" ref="BA25:BB25" si="134">$K$25*BA23</f>
        <v>20000</v>
      </c>
      <c r="BB25" s="97">
        <f t="shared" si="134"/>
        <v>0</v>
      </c>
      <c r="BC25" s="95">
        <f t="shared" si="115"/>
        <v>-20000</v>
      </c>
      <c r="BD25" s="96">
        <f t="shared" si="116"/>
        <v>-1</v>
      </c>
      <c r="BE25" s="93">
        <f t="shared" ref="BE25:BF25" si="135">$K$25*BE23</f>
        <v>20000</v>
      </c>
      <c r="BF25" s="97">
        <f t="shared" si="135"/>
        <v>0</v>
      </c>
      <c r="BG25" s="95">
        <f t="shared" si="117"/>
        <v>-20000</v>
      </c>
      <c r="BH25" s="96">
        <f t="shared" si="118"/>
        <v>-1</v>
      </c>
      <c r="BI25" s="93">
        <f t="shared" ref="BI25:BJ25" si="136">$K$25*BI23</f>
        <v>15000</v>
      </c>
      <c r="BJ25" s="97">
        <f t="shared" si="136"/>
        <v>0</v>
      </c>
      <c r="BK25" s="95">
        <f t="shared" si="119"/>
        <v>-15000</v>
      </c>
      <c r="BL25" s="96">
        <f t="shared" si="120"/>
        <v>-1</v>
      </c>
      <c r="BM25" s="101">
        <f t="shared" ref="BM25:BN25" si="137">SUM(L25,P25,T25,X25,AB25,AF25,AO25,AS25,AW25,BA25,BE25,BI25)</f>
        <v>100000</v>
      </c>
      <c r="BN25" s="134">
        <f t="shared" si="137"/>
        <v>9</v>
      </c>
      <c r="BO25" s="102">
        <f t="shared" si="122"/>
        <v>-0.99991</v>
      </c>
      <c r="BP25" s="103" t="s">
        <v>60</v>
      </c>
      <c r="BQ25" s="104" t="str">
        <f>IFERROR((BM25/BP25),"-")</f>
        <v>-</v>
      </c>
      <c r="BR25" s="147"/>
      <c r="BS25" s="147"/>
      <c r="BT25" s="3"/>
      <c r="BU25" s="3"/>
      <c r="BV25" s="3"/>
      <c r="BW25" s="3"/>
    </row>
    <row r="26" ht="15.75" customHeight="1">
      <c r="A26" s="1"/>
      <c r="B26" s="105"/>
      <c r="C26" s="106"/>
      <c r="D26" s="107"/>
      <c r="E26" s="144"/>
      <c r="F26" s="109"/>
      <c r="G26" s="110"/>
      <c r="H26" s="111"/>
      <c r="I26" s="140"/>
      <c r="J26" s="12"/>
      <c r="K26" s="148"/>
      <c r="L26" s="12"/>
      <c r="M26" s="149"/>
      <c r="N26" s="149"/>
      <c r="O26" s="150"/>
      <c r="P26" s="149"/>
      <c r="Q26" s="23"/>
      <c r="R26" s="149"/>
      <c r="S26" s="12"/>
      <c r="T26" s="12"/>
      <c r="U26" s="12"/>
      <c r="V26" s="12"/>
      <c r="W26" s="12"/>
      <c r="X26" s="13"/>
      <c r="Y26" s="14"/>
      <c r="Z26" s="15"/>
      <c r="AA26" s="3"/>
      <c r="AB26" s="3"/>
      <c r="AC26" s="3"/>
      <c r="AD26" s="3"/>
      <c r="AE26" s="3"/>
      <c r="AF26" s="3"/>
      <c r="AG26" s="291"/>
      <c r="AH26" s="291"/>
      <c r="AI26" s="291"/>
      <c r="AJ26" s="291"/>
      <c r="AK26" s="291"/>
      <c r="AL26" s="291"/>
      <c r="AV26" s="138"/>
      <c r="AW26" s="25"/>
      <c r="AX26" s="139"/>
      <c r="AY26" s="25"/>
    </row>
    <row r="27" ht="15.75" customHeight="1">
      <c r="A27" s="1"/>
      <c r="B27" s="105"/>
      <c r="C27" s="106"/>
      <c r="D27" s="107"/>
      <c r="E27" s="144"/>
      <c r="F27" s="109"/>
      <c r="G27" s="110"/>
      <c r="H27" s="111"/>
      <c r="I27" s="112"/>
      <c r="J27" s="34" t="s">
        <v>71</v>
      </c>
      <c r="K27" s="151"/>
      <c r="L27" s="36" t="s">
        <v>10</v>
      </c>
      <c r="M27" s="152" t="s">
        <v>11</v>
      </c>
      <c r="N27" s="38" t="s">
        <v>12</v>
      </c>
      <c r="O27" s="45" t="s">
        <v>13</v>
      </c>
      <c r="P27" s="119" t="s">
        <v>14</v>
      </c>
      <c r="Q27" s="152" t="s">
        <v>15</v>
      </c>
      <c r="R27" s="38" t="s">
        <v>16</v>
      </c>
      <c r="S27" s="45" t="s">
        <v>17</v>
      </c>
      <c r="T27" s="43" t="s">
        <v>18</v>
      </c>
      <c r="U27" s="152" t="s">
        <v>19</v>
      </c>
      <c r="V27" s="38" t="s">
        <v>20</v>
      </c>
      <c r="W27" s="45" t="s">
        <v>21</v>
      </c>
      <c r="X27" s="44" t="s">
        <v>22</v>
      </c>
      <c r="Y27" s="152" t="s">
        <v>23</v>
      </c>
      <c r="Z27" s="38" t="s">
        <v>24</v>
      </c>
      <c r="AA27" s="45" t="s">
        <v>25</v>
      </c>
      <c r="AB27" s="43" t="s">
        <v>26</v>
      </c>
      <c r="AC27" s="152" t="s">
        <v>27</v>
      </c>
      <c r="AD27" s="38" t="s">
        <v>28</v>
      </c>
      <c r="AE27" s="45" t="s">
        <v>29</v>
      </c>
      <c r="AF27" s="44" t="s">
        <v>30</v>
      </c>
      <c r="AG27" s="261" t="s">
        <v>107</v>
      </c>
      <c r="AH27" s="262" t="s">
        <v>108</v>
      </c>
      <c r="AI27" s="262" t="s">
        <v>109</v>
      </c>
      <c r="AJ27" s="262" t="s">
        <v>110</v>
      </c>
      <c r="AK27" s="262" t="s">
        <v>111</v>
      </c>
      <c r="AL27" s="262" t="s">
        <v>31</v>
      </c>
      <c r="AM27" s="38" t="s">
        <v>32</v>
      </c>
      <c r="AN27" s="45" t="s">
        <v>33</v>
      </c>
      <c r="AO27" s="43" t="s">
        <v>34</v>
      </c>
      <c r="AP27" s="152" t="s">
        <v>35</v>
      </c>
      <c r="AQ27" s="38" t="s">
        <v>36</v>
      </c>
      <c r="AR27" s="45" t="s">
        <v>37</v>
      </c>
      <c r="AS27" s="44" t="s">
        <v>38</v>
      </c>
      <c r="AT27" s="152" t="s">
        <v>39</v>
      </c>
      <c r="AU27" s="38" t="s">
        <v>40</v>
      </c>
      <c r="AV27" s="42" t="s">
        <v>41</v>
      </c>
      <c r="AW27" s="43" t="s">
        <v>42</v>
      </c>
      <c r="AX27" s="152" t="s">
        <v>43</v>
      </c>
      <c r="AY27" s="38" t="s">
        <v>44</v>
      </c>
      <c r="AZ27" s="45" t="s">
        <v>45</v>
      </c>
      <c r="BA27" s="44" t="s">
        <v>46</v>
      </c>
      <c r="BB27" s="152" t="s">
        <v>47</v>
      </c>
      <c r="BC27" s="38" t="s">
        <v>48</v>
      </c>
      <c r="BD27" s="45" t="s">
        <v>49</v>
      </c>
      <c r="BE27" s="43" t="s">
        <v>50</v>
      </c>
      <c r="BF27" s="152" t="s">
        <v>51</v>
      </c>
      <c r="BG27" s="38" t="s">
        <v>52</v>
      </c>
      <c r="BH27" s="45" t="s">
        <v>53</v>
      </c>
      <c r="BI27" s="153" t="s">
        <v>54</v>
      </c>
      <c r="BJ27" s="152" t="s">
        <v>55</v>
      </c>
      <c r="BK27" s="38" t="s">
        <v>56</v>
      </c>
      <c r="BL27" s="42" t="s">
        <v>57</v>
      </c>
      <c r="BM27" s="46">
        <v>2026.0</v>
      </c>
      <c r="BN27" s="37" t="s">
        <v>58</v>
      </c>
      <c r="BO27" s="47" t="s">
        <v>59</v>
      </c>
      <c r="BP27" s="48">
        <v>2025.0</v>
      </c>
      <c r="BQ27" s="49"/>
      <c r="BR27" s="3"/>
      <c r="BS27" s="3"/>
      <c r="BT27" s="3"/>
      <c r="BU27" s="3"/>
      <c r="BV27" s="3"/>
      <c r="BW27" s="3"/>
    </row>
    <row r="28" ht="15.75" customHeight="1">
      <c r="A28" s="1"/>
      <c r="B28" s="105"/>
      <c r="C28" s="106"/>
      <c r="D28" s="107"/>
      <c r="E28" s="144"/>
      <c r="F28" s="109"/>
      <c r="G28" s="110"/>
      <c r="H28" s="111"/>
      <c r="I28" s="112"/>
      <c r="J28" s="263" t="s">
        <v>112</v>
      </c>
      <c r="K28" s="264"/>
      <c r="L28" s="265"/>
      <c r="M28" s="307"/>
      <c r="N28" s="267"/>
      <c r="O28" s="268"/>
      <c r="P28" s="265"/>
      <c r="Q28" s="307"/>
      <c r="R28" s="267"/>
      <c r="S28" s="268"/>
      <c r="T28" s="271"/>
      <c r="U28" s="272"/>
      <c r="V28" s="267"/>
      <c r="W28" s="268"/>
      <c r="X28" s="271"/>
      <c r="Y28" s="272"/>
      <c r="Z28" s="267"/>
      <c r="AA28" s="268"/>
      <c r="AB28" s="271"/>
      <c r="AC28" s="272"/>
      <c r="AD28" s="267"/>
      <c r="AE28" s="268"/>
      <c r="AF28" s="271"/>
      <c r="AG28" s="273">
        <f t="shared" ref="AG28:AK28" si="138">$AF$29/5</f>
        <v>0.016</v>
      </c>
      <c r="AH28" s="273">
        <f t="shared" si="138"/>
        <v>0.016</v>
      </c>
      <c r="AI28" s="273">
        <f t="shared" si="138"/>
        <v>0.016</v>
      </c>
      <c r="AJ28" s="273">
        <f t="shared" si="138"/>
        <v>0.016</v>
      </c>
      <c r="AK28" s="273">
        <f t="shared" si="138"/>
        <v>0.016</v>
      </c>
      <c r="AL28" s="273"/>
      <c r="AM28" s="267"/>
      <c r="AN28" s="268"/>
      <c r="AO28" s="271"/>
      <c r="AP28" s="272"/>
      <c r="AQ28" s="267"/>
      <c r="AR28" s="268"/>
      <c r="AS28" s="271"/>
      <c r="AT28" s="272"/>
      <c r="AU28" s="267"/>
      <c r="AV28" s="270"/>
      <c r="AW28" s="271"/>
      <c r="AX28" s="272"/>
      <c r="AY28" s="267"/>
      <c r="AZ28" s="268"/>
      <c r="BA28" s="271"/>
      <c r="BB28" s="272"/>
      <c r="BC28" s="267"/>
      <c r="BD28" s="268"/>
      <c r="BE28" s="271"/>
      <c r="BF28" s="272"/>
      <c r="BG28" s="267"/>
      <c r="BH28" s="268"/>
      <c r="BI28" s="308"/>
      <c r="BJ28" s="272"/>
      <c r="BK28" s="267"/>
      <c r="BL28" s="270"/>
      <c r="BM28" s="275"/>
      <c r="BN28" s="276"/>
      <c r="BO28" s="277"/>
      <c r="BP28" s="278"/>
      <c r="BQ28" s="64"/>
      <c r="BR28" s="3"/>
      <c r="BS28" s="3"/>
      <c r="BT28" s="3"/>
      <c r="BU28" s="3"/>
      <c r="BV28" s="3"/>
      <c r="BW28" s="3"/>
    </row>
    <row r="29" ht="15.75" customHeight="1">
      <c r="A29" s="1"/>
      <c r="B29" s="105">
        <v>5.0</v>
      </c>
      <c r="C29" s="106" t="s">
        <v>72</v>
      </c>
      <c r="D29" s="107">
        <f>28*2*12</f>
        <v>672</v>
      </c>
      <c r="E29" s="144"/>
      <c r="F29" s="109">
        <f>D29*35</f>
        <v>23520</v>
      </c>
      <c r="G29" s="110">
        <v>14.9</v>
      </c>
      <c r="H29" s="111">
        <v>1.0</v>
      </c>
      <c r="I29" s="112">
        <v>14.9</v>
      </c>
      <c r="J29" s="50" t="s">
        <v>61</v>
      </c>
      <c r="K29" s="51"/>
      <c r="L29" s="52" t="s">
        <v>60</v>
      </c>
      <c r="M29" s="154" t="s">
        <v>60</v>
      </c>
      <c r="N29" s="54" t="s">
        <v>60</v>
      </c>
      <c r="O29" s="55" t="s">
        <v>62</v>
      </c>
      <c r="P29" s="52" t="s">
        <v>60</v>
      </c>
      <c r="Q29" s="154" t="s">
        <v>60</v>
      </c>
      <c r="R29" s="54" t="s">
        <v>60</v>
      </c>
      <c r="S29" s="55" t="s">
        <v>62</v>
      </c>
      <c r="T29" s="58">
        <v>0.03</v>
      </c>
      <c r="U29" s="59">
        <f>U30/(BM30-(L30 + P30))</f>
        <v>0.02879612608</v>
      </c>
      <c r="V29" s="54" t="s">
        <v>60</v>
      </c>
      <c r="W29" s="55" t="s">
        <v>62</v>
      </c>
      <c r="X29" s="58">
        <v>0.03</v>
      </c>
      <c r="Y29" s="59">
        <f>Y30/(BM30-(L30+P30))</f>
        <v>0.02240856239</v>
      </c>
      <c r="Z29" s="54" t="s">
        <v>60</v>
      </c>
      <c r="AA29" s="55" t="s">
        <v>62</v>
      </c>
      <c r="AB29" s="58">
        <v>0.05</v>
      </c>
      <c r="AC29" s="59">
        <f>AC30/(BM30-(L30+P30))</f>
        <v>0.02664965997</v>
      </c>
      <c r="AD29" s="54" t="s">
        <v>60</v>
      </c>
      <c r="AE29" s="55" t="s">
        <v>62</v>
      </c>
      <c r="AF29" s="58">
        <v>0.08</v>
      </c>
      <c r="AG29" s="61">
        <f t="shared" ref="AG29:AK29" si="139">AG30/($BM$30-($L$30+$P$30))</f>
        <v>0.00611913753</v>
      </c>
      <c r="AH29" s="61">
        <f t="shared" si="139"/>
        <v>0.00632571369</v>
      </c>
      <c r="AI29" s="61">
        <f t="shared" si="139"/>
        <v>0.006139438357</v>
      </c>
      <c r="AJ29" s="61">
        <f t="shared" si="139"/>
        <v>0</v>
      </c>
      <c r="AK29" s="61">
        <f t="shared" si="139"/>
        <v>0</v>
      </c>
      <c r="AL29" s="279">
        <f t="shared" ref="AL29:AL31" si="141">SUM(AG29:AK29)</f>
        <v>0.01858428958</v>
      </c>
      <c r="AM29" s="280">
        <f>AL29-AF29</f>
        <v>-0.06141571042</v>
      </c>
      <c r="AN29" s="55" t="s">
        <v>62</v>
      </c>
      <c r="AO29" s="58">
        <v>0.13</v>
      </c>
      <c r="AP29" s="59">
        <f>AP30/(BM30-(L30+P30))</f>
        <v>0</v>
      </c>
      <c r="AQ29" s="54" t="s">
        <v>60</v>
      </c>
      <c r="AR29" s="55" t="s">
        <v>62</v>
      </c>
      <c r="AS29" s="58">
        <v>0.13</v>
      </c>
      <c r="AT29" s="59">
        <f>AT30/(BM30-(L30+P30))</f>
        <v>0</v>
      </c>
      <c r="AU29" s="54" t="s">
        <v>60</v>
      </c>
      <c r="AV29" s="57" t="s">
        <v>62</v>
      </c>
      <c r="AW29" s="58">
        <v>0.13</v>
      </c>
      <c r="AX29" s="59">
        <f>AX30/(BM30-(L30+P30))</f>
        <v>0</v>
      </c>
      <c r="AY29" s="54" t="s">
        <v>60</v>
      </c>
      <c r="AZ29" s="55" t="s">
        <v>62</v>
      </c>
      <c r="BA29" s="58">
        <v>0.13</v>
      </c>
      <c r="BB29" s="59">
        <f>BB30/(BM30-(L30+P30))</f>
        <v>0</v>
      </c>
      <c r="BC29" s="54" t="s">
        <v>60</v>
      </c>
      <c r="BD29" s="55" t="s">
        <v>62</v>
      </c>
      <c r="BE29" s="58">
        <v>0.16</v>
      </c>
      <c r="BF29" s="59">
        <f>BF30/(BM30-(L30+P30))</f>
        <v>0</v>
      </c>
      <c r="BG29" s="54" t="s">
        <v>60</v>
      </c>
      <c r="BH29" s="55" t="s">
        <v>62</v>
      </c>
      <c r="BI29" s="155">
        <v>0.13</v>
      </c>
      <c r="BJ29" s="59">
        <f>BJ30/(BM30-(L30+P30))</f>
        <v>0</v>
      </c>
      <c r="BK29" s="54" t="s">
        <v>60</v>
      </c>
      <c r="BL29" s="57" t="s">
        <v>62</v>
      </c>
      <c r="BM29" s="60">
        <f t="shared" ref="BM29:BN29" si="140">SUM(T29,X29,AB29,AF29,AO29,AS29,AW29,BA29,BE29,BI29)</f>
        <v>1</v>
      </c>
      <c r="BN29" s="61">
        <f t="shared" si="140"/>
        <v>0.08397348597</v>
      </c>
      <c r="BO29" s="62"/>
      <c r="BP29" s="63" t="s">
        <v>60</v>
      </c>
      <c r="BQ29" s="64"/>
      <c r="BR29" s="3"/>
      <c r="BS29" s="3"/>
      <c r="BT29" s="3"/>
      <c r="BU29" s="3"/>
      <c r="BV29" s="3"/>
      <c r="BW29" s="3"/>
    </row>
    <row r="30" ht="15.75" customHeight="1">
      <c r="A30" s="1"/>
      <c r="B30" s="105"/>
      <c r="C30" s="106"/>
      <c r="D30" s="107"/>
      <c r="E30" s="144"/>
      <c r="F30" s="109"/>
      <c r="G30" s="110"/>
      <c r="H30" s="111"/>
      <c r="I30" s="112"/>
      <c r="J30" s="50" t="s">
        <v>63</v>
      </c>
      <c r="K30" s="51"/>
      <c r="L30" s="127">
        <v>138541.22</v>
      </c>
      <c r="M30" s="66">
        <v>150043.78</v>
      </c>
      <c r="N30" s="67">
        <f t="shared" ref="N30:N33" si="142">IFERROR(M30-L30,"-")</f>
        <v>11502.56</v>
      </c>
      <c r="O30" s="68">
        <f t="shared" ref="O30:O33" si="143">IFERROR(M30/L30-1,"-")</f>
        <v>0.08302626467</v>
      </c>
      <c r="P30" s="127">
        <v>119609.0</v>
      </c>
      <c r="Q30" s="66">
        <v>130221.82</v>
      </c>
      <c r="R30" s="67">
        <f t="shared" ref="R30:R33" si="144">IFERROR(Q30-P30,"-")</f>
        <v>10612.82</v>
      </c>
      <c r="S30" s="68">
        <f t="shared" ref="S30:S33" si="145">IFERROR(Q30/P30-1,"-")</f>
        <v>0.08872927623</v>
      </c>
      <c r="T30" s="71">
        <f>($BM$30-($L$30+$P$30))*T29</f>
        <v>137728.3802</v>
      </c>
      <c r="U30" s="66">
        <v>132201.46</v>
      </c>
      <c r="V30" s="67">
        <f t="shared" ref="V30:V33" si="146">IFERROR(U30-T30,"-")</f>
        <v>-5526.920171</v>
      </c>
      <c r="W30" s="68">
        <f t="shared" ref="W30:W33" si="147">IFERROR(U30/T30-1,"-")</f>
        <v>-0.04012913071</v>
      </c>
      <c r="X30" s="71">
        <f>($BM$30-($L$30+$P$30))*X29</f>
        <v>137728.3802</v>
      </c>
      <c r="Y30" s="66">
        <v>102876.5</v>
      </c>
      <c r="Z30" s="67">
        <f t="shared" ref="Z30:Z33" si="148">IFERROR(Y30-X30,"-")</f>
        <v>-34851.88017</v>
      </c>
      <c r="AA30" s="68">
        <f t="shared" ref="AA30:AA33" si="149">IFERROR(Y30/X30-1,"-")</f>
        <v>-0.2530479203</v>
      </c>
      <c r="AB30" s="71">
        <f>($BM$30-($L$30+$P$30))*AB29</f>
        <v>229547.3003</v>
      </c>
      <c r="AC30" s="66">
        <v>122347.15</v>
      </c>
      <c r="AD30" s="67">
        <f t="shared" ref="AD30:AD33" si="150">IFERROR(AC30-AB30,"-")</f>
        <v>-107200.1503</v>
      </c>
      <c r="AE30" s="68">
        <f t="shared" ref="AE30:AE33" si="151">IFERROR(AC30/AB30-1,"-")</f>
        <v>-0.4670068006</v>
      </c>
      <c r="AF30" s="71">
        <f>($BM$30-($L$30+$P$30))*AF29</f>
        <v>367275.6805</v>
      </c>
      <c r="AG30" s="73">
        <v>28092.63</v>
      </c>
      <c r="AH30" s="73">
        <v>29041.01</v>
      </c>
      <c r="AI30" s="73">
        <v>28185.83</v>
      </c>
      <c r="AJ30" s="73"/>
      <c r="AK30" s="73"/>
      <c r="AL30" s="283">
        <f t="shared" si="141"/>
        <v>85319.47</v>
      </c>
      <c r="AM30" s="67">
        <f t="shared" ref="AM30:AM33" si="152">IFERROR(AL30-AF30,"-")</f>
        <v>-281956.2105</v>
      </c>
      <c r="AN30" s="68">
        <f t="shared" ref="AN30:AN33" si="153">IFERROR(AL30/AF30-1,"-")</f>
        <v>-0.7676963803</v>
      </c>
      <c r="AO30" s="71">
        <f>($BM$30-($L$30+$P$30))*AO29</f>
        <v>596822.9807</v>
      </c>
      <c r="AP30" s="66"/>
      <c r="AQ30" s="67">
        <f t="shared" ref="AQ30:AQ33" si="154">IFERROR(AP30-AO30,"-")</f>
        <v>-596822.9807</v>
      </c>
      <c r="AR30" s="68">
        <f t="shared" ref="AR30:AR33" si="155">IFERROR(AP30/AO30-1,"-")</f>
        <v>-1</v>
      </c>
      <c r="AS30" s="71">
        <f>($BM$30-($L$30+$P$30))*AS29</f>
        <v>596822.9807</v>
      </c>
      <c r="AT30" s="66"/>
      <c r="AU30" s="67">
        <f t="shared" ref="AU30:AU33" si="156">IFERROR(AT30-AS30,"-")</f>
        <v>-596822.9807</v>
      </c>
      <c r="AV30" s="70">
        <f t="shared" ref="AV30:AV33" si="157">IFERROR(AT30/AS30-1,"-")</f>
        <v>-1</v>
      </c>
      <c r="AW30" s="71">
        <f>($BM$30-($L$30+$P$30))*AW29</f>
        <v>596822.9807</v>
      </c>
      <c r="AX30" s="66"/>
      <c r="AY30" s="67">
        <f t="shared" ref="AY30:AY33" si="158">IFERROR(AX30-AW30,"-")</f>
        <v>-596822.9807</v>
      </c>
      <c r="AZ30" s="68">
        <f t="shared" ref="AZ30:AZ33" si="159">IFERROR(AX30/AW30-1,"-")</f>
        <v>-1</v>
      </c>
      <c r="BA30" s="71">
        <f>($BM$30-($L$30+$P$30))*BA29</f>
        <v>596822.9807</v>
      </c>
      <c r="BB30" s="66"/>
      <c r="BC30" s="67">
        <f t="shared" ref="BC30:BC33" si="160">IFERROR(BB30-BA30,"-")</f>
        <v>-596822.9807</v>
      </c>
      <c r="BD30" s="68">
        <f t="shared" ref="BD30:BD33" si="161">IFERROR(BB30/BA30-1,"-")</f>
        <v>-1</v>
      </c>
      <c r="BE30" s="71">
        <f>($BM$30-($L$30+$P$30))*BE29</f>
        <v>734551.3609</v>
      </c>
      <c r="BF30" s="66"/>
      <c r="BG30" s="67">
        <f t="shared" ref="BG30:BG33" si="162">IFERROR(BF30-BE30,"-")</f>
        <v>-734551.3609</v>
      </c>
      <c r="BH30" s="68">
        <f t="shared" ref="BH30:BH33" si="163">IFERROR(BF30/BE30-1,"-")</f>
        <v>-1</v>
      </c>
      <c r="BI30" s="66">
        <f>($BM$30-($L$30+$P$30))*BI29</f>
        <v>596822.9807</v>
      </c>
      <c r="BJ30" s="66"/>
      <c r="BK30" s="67">
        <f t="shared" ref="BK30:BK33" si="164">IFERROR(BJ30-BI30,"-")</f>
        <v>-596822.9807</v>
      </c>
      <c r="BL30" s="70">
        <f t="shared" ref="BL30:BL33" si="165">IFERROR(BJ30/BI30-1,"-")</f>
        <v>-1</v>
      </c>
      <c r="BM30" s="74">
        <v>4849096.225694574</v>
      </c>
      <c r="BN30" s="75">
        <f>SUM(M30,Q30,U30,Y30,AC30,AG30,AP30,AT30,AX30,BB30,BF30,BJ30)</f>
        <v>665783.34</v>
      </c>
      <c r="BO30" s="76">
        <f t="shared" ref="BO30:BO33" si="167">IFERROR(BN30/BM30-1,"-")</f>
        <v>-0.8626994992</v>
      </c>
      <c r="BP30" s="77">
        <v>1632825.8</v>
      </c>
      <c r="BQ30" s="78">
        <f t="shared" ref="BQ30:BQ32" si="168">BM30/BP30-1</f>
        <v>1.96975723</v>
      </c>
      <c r="BR30" s="3"/>
      <c r="BS30" s="4"/>
      <c r="BT30" s="3"/>
      <c r="BU30" s="3"/>
      <c r="BV30" s="3"/>
      <c r="BW30" s="3"/>
    </row>
    <row r="31" ht="15.75" customHeight="1">
      <c r="A31" s="1"/>
      <c r="B31" s="105"/>
      <c r="C31" s="106"/>
      <c r="D31" s="107"/>
      <c r="E31" s="144"/>
      <c r="F31" s="109"/>
      <c r="G31" s="110"/>
      <c r="H31" s="111"/>
      <c r="I31" s="112"/>
      <c r="J31" s="50" t="s">
        <v>64</v>
      </c>
      <c r="K31" s="79"/>
      <c r="L31" s="129">
        <f>L30/$K$32</f>
        <v>1294.777757</v>
      </c>
      <c r="M31" s="81">
        <v>1236.0</v>
      </c>
      <c r="N31" s="82">
        <f t="shared" si="142"/>
        <v>-58.77775701</v>
      </c>
      <c r="O31" s="68">
        <f t="shared" si="143"/>
        <v>-0.04539602004</v>
      </c>
      <c r="P31" s="129">
        <f>P30/$K$32</f>
        <v>1117.841121</v>
      </c>
      <c r="Q31" s="81">
        <v>1061.0</v>
      </c>
      <c r="R31" s="82">
        <f t="shared" si="144"/>
        <v>-56.8411215</v>
      </c>
      <c r="S31" s="68">
        <f t="shared" si="145"/>
        <v>-0.05084901638</v>
      </c>
      <c r="T31" s="84">
        <f>T30/$K$32</f>
        <v>1287.181123</v>
      </c>
      <c r="U31" s="81">
        <v>1100.0</v>
      </c>
      <c r="V31" s="82">
        <f t="shared" si="146"/>
        <v>-187.1811231</v>
      </c>
      <c r="W31" s="68">
        <f t="shared" si="147"/>
        <v>-0.1454194128</v>
      </c>
      <c r="X31" s="84">
        <f>X30/$K$32</f>
        <v>1287.181123</v>
      </c>
      <c r="Y31" s="81">
        <v>881.0</v>
      </c>
      <c r="Z31" s="82">
        <f t="shared" si="148"/>
        <v>-406.1811231</v>
      </c>
      <c r="AA31" s="68">
        <f t="shared" si="149"/>
        <v>-0.3155586388</v>
      </c>
      <c r="AB31" s="84">
        <f>AB30/$K$32</f>
        <v>2145.301872</v>
      </c>
      <c r="AC31" s="81">
        <v>1012.0</v>
      </c>
      <c r="AD31" s="82">
        <f t="shared" si="150"/>
        <v>-1133.301872</v>
      </c>
      <c r="AE31" s="68">
        <f t="shared" si="151"/>
        <v>-0.5282715159</v>
      </c>
      <c r="AF31" s="84">
        <f>AF30/$K$32</f>
        <v>3432.482995</v>
      </c>
      <c r="AG31" s="85">
        <v>234.0</v>
      </c>
      <c r="AH31" s="85">
        <v>238.0</v>
      </c>
      <c r="AI31" s="85">
        <v>253.0</v>
      </c>
      <c r="AJ31" s="85"/>
      <c r="AK31" s="85"/>
      <c r="AL31" s="286">
        <f t="shared" si="141"/>
        <v>725</v>
      </c>
      <c r="AM31" s="82">
        <f t="shared" si="152"/>
        <v>-2707.482995</v>
      </c>
      <c r="AN31" s="68">
        <f t="shared" si="153"/>
        <v>-0.788782639</v>
      </c>
      <c r="AO31" s="84">
        <f>AO30/$K$32</f>
        <v>5577.784867</v>
      </c>
      <c r="AP31" s="81"/>
      <c r="AQ31" s="82">
        <f t="shared" si="154"/>
        <v>-5577.784867</v>
      </c>
      <c r="AR31" s="68">
        <f t="shared" si="155"/>
        <v>-1</v>
      </c>
      <c r="AS31" s="84">
        <f>AS30/$K$32</f>
        <v>5577.784867</v>
      </c>
      <c r="AT31" s="81"/>
      <c r="AU31" s="82">
        <f t="shared" si="156"/>
        <v>-5577.784867</v>
      </c>
      <c r="AV31" s="70">
        <f t="shared" si="157"/>
        <v>-1</v>
      </c>
      <c r="AW31" s="84">
        <f>AW30/$K$32</f>
        <v>5577.784867</v>
      </c>
      <c r="AX31" s="81"/>
      <c r="AY31" s="82">
        <f t="shared" si="158"/>
        <v>-5577.784867</v>
      </c>
      <c r="AZ31" s="68">
        <f t="shared" si="159"/>
        <v>-1</v>
      </c>
      <c r="BA31" s="84">
        <f>BA30/$K$32</f>
        <v>5577.784867</v>
      </c>
      <c r="BB31" s="81"/>
      <c r="BC31" s="82">
        <f t="shared" si="160"/>
        <v>-5577.784867</v>
      </c>
      <c r="BD31" s="68">
        <f t="shared" si="161"/>
        <v>-1</v>
      </c>
      <c r="BE31" s="84">
        <f>BE30/$K$32</f>
        <v>6864.96599</v>
      </c>
      <c r="BF31" s="81"/>
      <c r="BG31" s="82">
        <f t="shared" si="162"/>
        <v>-6864.96599</v>
      </c>
      <c r="BH31" s="68">
        <f t="shared" si="163"/>
        <v>-1</v>
      </c>
      <c r="BI31" s="81">
        <f>BI30/$K$32</f>
        <v>5577.784867</v>
      </c>
      <c r="BJ31" s="81"/>
      <c r="BK31" s="82">
        <f t="shared" si="164"/>
        <v>-5577.784867</v>
      </c>
      <c r="BL31" s="70">
        <f t="shared" si="165"/>
        <v>-1</v>
      </c>
      <c r="BM31" s="156">
        <f t="shared" ref="BM31:BN31" si="166">SUM(L31,P31,T31,X31,AB31,AF31,AO31,AS31,AW31,BA31,BE31,BI31)</f>
        <v>45318.65631</v>
      </c>
      <c r="BN31" s="87">
        <f t="shared" si="166"/>
        <v>5524</v>
      </c>
      <c r="BO31" s="76">
        <f t="shared" si="167"/>
        <v>-0.8781075952</v>
      </c>
      <c r="BP31" s="88">
        <v>15759.0</v>
      </c>
      <c r="BQ31" s="78">
        <f t="shared" si="168"/>
        <v>1.875731729</v>
      </c>
      <c r="BR31" s="3"/>
      <c r="BS31" s="157"/>
      <c r="BT31" s="3"/>
      <c r="BU31" s="3"/>
      <c r="BV31" s="3"/>
      <c r="BW31" s="3"/>
    </row>
    <row r="32" ht="15.75" customHeight="1">
      <c r="A32" s="1"/>
      <c r="B32" s="105"/>
      <c r="C32" s="106"/>
      <c r="D32" s="107"/>
      <c r="E32" s="144"/>
      <c r="F32" s="109"/>
      <c r="G32" s="110"/>
      <c r="H32" s="111"/>
      <c r="I32" s="112"/>
      <c r="J32" s="50" t="s">
        <v>65</v>
      </c>
      <c r="K32" s="79">
        <v>107.0</v>
      </c>
      <c r="L32" s="129">
        <f>L30/L31</f>
        <v>107</v>
      </c>
      <c r="M32" s="66">
        <f>IFERROR(M30/M31,"-")</f>
        <v>121.394644</v>
      </c>
      <c r="N32" s="67">
        <f t="shared" si="142"/>
        <v>14.39464401</v>
      </c>
      <c r="O32" s="68">
        <f t="shared" si="143"/>
        <v>0.1345293833</v>
      </c>
      <c r="P32" s="65">
        <f t="shared" ref="P32:Q32" si="169">IFERROR(P30/P31,"-")</f>
        <v>107</v>
      </c>
      <c r="Q32" s="66">
        <f t="shared" si="169"/>
        <v>122.7349859</v>
      </c>
      <c r="R32" s="67">
        <f t="shared" si="144"/>
        <v>15.73498586</v>
      </c>
      <c r="S32" s="68">
        <f t="shared" si="145"/>
        <v>0.1470559426</v>
      </c>
      <c r="T32" s="84">
        <f>T30/T31</f>
        <v>107</v>
      </c>
      <c r="U32" s="66">
        <f>IFERROR(U30/U31,"-")</f>
        <v>120.1831455</v>
      </c>
      <c r="V32" s="67">
        <f t="shared" si="146"/>
        <v>13.18314545</v>
      </c>
      <c r="W32" s="68">
        <f t="shared" si="147"/>
        <v>0.1232069669</v>
      </c>
      <c r="X32" s="71">
        <f t="shared" ref="X32:Y32" si="170">IFERROR(X30/X31,"-")</f>
        <v>107</v>
      </c>
      <c r="Y32" s="66">
        <f t="shared" si="170"/>
        <v>116.7724177</v>
      </c>
      <c r="Z32" s="67">
        <f t="shared" si="148"/>
        <v>9.772417707</v>
      </c>
      <c r="AA32" s="68">
        <f t="shared" si="149"/>
        <v>0.09133100661</v>
      </c>
      <c r="AB32" s="84">
        <f>AB30/AB31</f>
        <v>107</v>
      </c>
      <c r="AC32" s="66">
        <f>IFERROR(AC30/AC31,"-")</f>
        <v>120.8963933</v>
      </c>
      <c r="AD32" s="67">
        <f t="shared" si="150"/>
        <v>13.89639328</v>
      </c>
      <c r="AE32" s="68">
        <f t="shared" si="151"/>
        <v>0.1298728344</v>
      </c>
      <c r="AF32" s="309">
        <f>AF30/AF31</f>
        <v>107</v>
      </c>
      <c r="AG32" s="296">
        <f t="shared" ref="AG32:AL32" si="171">IFERROR(AG30/AG31,"-")</f>
        <v>120.0539744</v>
      </c>
      <c r="AH32" s="296">
        <f t="shared" si="171"/>
        <v>122.0210504</v>
      </c>
      <c r="AI32" s="296">
        <f t="shared" si="171"/>
        <v>111.4064427</v>
      </c>
      <c r="AJ32" s="296" t="str">
        <f t="shared" si="171"/>
        <v>-</v>
      </c>
      <c r="AK32" s="296" t="str">
        <f t="shared" si="171"/>
        <v>-</v>
      </c>
      <c r="AL32" s="298">
        <f t="shared" si="171"/>
        <v>117.6820276</v>
      </c>
      <c r="AM32" s="67">
        <f t="shared" si="152"/>
        <v>10.68202759</v>
      </c>
      <c r="AN32" s="68">
        <f t="shared" si="153"/>
        <v>0.09983203352</v>
      </c>
      <c r="AO32" s="84">
        <f>AO30/AO31</f>
        <v>107</v>
      </c>
      <c r="AP32" s="66" t="str">
        <f>IFERROR(AP30/AP31,"-")</f>
        <v>-</v>
      </c>
      <c r="AQ32" s="67" t="str">
        <f t="shared" si="154"/>
        <v>-</v>
      </c>
      <c r="AR32" s="68" t="str">
        <f t="shared" si="155"/>
        <v>-</v>
      </c>
      <c r="AS32" s="84">
        <f>AS30/AS31</f>
        <v>107</v>
      </c>
      <c r="AT32" s="66" t="str">
        <f>IFERROR(AT30/AT31,"-")</f>
        <v>-</v>
      </c>
      <c r="AU32" s="67" t="str">
        <f t="shared" si="156"/>
        <v>-</v>
      </c>
      <c r="AV32" s="70" t="str">
        <f t="shared" si="157"/>
        <v>-</v>
      </c>
      <c r="AW32" s="84">
        <f>AW30/AW31</f>
        <v>107</v>
      </c>
      <c r="AX32" s="66" t="str">
        <f>IFERROR(AX30/AX31,"-")</f>
        <v>-</v>
      </c>
      <c r="AY32" s="67" t="str">
        <f t="shared" si="158"/>
        <v>-</v>
      </c>
      <c r="AZ32" s="68" t="str">
        <f t="shared" si="159"/>
        <v>-</v>
      </c>
      <c r="BA32" s="84">
        <f>BA30/BA31</f>
        <v>107</v>
      </c>
      <c r="BB32" s="66" t="str">
        <f>IFERROR(BB30/BB31,"-")</f>
        <v>-</v>
      </c>
      <c r="BC32" s="67" t="str">
        <f t="shared" si="160"/>
        <v>-</v>
      </c>
      <c r="BD32" s="68" t="str">
        <f t="shared" si="161"/>
        <v>-</v>
      </c>
      <c r="BE32" s="84">
        <f>BE30/BE31</f>
        <v>107</v>
      </c>
      <c r="BF32" s="66" t="str">
        <f>IFERROR(BF30/BF31,"-")</f>
        <v>-</v>
      </c>
      <c r="BG32" s="67" t="str">
        <f t="shared" si="162"/>
        <v>-</v>
      </c>
      <c r="BH32" s="68" t="str">
        <f t="shared" si="163"/>
        <v>-</v>
      </c>
      <c r="BI32" s="81">
        <f>BI30/BI31</f>
        <v>107</v>
      </c>
      <c r="BJ32" s="66" t="str">
        <f>IFERROR(BJ30/BJ31,"-")</f>
        <v>-</v>
      </c>
      <c r="BK32" s="67" t="str">
        <f t="shared" si="164"/>
        <v>-</v>
      </c>
      <c r="BL32" s="70" t="str">
        <f t="shared" si="165"/>
        <v>-</v>
      </c>
      <c r="BM32" s="89">
        <f t="shared" ref="BM32:BN32" si="172">BM30/BM31</f>
        <v>107</v>
      </c>
      <c r="BN32" s="90">
        <f t="shared" si="172"/>
        <v>120.5255865</v>
      </c>
      <c r="BO32" s="76">
        <f t="shared" si="167"/>
        <v>0.1264073508</v>
      </c>
      <c r="BP32" s="88">
        <f>BP30/BP31</f>
        <v>103.6122724</v>
      </c>
      <c r="BQ32" s="78">
        <f t="shared" si="168"/>
        <v>0.03269620066</v>
      </c>
      <c r="BR32" s="3"/>
      <c r="BS32" s="3"/>
      <c r="BT32" s="3"/>
      <c r="BU32" s="3"/>
      <c r="BV32" s="3"/>
      <c r="BW32" s="3"/>
    </row>
    <row r="33" ht="15.75" customHeight="1">
      <c r="A33" s="1"/>
      <c r="B33" s="105"/>
      <c r="C33" s="106"/>
      <c r="D33" s="107"/>
      <c r="E33" s="144"/>
      <c r="F33" s="109"/>
      <c r="G33" s="110"/>
      <c r="H33" s="111"/>
      <c r="I33" s="112"/>
      <c r="J33" s="91" t="s">
        <v>66</v>
      </c>
      <c r="K33" s="92">
        <v>0.039</v>
      </c>
      <c r="L33" s="99">
        <f t="shared" ref="L33:M33" si="173">IF(L31=0, 0, (L30/L31) * (
  MIN(L31, 1000) * 0.049 +
  MAX(0, MIN(L31, 2500) - 1000) * 0.039 +
  MAX(0, MIN(L31, 5000) - 2500) * 0.032 +
  MAX(0, L31 - 5000) * 0.029
))</f>
        <v>6473.10758</v>
      </c>
      <c r="M33" s="158">
        <f t="shared" si="173"/>
        <v>7065.65386</v>
      </c>
      <c r="N33" s="95">
        <f t="shared" si="142"/>
        <v>592.5462801</v>
      </c>
      <c r="O33" s="96">
        <f t="shared" si="143"/>
        <v>0.09153969292</v>
      </c>
      <c r="P33" s="99">
        <f t="shared" ref="P33:Q33" si="174">IF(P31=0, 0, (P30/P31) * (
  MIN(P31, 1000) * 0.049 +
  MAX(0, MIN(P31, 2500) - 1000) * 0.039 +
  MAX(0, MIN(P31, 5000) - 2500) * 0.032 +
  MAX(0, P31 - 5000) * 0.029
))</f>
        <v>5734.751</v>
      </c>
      <c r="Q33" s="158">
        <f t="shared" si="174"/>
        <v>6306.000839</v>
      </c>
      <c r="R33" s="95">
        <f t="shared" si="144"/>
        <v>571.2498386</v>
      </c>
      <c r="S33" s="96">
        <f t="shared" si="145"/>
        <v>0.09961196896</v>
      </c>
      <c r="T33" s="159">
        <f t="shared" ref="T33:U33" si="175">IF(T31=0, 0, (T30/T31) * (
  MIN(T31, 1000) * 0.049 +
  MAX(0, MIN(T31, 2500) - 1000) * 0.039 +
  MAX(0, MIN(T31, 5000) - 2500) * 0.032 +
  MAX(0, T31 - 5000) * 0.029
))</f>
        <v>6441.406827</v>
      </c>
      <c r="U33" s="158">
        <f t="shared" si="175"/>
        <v>6357.688395</v>
      </c>
      <c r="V33" s="95">
        <f t="shared" si="146"/>
        <v>-83.71843212</v>
      </c>
      <c r="W33" s="96">
        <f t="shared" si="147"/>
        <v>-0.01299691735</v>
      </c>
      <c r="X33" s="99">
        <f t="shared" ref="X33:Y33" si="176">IF(X31=0, 0, (X30/X31) * (
  MIN(X31, 1000) * 0.049 +
  MAX(0, MIN(X31, 2500) - 1000) * 0.039 +
  MAX(0, MIN(X31, 5000) - 2500) * 0.032 +
  MAX(0, X31 - 5000) * 0.029
))</f>
        <v>6441.406827</v>
      </c>
      <c r="Y33" s="94">
        <f t="shared" si="176"/>
        <v>5040.9485</v>
      </c>
      <c r="Z33" s="95">
        <f t="shared" si="148"/>
        <v>-1400.458327</v>
      </c>
      <c r="AA33" s="96">
        <f t="shared" si="149"/>
        <v>-0.2174149785</v>
      </c>
      <c r="AB33" s="99">
        <f t="shared" ref="AB33:AC33" si="177">IF(AB31=0, 0, (AB30/AB31) * (
  MIN(AB31, 1000) * 0.049 +
  MAX(0, MIN(AB31, 2500) - 1000) * 0.039 +
  MAX(0, MIN(AB31, 5000) - 2500) * 0.032 +
  MAX(0, AB31 - 5000) * 0.029
))</f>
        <v>10022.34471</v>
      </c>
      <c r="AC33" s="158">
        <f t="shared" si="177"/>
        <v>5980.502783</v>
      </c>
      <c r="AD33" s="95">
        <f t="shared" si="150"/>
        <v>-4041.841928</v>
      </c>
      <c r="AE33" s="96">
        <f t="shared" si="151"/>
        <v>-0.4032830685</v>
      </c>
      <c r="AF33" s="310">
        <f t="shared" ref="AF33:AL33" si="178">IF(AF31=0, 0, (AF30/AF31) * (
  MIN(AF31, 1000) * 0.049 +
  MAX(0, MIN(AF31, 2500) - 1000) * 0.039 +
  MAX(0, MIN(AF31, 5000) - 2500) * 0.032 +
  MAX(0, AF31 - 5000) * 0.029
))</f>
        <v>14695.32177</v>
      </c>
      <c r="AG33" s="301">
        <f t="shared" si="178"/>
        <v>1376.53887</v>
      </c>
      <c r="AH33" s="301">
        <f t="shared" si="178"/>
        <v>1423.00949</v>
      </c>
      <c r="AI33" s="301">
        <f t="shared" si="178"/>
        <v>1381.10567</v>
      </c>
      <c r="AJ33" s="301">
        <f t="shared" si="178"/>
        <v>0</v>
      </c>
      <c r="AK33" s="301">
        <f t="shared" si="178"/>
        <v>0</v>
      </c>
      <c r="AL33" s="302">
        <f t="shared" si="178"/>
        <v>4180.65403</v>
      </c>
      <c r="AM33" s="311">
        <f t="shared" si="152"/>
        <v>-10514.66774</v>
      </c>
      <c r="AN33" s="96">
        <f t="shared" si="153"/>
        <v>-0.7155112291</v>
      </c>
      <c r="AO33" s="99">
        <f t="shared" ref="AO33:AP33" si="179">IF(AO31=0, 0, (AO30/AO31) * (
  MIN(AO31, 1000) * 0.049 +
  MAX(0, MIN(AO31, 2500) - 1000) * 0.039 +
  MAX(0, MIN(AO31, 5000) - 2500) * 0.032 +
  MAX(0, AO31 - 5000) * 0.029
))</f>
        <v>21855.36644</v>
      </c>
      <c r="AP33" s="158">
        <f t="shared" si="179"/>
        <v>0</v>
      </c>
      <c r="AQ33" s="95">
        <f t="shared" si="154"/>
        <v>-21855.36644</v>
      </c>
      <c r="AR33" s="96">
        <f t="shared" si="155"/>
        <v>-1</v>
      </c>
      <c r="AS33" s="99">
        <f t="shared" ref="AS33:AT33" si="180">IF(AS31=0, 0, (AS30/AS31) * (
  MIN(AS31, 1000) * 0.049 +
  MAX(0, MIN(AS31, 2500) - 1000) * 0.039 +
  MAX(0, MIN(AS31, 5000) - 2500) * 0.032 +
  MAX(0, AS31 - 5000) * 0.029
))</f>
        <v>21855.36644</v>
      </c>
      <c r="AT33" s="158">
        <f t="shared" si="180"/>
        <v>0</v>
      </c>
      <c r="AU33" s="95">
        <f t="shared" si="156"/>
        <v>-21855.36644</v>
      </c>
      <c r="AV33" s="98">
        <f t="shared" si="157"/>
        <v>-1</v>
      </c>
      <c r="AW33" s="99">
        <f t="shared" ref="AW33:AX33" si="181">IF(AW31=0, 0, (AW30/AW31) * (
  MIN(AW31, 1000) * 0.049 +
  MAX(0, MIN(AW31, 2500) - 1000) * 0.039 +
  MAX(0, MIN(AW31, 5000) - 2500) * 0.032 +
  MAX(0, AW31 - 5000) * 0.029
))</f>
        <v>21855.36644</v>
      </c>
      <c r="AX33" s="158">
        <f t="shared" si="181"/>
        <v>0</v>
      </c>
      <c r="AY33" s="95">
        <f t="shared" si="158"/>
        <v>-21855.36644</v>
      </c>
      <c r="AZ33" s="96">
        <f t="shared" si="159"/>
        <v>-1</v>
      </c>
      <c r="BA33" s="99">
        <f t="shared" ref="BA33:BB33" si="182">IF(BA31=0, 0, (BA30/BA31) * (
  MIN(BA31, 1000) * 0.049 +
  MAX(0, MIN(BA31, 2500) - 1000) * 0.039 +
  MAX(0, MIN(BA31, 5000) - 2500) * 0.032 +
  MAX(0, BA31 - 5000) * 0.029
))</f>
        <v>21855.36644</v>
      </c>
      <c r="BB33" s="158">
        <f t="shared" si="182"/>
        <v>0</v>
      </c>
      <c r="BC33" s="95">
        <f t="shared" si="160"/>
        <v>-21855.36644</v>
      </c>
      <c r="BD33" s="96">
        <f t="shared" si="161"/>
        <v>-1</v>
      </c>
      <c r="BE33" s="99">
        <f t="shared" ref="BE33:BF33" si="183">IF(BE31=0, 0, (BE30/BE31) * (
  MIN(BE31, 1000) * 0.049 +
  MAX(0, MIN(BE31, 2500) - 1000) * 0.039 +
  MAX(0, MIN(BE31, 5000) - 2500) * 0.032 +
  MAX(0, BE31 - 5000) * 0.029
))</f>
        <v>25849.48947</v>
      </c>
      <c r="BF33" s="158">
        <f t="shared" si="183"/>
        <v>0</v>
      </c>
      <c r="BG33" s="95">
        <f t="shared" si="162"/>
        <v>-25849.48947</v>
      </c>
      <c r="BH33" s="96">
        <f t="shared" si="163"/>
        <v>-1</v>
      </c>
      <c r="BI33" s="94">
        <f t="shared" ref="BI33:BJ33" si="184">IF(BI31=0, 0, (BI30/BI31) * (
  MIN(BI31, 1000) * 0.049 +
  MAX(0, MIN(BI31, 2500) - 1000) * 0.039 +
  MAX(0, MIN(BI31, 5000) - 2500) * 0.032 +
  MAX(0, BI31 - 5000) * 0.029
))</f>
        <v>21855.36644</v>
      </c>
      <c r="BJ33" s="158">
        <f t="shared" si="184"/>
        <v>0</v>
      </c>
      <c r="BK33" s="95">
        <f t="shared" si="164"/>
        <v>-21855.36644</v>
      </c>
      <c r="BL33" s="98">
        <f t="shared" si="165"/>
        <v>-1</v>
      </c>
      <c r="BM33" s="100">
        <f t="shared" ref="BM33:BN33" si="185">SUM(L33,P33,T33,X33,AB33,AF33,AO33,AS33,AW33,BA33,BE33,BI33)</f>
        <v>184934.6604</v>
      </c>
      <c r="BN33" s="101">
        <f t="shared" si="185"/>
        <v>32127.33325</v>
      </c>
      <c r="BO33" s="102">
        <f t="shared" si="167"/>
        <v>-0.8262773826</v>
      </c>
      <c r="BP33" s="103">
        <f>BP30*0.39</f>
        <v>636802.062</v>
      </c>
      <c r="BQ33" s="104">
        <f>BM33/BP33</f>
        <v>0.2904115288</v>
      </c>
      <c r="BR33" s="3"/>
      <c r="BS33" s="3"/>
      <c r="BT33" s="3"/>
      <c r="BU33" s="3"/>
      <c r="BV33" s="3"/>
      <c r="BW33" s="3"/>
    </row>
    <row r="34" ht="15.75" customHeight="1">
      <c r="A34" s="1"/>
      <c r="B34" s="105"/>
      <c r="C34" s="106"/>
      <c r="D34" s="107"/>
      <c r="E34" s="144"/>
      <c r="F34" s="109"/>
      <c r="G34" s="110"/>
      <c r="H34" s="111"/>
      <c r="I34" s="112"/>
      <c r="J34" s="12"/>
      <c r="K34" s="148"/>
      <c r="L34" s="12"/>
      <c r="M34" s="149"/>
      <c r="N34" s="149"/>
      <c r="O34" s="149"/>
      <c r="P34" s="149"/>
      <c r="Q34" s="160"/>
      <c r="R34" s="149"/>
      <c r="S34" s="12"/>
      <c r="T34" s="12"/>
      <c r="U34" s="12"/>
      <c r="V34" s="12"/>
      <c r="W34" s="12"/>
      <c r="X34" s="13"/>
      <c r="Y34" s="14"/>
      <c r="Z34" s="15"/>
      <c r="AA34" s="3"/>
      <c r="AB34" s="3"/>
      <c r="AC34" s="3"/>
      <c r="AD34" s="3"/>
      <c r="AE34" s="3"/>
      <c r="AF34" s="3"/>
      <c r="AG34" s="291"/>
      <c r="AH34" s="291"/>
      <c r="AI34" s="291"/>
      <c r="AJ34" s="291"/>
      <c r="AK34" s="291"/>
      <c r="AL34" s="291"/>
      <c r="AV34" s="138"/>
      <c r="AW34" s="25"/>
      <c r="AX34" s="139"/>
      <c r="AY34" s="25"/>
    </row>
    <row r="35" ht="15.75" customHeight="1">
      <c r="A35" s="1"/>
      <c r="B35" s="105"/>
      <c r="C35" s="106"/>
      <c r="D35" s="107"/>
      <c r="E35" s="144"/>
      <c r="F35" s="109"/>
      <c r="G35" s="110"/>
      <c r="H35" s="111"/>
      <c r="I35" s="112"/>
      <c r="J35" s="34" t="s">
        <v>73</v>
      </c>
      <c r="K35" s="151"/>
      <c r="L35" s="36" t="s">
        <v>10</v>
      </c>
      <c r="M35" s="37" t="s">
        <v>11</v>
      </c>
      <c r="N35" s="38" t="s">
        <v>12</v>
      </c>
      <c r="O35" s="39" t="s">
        <v>13</v>
      </c>
      <c r="P35" s="119" t="s">
        <v>14</v>
      </c>
      <c r="Q35" s="37" t="s">
        <v>15</v>
      </c>
      <c r="R35" s="38" t="s">
        <v>16</v>
      </c>
      <c r="S35" s="161" t="s">
        <v>17</v>
      </c>
      <c r="T35" s="36" t="s">
        <v>18</v>
      </c>
      <c r="U35" s="152" t="s">
        <v>19</v>
      </c>
      <c r="V35" s="38" t="s">
        <v>20</v>
      </c>
      <c r="W35" s="45" t="s">
        <v>21</v>
      </c>
      <c r="X35" s="119" t="s">
        <v>22</v>
      </c>
      <c r="Y35" s="152" t="s">
        <v>23</v>
      </c>
      <c r="Z35" s="38" t="s">
        <v>24</v>
      </c>
      <c r="AA35" s="45" t="s">
        <v>25</v>
      </c>
      <c r="AB35" s="43" t="s">
        <v>26</v>
      </c>
      <c r="AC35" s="152" t="s">
        <v>27</v>
      </c>
      <c r="AD35" s="38" t="s">
        <v>28</v>
      </c>
      <c r="AE35" s="45" t="s">
        <v>29</v>
      </c>
      <c r="AF35" s="44" t="s">
        <v>30</v>
      </c>
      <c r="AG35" s="261" t="s">
        <v>107</v>
      </c>
      <c r="AH35" s="262" t="s">
        <v>108</v>
      </c>
      <c r="AI35" s="262" t="s">
        <v>109</v>
      </c>
      <c r="AJ35" s="262" t="s">
        <v>110</v>
      </c>
      <c r="AK35" s="262" t="s">
        <v>111</v>
      </c>
      <c r="AL35" s="262" t="s">
        <v>31</v>
      </c>
      <c r="AM35" s="38" t="s">
        <v>32</v>
      </c>
      <c r="AN35" s="45" t="s">
        <v>33</v>
      </c>
      <c r="AO35" s="43" t="s">
        <v>34</v>
      </c>
      <c r="AP35" s="152" t="s">
        <v>35</v>
      </c>
      <c r="AQ35" s="38" t="s">
        <v>36</v>
      </c>
      <c r="AR35" s="45" t="s">
        <v>37</v>
      </c>
      <c r="AS35" s="44" t="s">
        <v>38</v>
      </c>
      <c r="AT35" s="152" t="s">
        <v>39</v>
      </c>
      <c r="AU35" s="38" t="s">
        <v>40</v>
      </c>
      <c r="AV35" s="45" t="s">
        <v>41</v>
      </c>
      <c r="AW35" s="43" t="s">
        <v>42</v>
      </c>
      <c r="AX35" s="152" t="s">
        <v>43</v>
      </c>
      <c r="AY35" s="38" t="s">
        <v>44</v>
      </c>
      <c r="AZ35" s="45" t="s">
        <v>45</v>
      </c>
      <c r="BA35" s="44" t="s">
        <v>46</v>
      </c>
      <c r="BB35" s="152" t="s">
        <v>47</v>
      </c>
      <c r="BC35" s="38" t="s">
        <v>48</v>
      </c>
      <c r="BD35" s="45" t="s">
        <v>49</v>
      </c>
      <c r="BE35" s="43" t="s">
        <v>50</v>
      </c>
      <c r="BF35" s="152" t="s">
        <v>51</v>
      </c>
      <c r="BG35" s="38" t="s">
        <v>52</v>
      </c>
      <c r="BH35" s="45" t="s">
        <v>53</v>
      </c>
      <c r="BI35" s="153" t="s">
        <v>54</v>
      </c>
      <c r="BJ35" s="152" t="s">
        <v>55</v>
      </c>
      <c r="BK35" s="38" t="s">
        <v>56</v>
      </c>
      <c r="BL35" s="42" t="s">
        <v>57</v>
      </c>
      <c r="BM35" s="46">
        <v>2026.0</v>
      </c>
      <c r="BN35" s="37" t="s">
        <v>58</v>
      </c>
      <c r="BO35" s="47" t="s">
        <v>59</v>
      </c>
      <c r="BP35" s="48">
        <v>2025.0</v>
      </c>
      <c r="BQ35" s="49" t="s">
        <v>60</v>
      </c>
      <c r="BR35" s="3"/>
      <c r="BS35" s="3"/>
      <c r="BT35" s="3"/>
      <c r="BU35" s="3"/>
      <c r="BV35" s="3"/>
      <c r="BW35" s="3"/>
    </row>
    <row r="36" ht="15.75" customHeight="1">
      <c r="A36" s="1"/>
      <c r="B36" s="105"/>
      <c r="C36" s="106"/>
      <c r="D36" s="107"/>
      <c r="E36" s="144"/>
      <c r="F36" s="109"/>
      <c r="G36" s="110"/>
      <c r="H36" s="111"/>
      <c r="I36" s="112"/>
      <c r="J36" s="263" t="s">
        <v>112</v>
      </c>
      <c r="K36" s="264"/>
      <c r="L36" s="265"/>
      <c r="M36" s="266"/>
      <c r="N36" s="267"/>
      <c r="O36" s="268"/>
      <c r="P36" s="265"/>
      <c r="Q36" s="266"/>
      <c r="R36" s="267"/>
      <c r="S36" s="270"/>
      <c r="T36" s="265"/>
      <c r="U36" s="307"/>
      <c r="V36" s="267"/>
      <c r="W36" s="268"/>
      <c r="X36" s="265"/>
      <c r="Y36" s="307"/>
      <c r="Z36" s="267"/>
      <c r="AA36" s="268"/>
      <c r="AB36" s="271"/>
      <c r="AC36" s="272"/>
      <c r="AD36" s="267"/>
      <c r="AE36" s="268"/>
      <c r="AF36" s="271"/>
      <c r="AG36" s="273">
        <f t="shared" ref="AG36:AK36" si="186">$AF$37/5</f>
        <v>0.008</v>
      </c>
      <c r="AH36" s="273">
        <f t="shared" si="186"/>
        <v>0.008</v>
      </c>
      <c r="AI36" s="273">
        <f t="shared" si="186"/>
        <v>0.008</v>
      </c>
      <c r="AJ36" s="273">
        <f t="shared" si="186"/>
        <v>0.008</v>
      </c>
      <c r="AK36" s="273">
        <f t="shared" si="186"/>
        <v>0.008</v>
      </c>
      <c r="AL36" s="273"/>
      <c r="AM36" s="267"/>
      <c r="AN36" s="268"/>
      <c r="AO36" s="271"/>
      <c r="AP36" s="272"/>
      <c r="AQ36" s="267"/>
      <c r="AR36" s="268"/>
      <c r="AS36" s="271"/>
      <c r="AT36" s="272"/>
      <c r="AU36" s="267"/>
      <c r="AV36" s="268"/>
      <c r="AW36" s="271"/>
      <c r="AX36" s="272"/>
      <c r="AY36" s="267"/>
      <c r="AZ36" s="268"/>
      <c r="BA36" s="271"/>
      <c r="BB36" s="272"/>
      <c r="BC36" s="267"/>
      <c r="BD36" s="268"/>
      <c r="BE36" s="271"/>
      <c r="BF36" s="272"/>
      <c r="BG36" s="267"/>
      <c r="BH36" s="268"/>
      <c r="BI36" s="308"/>
      <c r="BJ36" s="272"/>
      <c r="BK36" s="267"/>
      <c r="BL36" s="270"/>
      <c r="BM36" s="275"/>
      <c r="BN36" s="276"/>
      <c r="BO36" s="277"/>
      <c r="BP36" s="278"/>
      <c r="BQ36" s="64"/>
      <c r="BR36" s="3"/>
      <c r="BS36" s="3"/>
      <c r="BT36" s="3"/>
      <c r="BU36" s="3"/>
      <c r="BV36" s="3"/>
      <c r="BW36" s="3"/>
    </row>
    <row r="37" ht="15.75" customHeight="1">
      <c r="A37" s="1"/>
      <c r="B37" s="105">
        <v>6.0</v>
      </c>
      <c r="C37" s="106" t="s">
        <v>74</v>
      </c>
      <c r="D37" s="107">
        <f>17000*12</f>
        <v>204000</v>
      </c>
      <c r="E37" s="144">
        <v>170.0</v>
      </c>
      <c r="F37" s="109">
        <f>E37*D37</f>
        <v>34680000</v>
      </c>
      <c r="G37" s="110">
        <v>368854.13999999926</v>
      </c>
      <c r="H37" s="111">
        <v>5074.0</v>
      </c>
      <c r="I37" s="112">
        <v>72.69494284588082</v>
      </c>
      <c r="J37" s="50" t="s">
        <v>61</v>
      </c>
      <c r="K37" s="51"/>
      <c r="L37" s="52" t="s">
        <v>60</v>
      </c>
      <c r="M37" s="53" t="s">
        <v>60</v>
      </c>
      <c r="N37" s="54" t="s">
        <v>60</v>
      </c>
      <c r="O37" s="55" t="s">
        <v>62</v>
      </c>
      <c r="P37" s="52" t="s">
        <v>60</v>
      </c>
      <c r="Q37" s="53" t="s">
        <v>60</v>
      </c>
      <c r="R37" s="54" t="s">
        <v>60</v>
      </c>
      <c r="S37" s="57" t="s">
        <v>62</v>
      </c>
      <c r="T37" s="52"/>
      <c r="U37" s="154" t="s">
        <v>60</v>
      </c>
      <c r="V37" s="54" t="s">
        <v>60</v>
      </c>
      <c r="W37" s="55" t="s">
        <v>62</v>
      </c>
      <c r="X37" s="52"/>
      <c r="Y37" s="154" t="s">
        <v>60</v>
      </c>
      <c r="Z37" s="54" t="s">
        <v>60</v>
      </c>
      <c r="AA37" s="55" t="s">
        <v>62</v>
      </c>
      <c r="AB37" s="58">
        <v>0.02</v>
      </c>
      <c r="AC37" s="59">
        <f>AC38/(BM38-(L38+P38+T38+X38))</f>
        <v>0</v>
      </c>
      <c r="AD37" s="54" t="s">
        <v>60</v>
      </c>
      <c r="AE37" s="55" t="s">
        <v>62</v>
      </c>
      <c r="AF37" s="58">
        <v>0.04</v>
      </c>
      <c r="AG37" s="61">
        <f t="shared" ref="AG37:AK37" si="187">AG38/($BM$38-($L$38+$P$38+$T$38+$X$38))</f>
        <v>0</v>
      </c>
      <c r="AH37" s="61">
        <f t="shared" si="187"/>
        <v>0</v>
      </c>
      <c r="AI37" s="61">
        <f t="shared" si="187"/>
        <v>0</v>
      </c>
      <c r="AJ37" s="61">
        <f t="shared" si="187"/>
        <v>0</v>
      </c>
      <c r="AK37" s="61">
        <f t="shared" si="187"/>
        <v>0</v>
      </c>
      <c r="AL37" s="279">
        <f t="shared" ref="AL37:AL39" si="189">SUM(AG37:AK37)</f>
        <v>0</v>
      </c>
      <c r="AM37" s="280">
        <f>AL37-AF37</f>
        <v>-0.04</v>
      </c>
      <c r="AN37" s="55" t="s">
        <v>62</v>
      </c>
      <c r="AO37" s="58">
        <v>0.07</v>
      </c>
      <c r="AP37" s="59">
        <f>AP38/(BM38-(L38+P38+T38+X38))</f>
        <v>0</v>
      </c>
      <c r="AQ37" s="54" t="s">
        <v>60</v>
      </c>
      <c r="AR37" s="55" t="s">
        <v>62</v>
      </c>
      <c r="AS37" s="58">
        <v>0.11</v>
      </c>
      <c r="AT37" s="59">
        <f>AT38/(BM38-(L38+P38+T38+X38))</f>
        <v>0</v>
      </c>
      <c r="AU37" s="54" t="s">
        <v>60</v>
      </c>
      <c r="AV37" s="55" t="s">
        <v>62</v>
      </c>
      <c r="AW37" s="58">
        <v>0.15</v>
      </c>
      <c r="AX37" s="59">
        <f>AX38/(BM38-(L38+P38+T38+X38))</f>
        <v>0</v>
      </c>
      <c r="AY37" s="54" t="s">
        <v>60</v>
      </c>
      <c r="AZ37" s="55" t="s">
        <v>62</v>
      </c>
      <c r="BA37" s="58">
        <v>0.2</v>
      </c>
      <c r="BB37" s="59">
        <f>BB38/(BM38-(L38+P38+T38+X38))</f>
        <v>0</v>
      </c>
      <c r="BC37" s="54" t="s">
        <v>60</v>
      </c>
      <c r="BD37" s="55" t="s">
        <v>62</v>
      </c>
      <c r="BE37" s="58">
        <v>0.2</v>
      </c>
      <c r="BF37" s="59">
        <f>BF38/(BM38-(L38+P38+T38+X38))</f>
        <v>0</v>
      </c>
      <c r="BG37" s="54" t="s">
        <v>60</v>
      </c>
      <c r="BH37" s="55" t="s">
        <v>62</v>
      </c>
      <c r="BI37" s="155">
        <v>0.21</v>
      </c>
      <c r="BJ37" s="59">
        <f>BJ38/(BM38-(L38+P38+T38+X38))</f>
        <v>0</v>
      </c>
      <c r="BK37" s="54" t="s">
        <v>60</v>
      </c>
      <c r="BL37" s="57" t="s">
        <v>62</v>
      </c>
      <c r="BM37" s="60">
        <f t="shared" ref="BM37:BN37" si="188">SUM(AB37,AF37,AO37,AS37,AW37,BA37,BE37,BI37)</f>
        <v>1</v>
      </c>
      <c r="BN37" s="61">
        <f t="shared" si="188"/>
        <v>0</v>
      </c>
      <c r="BO37" s="62"/>
      <c r="BP37" s="63" t="s">
        <v>60</v>
      </c>
      <c r="BQ37" s="64"/>
      <c r="BR37" s="3"/>
      <c r="BS37" s="3"/>
      <c r="BT37" s="3"/>
      <c r="BU37" s="3"/>
      <c r="BV37" s="3"/>
      <c r="BW37" s="3"/>
    </row>
    <row r="38" ht="15.75" customHeight="1">
      <c r="A38" s="1"/>
      <c r="B38" s="105"/>
      <c r="C38" s="106"/>
      <c r="D38" s="107"/>
      <c r="E38" s="144"/>
      <c r="F38" s="109"/>
      <c r="G38" s="110"/>
      <c r="H38" s="111"/>
      <c r="I38" s="112"/>
      <c r="J38" s="50" t="s">
        <v>63</v>
      </c>
      <c r="K38" s="51"/>
      <c r="L38" s="127">
        <v>0.0</v>
      </c>
      <c r="M38" s="66">
        <v>232.36</v>
      </c>
      <c r="N38" s="67">
        <f t="shared" ref="N38:N41" si="190">IFERROR(M38-L38,"-")</f>
        <v>232.36</v>
      </c>
      <c r="O38" s="68" t="str">
        <f t="shared" ref="O38:O41" si="191">IFERROR(M38/L38-1,"-")</f>
        <v>-</v>
      </c>
      <c r="P38" s="65">
        <v>0.0</v>
      </c>
      <c r="Q38" s="66">
        <v>367.46</v>
      </c>
      <c r="R38" s="67">
        <f t="shared" ref="R38:R41" si="192">IFERROR(Q38-P38,"-")</f>
        <v>367.46</v>
      </c>
      <c r="S38" s="70" t="str">
        <f t="shared" ref="S38:S41" si="193">IFERROR(Q38/P38-1,"-")</f>
        <v>-</v>
      </c>
      <c r="T38" s="65">
        <f>($BM$38-($L$38+$P$38))*T37</f>
        <v>0</v>
      </c>
      <c r="U38" s="66">
        <v>177.46</v>
      </c>
      <c r="V38" s="67">
        <f t="shared" ref="V38:V41" si="194">IFERROR(U38-T38,"-")</f>
        <v>177.46</v>
      </c>
      <c r="W38" s="68" t="str">
        <f t="shared" ref="W38:W41" si="195">IFERROR(U38/T38-1,"-")</f>
        <v>-</v>
      </c>
      <c r="X38" s="65">
        <f>($BM$38-($L$38+$P$38))*X37</f>
        <v>0</v>
      </c>
      <c r="Y38" s="66">
        <v>82.24</v>
      </c>
      <c r="Z38" s="67">
        <f t="shared" ref="Z38:Z41" si="196">IFERROR(Y38-X38,"-")</f>
        <v>82.24</v>
      </c>
      <c r="AA38" s="68" t="str">
        <f t="shared" ref="AA38:AA41" si="197">IFERROR(Y38/X38-1,"-")</f>
        <v>-</v>
      </c>
      <c r="AB38" s="71">
        <f>($BM$38-($L$38+$P$38+$T$38+$X$38))*AB37</f>
        <v>1000</v>
      </c>
      <c r="AC38" s="66"/>
      <c r="AD38" s="67">
        <f t="shared" ref="AD38:AD41" si="198">IFERROR(AC38-AB38,"-")</f>
        <v>-1000</v>
      </c>
      <c r="AE38" s="68">
        <f t="shared" ref="AE38:AE41" si="199">IFERROR(AC38/AB38-1,"-")</f>
        <v>-1</v>
      </c>
      <c r="AF38" s="71">
        <f>($BM$38-($L$38+$P$38))*AF37</f>
        <v>2000</v>
      </c>
      <c r="AG38" s="73"/>
      <c r="AH38" s="73"/>
      <c r="AI38" s="73"/>
      <c r="AJ38" s="73"/>
      <c r="AK38" s="73"/>
      <c r="AL38" s="283">
        <f t="shared" si="189"/>
        <v>0</v>
      </c>
      <c r="AM38" s="67">
        <f t="shared" ref="AM38:AM41" si="200">IFERROR(AL38-AF38,"-")</f>
        <v>-2000</v>
      </c>
      <c r="AN38" s="68">
        <f t="shared" ref="AN38:AN41" si="201">IFERROR(AL38/AF38-1,"-")</f>
        <v>-1</v>
      </c>
      <c r="AO38" s="71">
        <f>($BM$38-($L$38+$P$38))*AO37</f>
        <v>3500</v>
      </c>
      <c r="AP38" s="66"/>
      <c r="AQ38" s="67">
        <f t="shared" ref="AQ38:AQ41" si="202">IFERROR(AP38-AO38,"-")</f>
        <v>-3500</v>
      </c>
      <c r="AR38" s="68">
        <f t="shared" ref="AR38:AR41" si="203">IFERROR(AP38/AO38-1,"-")</f>
        <v>-1</v>
      </c>
      <c r="AS38" s="71">
        <f>($BM$38-($L$38+$P$38))*AS37</f>
        <v>5500</v>
      </c>
      <c r="AT38" s="66"/>
      <c r="AU38" s="67">
        <f t="shared" ref="AU38:AU41" si="204">IFERROR(AT38-AS38,"-")</f>
        <v>-5500</v>
      </c>
      <c r="AV38" s="68">
        <f t="shared" ref="AV38:AV41" si="205">IFERROR(AT38/AS38-1,"-")</f>
        <v>-1</v>
      </c>
      <c r="AW38" s="71">
        <f>($BM$38-($L$38+$P$38))*AW37</f>
        <v>7500</v>
      </c>
      <c r="AX38" s="66"/>
      <c r="AY38" s="67">
        <f t="shared" ref="AY38:AY41" si="206">IFERROR(AX38-AW38,"-")</f>
        <v>-7500</v>
      </c>
      <c r="AZ38" s="68">
        <f t="shared" ref="AZ38:AZ41" si="207">IFERROR(AX38/AW38-1,"-")</f>
        <v>-1</v>
      </c>
      <c r="BA38" s="71">
        <f>($BM$38-($L$38+$P$38))*BA37</f>
        <v>10000</v>
      </c>
      <c r="BB38" s="66"/>
      <c r="BC38" s="67">
        <f t="shared" ref="BC38:BC41" si="208">IFERROR(BB38-BA38,"-")</f>
        <v>-10000</v>
      </c>
      <c r="BD38" s="68">
        <f t="shared" ref="BD38:BD41" si="209">IFERROR(BB38/BA38-1,"-")</f>
        <v>-1</v>
      </c>
      <c r="BE38" s="71">
        <f>($BM$38-($L$38+$P$38))*BE37</f>
        <v>10000</v>
      </c>
      <c r="BF38" s="66"/>
      <c r="BG38" s="67">
        <f t="shared" ref="BG38:BG41" si="210">IFERROR(BF38-BE38,"-")</f>
        <v>-10000</v>
      </c>
      <c r="BH38" s="68">
        <f t="shared" ref="BH38:BH41" si="211">IFERROR(BF38/BE38-1,"-")</f>
        <v>-1</v>
      </c>
      <c r="BI38" s="66">
        <f>($BM$38-($L$38+$P$38))*BI37</f>
        <v>10500</v>
      </c>
      <c r="BJ38" s="66"/>
      <c r="BK38" s="67">
        <f t="shared" ref="BK38:BK41" si="212">IFERROR(BJ38-BI38,"-")</f>
        <v>-10500</v>
      </c>
      <c r="BL38" s="70">
        <f t="shared" ref="BL38:BL41" si="213">IFERROR(BJ38/BI38-1,"-")</f>
        <v>-1</v>
      </c>
      <c r="BM38" s="74">
        <v>50000.0</v>
      </c>
      <c r="BN38" s="75">
        <f>SUM(M38,Q38,U38,Y38,AC38,AG38,AP38,AT38,AX38,BB38,BF38,BJ38)</f>
        <v>859.52</v>
      </c>
      <c r="BO38" s="76">
        <f t="shared" ref="BO38:BO41" si="215">IFERROR(BN38/BM38-1,"-")</f>
        <v>-0.9828096</v>
      </c>
      <c r="BP38" s="77" t="s">
        <v>60</v>
      </c>
      <c r="BQ38" s="78" t="str">
        <f t="shared" ref="BQ38:BQ39" si="216">IFERROR((BM38/BP38),"-")</f>
        <v>-</v>
      </c>
      <c r="BR38" s="3"/>
      <c r="BS38" s="3"/>
      <c r="BT38" s="3"/>
      <c r="BU38" s="3"/>
      <c r="BV38" s="3"/>
      <c r="BW38" s="3"/>
    </row>
    <row r="39" ht="15.75" customHeight="1">
      <c r="A39" s="1"/>
      <c r="B39" s="105"/>
      <c r="C39" s="106"/>
      <c r="D39" s="107"/>
      <c r="E39" s="144"/>
      <c r="F39" s="109"/>
      <c r="G39" s="110"/>
      <c r="H39" s="111"/>
      <c r="I39" s="112"/>
      <c r="J39" s="50" t="s">
        <v>64</v>
      </c>
      <c r="K39" s="79"/>
      <c r="L39" s="80">
        <f>L38/$K$40</f>
        <v>0</v>
      </c>
      <c r="M39" s="81">
        <v>16.0</v>
      </c>
      <c r="N39" s="82">
        <f t="shared" si="190"/>
        <v>16</v>
      </c>
      <c r="O39" s="68" t="str">
        <f t="shared" si="191"/>
        <v>-</v>
      </c>
      <c r="P39" s="80">
        <f>P38/$K$40</f>
        <v>0</v>
      </c>
      <c r="Q39" s="81">
        <v>122.0</v>
      </c>
      <c r="R39" s="82">
        <f t="shared" si="192"/>
        <v>122</v>
      </c>
      <c r="S39" s="70" t="str">
        <f t="shared" si="193"/>
        <v>-</v>
      </c>
      <c r="T39" s="80">
        <f>T38/$K$40</f>
        <v>0</v>
      </c>
      <c r="U39" s="81">
        <v>31.0</v>
      </c>
      <c r="V39" s="82">
        <f t="shared" si="194"/>
        <v>31</v>
      </c>
      <c r="W39" s="68" t="str">
        <f t="shared" si="195"/>
        <v>-</v>
      </c>
      <c r="X39" s="80">
        <f>X38/$K$40</f>
        <v>0</v>
      </c>
      <c r="Y39" s="81">
        <v>2.0</v>
      </c>
      <c r="Z39" s="82">
        <f t="shared" si="196"/>
        <v>2</v>
      </c>
      <c r="AA39" s="68" t="str">
        <f t="shared" si="197"/>
        <v>-</v>
      </c>
      <c r="AB39" s="84">
        <f>AB38/$K$40</f>
        <v>16.66666667</v>
      </c>
      <c r="AC39" s="81"/>
      <c r="AD39" s="82">
        <f t="shared" si="198"/>
        <v>-16.66666667</v>
      </c>
      <c r="AE39" s="68">
        <f t="shared" si="199"/>
        <v>-1</v>
      </c>
      <c r="AF39" s="84">
        <f>AF38/$K$40</f>
        <v>33.33333333</v>
      </c>
      <c r="AG39" s="81"/>
      <c r="AH39" s="81"/>
      <c r="AI39" s="81"/>
      <c r="AJ39" s="81"/>
      <c r="AK39" s="81"/>
      <c r="AL39" s="286">
        <f t="shared" si="189"/>
        <v>0</v>
      </c>
      <c r="AM39" s="82">
        <f t="shared" si="200"/>
        <v>-33.33333333</v>
      </c>
      <c r="AN39" s="68">
        <f t="shared" si="201"/>
        <v>-1</v>
      </c>
      <c r="AO39" s="84">
        <f>AO38/$K$40</f>
        <v>58.33333333</v>
      </c>
      <c r="AP39" s="81"/>
      <c r="AQ39" s="82">
        <f t="shared" si="202"/>
        <v>-58.33333333</v>
      </c>
      <c r="AR39" s="68">
        <f t="shared" si="203"/>
        <v>-1</v>
      </c>
      <c r="AS39" s="84">
        <f>AS38/$K$40</f>
        <v>91.66666667</v>
      </c>
      <c r="AT39" s="81"/>
      <c r="AU39" s="82">
        <f t="shared" si="204"/>
        <v>-91.66666667</v>
      </c>
      <c r="AV39" s="68">
        <f t="shared" si="205"/>
        <v>-1</v>
      </c>
      <c r="AW39" s="84">
        <f>AW38/$K$40</f>
        <v>125</v>
      </c>
      <c r="AX39" s="81"/>
      <c r="AY39" s="82">
        <f t="shared" si="206"/>
        <v>-125</v>
      </c>
      <c r="AZ39" s="68">
        <f t="shared" si="207"/>
        <v>-1</v>
      </c>
      <c r="BA39" s="84">
        <f>BA38/$K$40</f>
        <v>166.6666667</v>
      </c>
      <c r="BB39" s="81"/>
      <c r="BC39" s="82">
        <f t="shared" si="208"/>
        <v>-166.6666667</v>
      </c>
      <c r="BD39" s="68">
        <f t="shared" si="209"/>
        <v>-1</v>
      </c>
      <c r="BE39" s="84">
        <f>BE38/$K$40</f>
        <v>166.6666667</v>
      </c>
      <c r="BF39" s="81"/>
      <c r="BG39" s="82">
        <f t="shared" si="210"/>
        <v>-166.6666667</v>
      </c>
      <c r="BH39" s="68">
        <f t="shared" si="211"/>
        <v>-1</v>
      </c>
      <c r="BI39" s="81">
        <f>BI38/$K$40</f>
        <v>175</v>
      </c>
      <c r="BJ39" s="81"/>
      <c r="BK39" s="82">
        <f t="shared" si="212"/>
        <v>-175</v>
      </c>
      <c r="BL39" s="70">
        <f t="shared" si="213"/>
        <v>-1</v>
      </c>
      <c r="BM39" s="86">
        <f t="shared" ref="BM39:BN39" si="214">SUM(L39,P39,T39,X39,AB39,AF39,AO39,AS39,AW39,BA39,BE39,BI39)</f>
        <v>833.3333333</v>
      </c>
      <c r="BN39" s="87">
        <f t="shared" si="214"/>
        <v>171</v>
      </c>
      <c r="BO39" s="76">
        <f t="shared" si="215"/>
        <v>-0.7948</v>
      </c>
      <c r="BP39" s="88" t="s">
        <v>60</v>
      </c>
      <c r="BQ39" s="78" t="str">
        <f t="shared" si="216"/>
        <v>-</v>
      </c>
      <c r="BR39" s="147"/>
      <c r="BS39" s="3"/>
      <c r="BT39" s="3"/>
      <c r="BU39" s="3"/>
      <c r="BV39" s="3"/>
      <c r="BW39" s="3"/>
      <c r="CE39" s="162" t="s">
        <v>75</v>
      </c>
    </row>
    <row r="40" ht="15.75" customHeight="1">
      <c r="A40" s="1"/>
      <c r="B40" s="105"/>
      <c r="C40" s="106"/>
      <c r="D40" s="107"/>
      <c r="E40" s="144"/>
      <c r="F40" s="109"/>
      <c r="G40" s="110"/>
      <c r="H40" s="111"/>
      <c r="I40" s="112"/>
      <c r="J40" s="50" t="s">
        <v>65</v>
      </c>
      <c r="K40" s="79">
        <v>60.0</v>
      </c>
      <c r="L40" s="80">
        <v>60.0</v>
      </c>
      <c r="M40" s="66">
        <f>IFERROR(M38/M39,"-")</f>
        <v>14.5225</v>
      </c>
      <c r="N40" s="67">
        <f t="shared" si="190"/>
        <v>-45.4775</v>
      </c>
      <c r="O40" s="68">
        <f t="shared" si="191"/>
        <v>-0.7579583333</v>
      </c>
      <c r="P40" s="127">
        <v>60.0</v>
      </c>
      <c r="Q40" s="66">
        <f>IFERROR(Q38/Q39,"-")</f>
        <v>3.011967213</v>
      </c>
      <c r="R40" s="67">
        <f t="shared" si="192"/>
        <v>-56.98803279</v>
      </c>
      <c r="S40" s="70">
        <f t="shared" si="193"/>
        <v>-0.9498005464</v>
      </c>
      <c r="T40" s="80">
        <v>60.0</v>
      </c>
      <c r="U40" s="66">
        <f>IFERROR(U38/U39,"-")</f>
        <v>5.724516129</v>
      </c>
      <c r="V40" s="67">
        <f t="shared" si="194"/>
        <v>-54.27548387</v>
      </c>
      <c r="W40" s="68">
        <f t="shared" si="195"/>
        <v>-0.9045913978</v>
      </c>
      <c r="X40" s="80">
        <v>60.0</v>
      </c>
      <c r="Y40" s="81">
        <f>Y38/Y39</f>
        <v>41.12</v>
      </c>
      <c r="Z40" s="67">
        <f t="shared" si="196"/>
        <v>-18.88</v>
      </c>
      <c r="AA40" s="68">
        <f t="shared" si="197"/>
        <v>-0.3146666667</v>
      </c>
      <c r="AB40" s="84">
        <f>AB38/AB39</f>
        <v>60</v>
      </c>
      <c r="AC40" s="66" t="str">
        <f>IFERROR(AC38/AC39,"-")</f>
        <v>-</v>
      </c>
      <c r="AD40" s="67" t="str">
        <f t="shared" si="198"/>
        <v>-</v>
      </c>
      <c r="AE40" s="68" t="str">
        <f t="shared" si="199"/>
        <v>-</v>
      </c>
      <c r="AF40" s="312">
        <f>AF38/AF39</f>
        <v>60</v>
      </c>
      <c r="AG40" s="296" t="str">
        <f t="shared" ref="AG40:AL40" si="217">IFERROR(AG38/AG39,"-")</f>
        <v>-</v>
      </c>
      <c r="AH40" s="296" t="str">
        <f t="shared" si="217"/>
        <v>-</v>
      </c>
      <c r="AI40" s="296" t="str">
        <f t="shared" si="217"/>
        <v>-</v>
      </c>
      <c r="AJ40" s="296" t="str">
        <f t="shared" si="217"/>
        <v>-</v>
      </c>
      <c r="AK40" s="296" t="str">
        <f t="shared" si="217"/>
        <v>-</v>
      </c>
      <c r="AL40" s="298" t="str">
        <f t="shared" si="217"/>
        <v>-</v>
      </c>
      <c r="AM40" s="67" t="str">
        <f t="shared" si="200"/>
        <v>-</v>
      </c>
      <c r="AN40" s="68" t="str">
        <f t="shared" si="201"/>
        <v>-</v>
      </c>
      <c r="AO40" s="84">
        <f>AO38/AO39</f>
        <v>60</v>
      </c>
      <c r="AP40" s="66" t="str">
        <f>IFERROR(AP38/AP39,"-")</f>
        <v>-</v>
      </c>
      <c r="AQ40" s="67" t="str">
        <f t="shared" si="202"/>
        <v>-</v>
      </c>
      <c r="AR40" s="68" t="str">
        <f t="shared" si="203"/>
        <v>-</v>
      </c>
      <c r="AS40" s="84">
        <f>AS38/AS39</f>
        <v>60</v>
      </c>
      <c r="AT40" s="66" t="str">
        <f>IFERROR(AT38/AT39,"-")</f>
        <v>-</v>
      </c>
      <c r="AU40" s="67" t="str">
        <f t="shared" si="204"/>
        <v>-</v>
      </c>
      <c r="AV40" s="68" t="str">
        <f t="shared" si="205"/>
        <v>-</v>
      </c>
      <c r="AW40" s="84">
        <f>AW38/AW39</f>
        <v>60</v>
      </c>
      <c r="AX40" s="66" t="str">
        <f>IFERROR(AX38/AX39,"-")</f>
        <v>-</v>
      </c>
      <c r="AY40" s="67" t="str">
        <f t="shared" si="206"/>
        <v>-</v>
      </c>
      <c r="AZ40" s="68" t="str">
        <f t="shared" si="207"/>
        <v>-</v>
      </c>
      <c r="BA40" s="84">
        <f>BA38/BA39</f>
        <v>60</v>
      </c>
      <c r="BB40" s="66" t="str">
        <f>IFERROR(BB38/BB39,"-")</f>
        <v>-</v>
      </c>
      <c r="BC40" s="67" t="str">
        <f t="shared" si="208"/>
        <v>-</v>
      </c>
      <c r="BD40" s="68" t="str">
        <f t="shared" si="209"/>
        <v>-</v>
      </c>
      <c r="BE40" s="84">
        <f>BE38/BE39</f>
        <v>60</v>
      </c>
      <c r="BF40" s="66" t="str">
        <f>IFERROR(BF38/BF39,"-")</f>
        <v>-</v>
      </c>
      <c r="BG40" s="67" t="str">
        <f t="shared" si="210"/>
        <v>-</v>
      </c>
      <c r="BH40" s="68" t="str">
        <f t="shared" si="211"/>
        <v>-</v>
      </c>
      <c r="BI40" s="81">
        <f>BI38/BI39</f>
        <v>60</v>
      </c>
      <c r="BJ40" s="66" t="str">
        <f>IFERROR(BJ38/BJ39,"-")</f>
        <v>-</v>
      </c>
      <c r="BK40" s="67" t="str">
        <f t="shared" si="212"/>
        <v>-</v>
      </c>
      <c r="BL40" s="70" t="str">
        <f t="shared" si="213"/>
        <v>-</v>
      </c>
      <c r="BM40" s="163">
        <f t="shared" ref="BM40:BN40" si="218">BM38/BM39</f>
        <v>60</v>
      </c>
      <c r="BN40" s="90">
        <f t="shared" si="218"/>
        <v>5.026432749</v>
      </c>
      <c r="BO40" s="76">
        <f t="shared" si="215"/>
        <v>-0.9162261209</v>
      </c>
      <c r="BP40" s="88"/>
      <c r="BQ40" s="78"/>
      <c r="BR40" s="147"/>
      <c r="BS40" s="3"/>
      <c r="BT40" s="3"/>
      <c r="BU40" s="3"/>
      <c r="BV40" s="3"/>
      <c r="BW40" s="3"/>
    </row>
    <row r="41" ht="15.75" customHeight="1">
      <c r="A41" s="1"/>
      <c r="B41" s="105"/>
      <c r="C41" s="106"/>
      <c r="D41" s="107"/>
      <c r="E41" s="144"/>
      <c r="F41" s="109"/>
      <c r="G41" s="110"/>
      <c r="H41" s="111"/>
      <c r="I41" s="112"/>
      <c r="J41" s="91" t="s">
        <v>66</v>
      </c>
      <c r="K41" s="92">
        <v>0.049</v>
      </c>
      <c r="L41" s="93">
        <f t="shared" ref="L41:M41" si="219">L38*$K$41</f>
        <v>0</v>
      </c>
      <c r="M41" s="97">
        <f t="shared" si="219"/>
        <v>11.38564</v>
      </c>
      <c r="N41" s="95">
        <f t="shared" si="190"/>
        <v>11.38564</v>
      </c>
      <c r="O41" s="96" t="str">
        <f t="shared" si="191"/>
        <v>-</v>
      </c>
      <c r="P41" s="93">
        <f t="shared" ref="P41:Q41" si="220">P38*$K$41</f>
        <v>0</v>
      </c>
      <c r="Q41" s="97">
        <f t="shared" si="220"/>
        <v>18.00554</v>
      </c>
      <c r="R41" s="95">
        <f t="shared" si="192"/>
        <v>18.00554</v>
      </c>
      <c r="S41" s="98" t="str">
        <f t="shared" si="193"/>
        <v>-</v>
      </c>
      <c r="T41" s="93">
        <f t="shared" ref="T41:U41" si="221">T38*$K$41</f>
        <v>0</v>
      </c>
      <c r="U41" s="97">
        <f t="shared" si="221"/>
        <v>8.69554</v>
      </c>
      <c r="V41" s="95">
        <f t="shared" si="194"/>
        <v>8.69554</v>
      </c>
      <c r="W41" s="96" t="str">
        <f t="shared" si="195"/>
        <v>-</v>
      </c>
      <c r="X41" s="93">
        <f t="shared" ref="X41:Y41" si="222">X38*$K$41</f>
        <v>0</v>
      </c>
      <c r="Y41" s="97">
        <f t="shared" si="222"/>
        <v>4.02976</v>
      </c>
      <c r="Z41" s="95">
        <f t="shared" si="196"/>
        <v>4.02976</v>
      </c>
      <c r="AA41" s="96" t="str">
        <f t="shared" si="197"/>
        <v>-</v>
      </c>
      <c r="AB41" s="93">
        <f t="shared" ref="AB41:AC41" si="223">AB38*$K$41</f>
        <v>49</v>
      </c>
      <c r="AC41" s="97">
        <f t="shared" si="223"/>
        <v>0</v>
      </c>
      <c r="AD41" s="95">
        <f t="shared" si="198"/>
        <v>-49</v>
      </c>
      <c r="AE41" s="299">
        <f t="shared" si="199"/>
        <v>-1</v>
      </c>
      <c r="AF41" s="305">
        <f t="shared" ref="AF41:AL41" si="224">AF38*$K$41</f>
        <v>98</v>
      </c>
      <c r="AG41" s="306">
        <f t="shared" si="224"/>
        <v>0</v>
      </c>
      <c r="AH41" s="306">
        <f t="shared" si="224"/>
        <v>0</v>
      </c>
      <c r="AI41" s="306">
        <f t="shared" si="224"/>
        <v>0</v>
      </c>
      <c r="AJ41" s="306">
        <f t="shared" si="224"/>
        <v>0</v>
      </c>
      <c r="AK41" s="306">
        <f t="shared" si="224"/>
        <v>0</v>
      </c>
      <c r="AL41" s="313">
        <f t="shared" si="224"/>
        <v>0</v>
      </c>
      <c r="AM41" s="311">
        <f t="shared" si="200"/>
        <v>-98</v>
      </c>
      <c r="AN41" s="96">
        <f t="shared" si="201"/>
        <v>-1</v>
      </c>
      <c r="AO41" s="93">
        <f t="shared" ref="AO41:AP41" si="225">AO38*$K$41</f>
        <v>171.5</v>
      </c>
      <c r="AP41" s="97">
        <f t="shared" si="225"/>
        <v>0</v>
      </c>
      <c r="AQ41" s="95">
        <f t="shared" si="202"/>
        <v>-171.5</v>
      </c>
      <c r="AR41" s="96">
        <f t="shared" si="203"/>
        <v>-1</v>
      </c>
      <c r="AS41" s="93">
        <f t="shared" ref="AS41:AT41" si="226">AS38*$K$41</f>
        <v>269.5</v>
      </c>
      <c r="AT41" s="97">
        <f t="shared" si="226"/>
        <v>0</v>
      </c>
      <c r="AU41" s="95">
        <f t="shared" si="204"/>
        <v>-269.5</v>
      </c>
      <c r="AV41" s="96">
        <f t="shared" si="205"/>
        <v>-1</v>
      </c>
      <c r="AW41" s="93">
        <f t="shared" ref="AW41:AX41" si="227">AW38*$K$41</f>
        <v>367.5</v>
      </c>
      <c r="AX41" s="97">
        <f t="shared" si="227"/>
        <v>0</v>
      </c>
      <c r="AY41" s="95">
        <f t="shared" si="206"/>
        <v>-367.5</v>
      </c>
      <c r="AZ41" s="96">
        <f t="shared" si="207"/>
        <v>-1</v>
      </c>
      <c r="BA41" s="93">
        <f t="shared" ref="BA41:BB41" si="228">BA38*$K$41</f>
        <v>490</v>
      </c>
      <c r="BB41" s="97">
        <f t="shared" si="228"/>
        <v>0</v>
      </c>
      <c r="BC41" s="95">
        <f t="shared" si="208"/>
        <v>-490</v>
      </c>
      <c r="BD41" s="96">
        <f t="shared" si="209"/>
        <v>-1</v>
      </c>
      <c r="BE41" s="93">
        <f t="shared" ref="BE41:BF41" si="229">BE38*$K$41</f>
        <v>490</v>
      </c>
      <c r="BF41" s="97">
        <f t="shared" si="229"/>
        <v>0</v>
      </c>
      <c r="BG41" s="95">
        <f t="shared" si="210"/>
        <v>-490</v>
      </c>
      <c r="BH41" s="96">
        <f t="shared" si="211"/>
        <v>-1</v>
      </c>
      <c r="BI41" s="97">
        <f t="shared" ref="BI41:BJ41" si="230">BI38*$K$41</f>
        <v>514.5</v>
      </c>
      <c r="BJ41" s="97">
        <f t="shared" si="230"/>
        <v>0</v>
      </c>
      <c r="BK41" s="95">
        <f t="shared" si="212"/>
        <v>-514.5</v>
      </c>
      <c r="BL41" s="98">
        <f t="shared" si="213"/>
        <v>-1</v>
      </c>
      <c r="BM41" s="100">
        <f t="shared" ref="BM41:BN41" si="231">SUM(L41,P41,T41,X41,AB41,AF41,AO41,AS41,AW41,BA41,BE41,BI41)</f>
        <v>2450</v>
      </c>
      <c r="BN41" s="101">
        <f t="shared" si="231"/>
        <v>42.11648</v>
      </c>
      <c r="BO41" s="102">
        <f t="shared" si="215"/>
        <v>-0.9828096</v>
      </c>
      <c r="BP41" s="103" t="s">
        <v>60</v>
      </c>
      <c r="BQ41" s="104" t="str">
        <f>IFERROR((BM41/BP41),"-")</f>
        <v>-</v>
      </c>
      <c r="BR41" s="3"/>
      <c r="BS41" s="3"/>
      <c r="BT41" s="3"/>
      <c r="BU41" s="3"/>
    </row>
    <row r="42" ht="15.75" customHeight="1">
      <c r="A42" s="1"/>
      <c r="B42" s="105"/>
      <c r="C42" s="106"/>
      <c r="D42" s="107"/>
      <c r="E42" s="144"/>
      <c r="F42" s="109"/>
      <c r="G42" s="110"/>
      <c r="H42" s="111"/>
      <c r="I42" s="112"/>
      <c r="J42" s="12"/>
      <c r="K42" s="148"/>
      <c r="L42" s="12"/>
      <c r="M42" s="149"/>
      <c r="N42" s="149"/>
      <c r="O42" s="149"/>
      <c r="P42" s="149"/>
      <c r="Q42" s="23"/>
      <c r="R42" s="149"/>
      <c r="S42" s="12"/>
      <c r="T42" s="12"/>
      <c r="U42" s="12"/>
      <c r="V42" s="12"/>
      <c r="W42" s="12"/>
      <c r="X42" s="13"/>
      <c r="Y42" s="14"/>
      <c r="Z42" s="15"/>
      <c r="AA42" s="3"/>
      <c r="AB42" s="3"/>
      <c r="AC42" s="3"/>
      <c r="AD42" s="3"/>
      <c r="AE42" s="3"/>
      <c r="AF42" s="3"/>
      <c r="AG42" s="291"/>
      <c r="AH42" s="291"/>
      <c r="AI42" s="291"/>
      <c r="AJ42" s="291"/>
      <c r="AK42" s="291"/>
      <c r="AL42" s="291"/>
      <c r="AV42" s="138"/>
      <c r="AW42" s="25"/>
      <c r="AX42" s="139"/>
      <c r="AY42" s="25"/>
    </row>
    <row r="43" ht="15.75" customHeight="1">
      <c r="A43" s="1"/>
      <c r="B43" s="105"/>
      <c r="C43" s="106"/>
      <c r="D43" s="107"/>
      <c r="E43" s="144"/>
      <c r="F43" s="109"/>
      <c r="G43" s="110"/>
      <c r="H43" s="111"/>
      <c r="I43" s="112"/>
      <c r="J43" s="34" t="s">
        <v>76</v>
      </c>
      <c r="K43" s="35"/>
      <c r="L43" s="36" t="s">
        <v>10</v>
      </c>
      <c r="M43" s="152" t="s">
        <v>11</v>
      </c>
      <c r="N43" s="38" t="s">
        <v>12</v>
      </c>
      <c r="O43" s="45" t="s">
        <v>13</v>
      </c>
      <c r="P43" s="119" t="s">
        <v>14</v>
      </c>
      <c r="Q43" s="152" t="s">
        <v>15</v>
      </c>
      <c r="R43" s="38" t="s">
        <v>16</v>
      </c>
      <c r="S43" s="42" t="s">
        <v>17</v>
      </c>
      <c r="T43" s="164" t="s">
        <v>18</v>
      </c>
      <c r="U43" s="152" t="s">
        <v>19</v>
      </c>
      <c r="V43" s="38" t="s">
        <v>20</v>
      </c>
      <c r="W43" s="45" t="s">
        <v>21</v>
      </c>
      <c r="X43" s="44" t="s">
        <v>22</v>
      </c>
      <c r="Y43" s="152" t="s">
        <v>23</v>
      </c>
      <c r="Z43" s="38" t="s">
        <v>24</v>
      </c>
      <c r="AA43" s="45" t="s">
        <v>25</v>
      </c>
      <c r="AB43" s="43" t="s">
        <v>26</v>
      </c>
      <c r="AC43" s="152" t="s">
        <v>27</v>
      </c>
      <c r="AD43" s="38" t="s">
        <v>28</v>
      </c>
      <c r="AE43" s="45" t="s">
        <v>29</v>
      </c>
      <c r="AF43" s="44" t="s">
        <v>30</v>
      </c>
      <c r="AG43" s="261" t="s">
        <v>107</v>
      </c>
      <c r="AH43" s="262" t="s">
        <v>108</v>
      </c>
      <c r="AI43" s="262" t="s">
        <v>109</v>
      </c>
      <c r="AJ43" s="262" t="s">
        <v>110</v>
      </c>
      <c r="AK43" s="262" t="s">
        <v>111</v>
      </c>
      <c r="AL43" s="262" t="s">
        <v>31</v>
      </c>
      <c r="AM43" s="38" t="s">
        <v>32</v>
      </c>
      <c r="AN43" s="45" t="s">
        <v>33</v>
      </c>
      <c r="AO43" s="43" t="s">
        <v>34</v>
      </c>
      <c r="AP43" s="152" t="s">
        <v>35</v>
      </c>
      <c r="AQ43" s="38" t="s">
        <v>36</v>
      </c>
      <c r="AR43" s="45" t="s">
        <v>37</v>
      </c>
      <c r="AS43" s="153" t="s">
        <v>38</v>
      </c>
      <c r="AT43" s="152" t="s">
        <v>39</v>
      </c>
      <c r="AU43" s="38" t="s">
        <v>40</v>
      </c>
      <c r="AV43" s="45" t="s">
        <v>41</v>
      </c>
      <c r="AW43" s="43" t="s">
        <v>42</v>
      </c>
      <c r="AX43" s="152" t="s">
        <v>43</v>
      </c>
      <c r="AY43" s="38" t="s">
        <v>44</v>
      </c>
      <c r="AZ43" s="45" t="s">
        <v>45</v>
      </c>
      <c r="BA43" s="44" t="s">
        <v>46</v>
      </c>
      <c r="BB43" s="152" t="s">
        <v>47</v>
      </c>
      <c r="BC43" s="38" t="s">
        <v>48</v>
      </c>
      <c r="BD43" s="45" t="s">
        <v>49</v>
      </c>
      <c r="BE43" s="43" t="s">
        <v>50</v>
      </c>
      <c r="BF43" s="152" t="s">
        <v>51</v>
      </c>
      <c r="BG43" s="38" t="s">
        <v>52</v>
      </c>
      <c r="BH43" s="45" t="s">
        <v>53</v>
      </c>
      <c r="BI43" s="44" t="s">
        <v>54</v>
      </c>
      <c r="BJ43" s="152" t="s">
        <v>55</v>
      </c>
      <c r="BK43" s="38" t="s">
        <v>56</v>
      </c>
      <c r="BL43" s="45" t="s">
        <v>57</v>
      </c>
      <c r="BM43" s="122">
        <v>2026.0</v>
      </c>
      <c r="BN43" s="37" t="s">
        <v>58</v>
      </c>
      <c r="BO43" s="47" t="s">
        <v>59</v>
      </c>
      <c r="BP43" s="48">
        <v>2025.0</v>
      </c>
      <c r="BQ43" s="49"/>
      <c r="BR43" s="3"/>
      <c r="BS43" s="3"/>
      <c r="BT43" s="3"/>
      <c r="BU43" s="3"/>
      <c r="BV43" s="3"/>
      <c r="BW43" s="3"/>
    </row>
    <row r="44" ht="15.75" customHeight="1">
      <c r="A44" s="1"/>
      <c r="B44" s="105"/>
      <c r="C44" s="106"/>
      <c r="D44" s="107"/>
      <c r="E44" s="144"/>
      <c r="F44" s="109"/>
      <c r="G44" s="110"/>
      <c r="H44" s="111"/>
      <c r="I44" s="112"/>
      <c r="J44" s="263" t="s">
        <v>112</v>
      </c>
      <c r="K44" s="264"/>
      <c r="L44" s="265"/>
      <c r="M44" s="307"/>
      <c r="N44" s="267"/>
      <c r="O44" s="268"/>
      <c r="P44" s="265"/>
      <c r="Q44" s="307"/>
      <c r="R44" s="267"/>
      <c r="S44" s="270"/>
      <c r="T44" s="271"/>
      <c r="U44" s="272"/>
      <c r="V44" s="267"/>
      <c r="W44" s="268"/>
      <c r="X44" s="271"/>
      <c r="Y44" s="272"/>
      <c r="Z44" s="267"/>
      <c r="AA44" s="268"/>
      <c r="AB44" s="271"/>
      <c r="AC44" s="272"/>
      <c r="AD44" s="267"/>
      <c r="AE44" s="268"/>
      <c r="AF44" s="271"/>
      <c r="AG44" s="273">
        <f t="shared" ref="AG44:AK44" si="232">$AF$45/5</f>
        <v>0.016</v>
      </c>
      <c r="AH44" s="273">
        <f t="shared" si="232"/>
        <v>0.016</v>
      </c>
      <c r="AI44" s="273">
        <f t="shared" si="232"/>
        <v>0.016</v>
      </c>
      <c r="AJ44" s="273">
        <f t="shared" si="232"/>
        <v>0.016</v>
      </c>
      <c r="AK44" s="273">
        <f t="shared" si="232"/>
        <v>0.016</v>
      </c>
      <c r="AL44" s="273"/>
      <c r="AM44" s="267"/>
      <c r="AN44" s="268"/>
      <c r="AO44" s="271"/>
      <c r="AP44" s="272"/>
      <c r="AQ44" s="267"/>
      <c r="AR44" s="268"/>
      <c r="AS44" s="308"/>
      <c r="AT44" s="272"/>
      <c r="AU44" s="267"/>
      <c r="AV44" s="268"/>
      <c r="AW44" s="271"/>
      <c r="AX44" s="272"/>
      <c r="AY44" s="267"/>
      <c r="AZ44" s="268"/>
      <c r="BA44" s="271"/>
      <c r="BB44" s="272"/>
      <c r="BC44" s="267"/>
      <c r="BD44" s="268"/>
      <c r="BE44" s="271"/>
      <c r="BF44" s="272"/>
      <c r="BG44" s="267"/>
      <c r="BH44" s="268"/>
      <c r="BI44" s="271"/>
      <c r="BJ44" s="272"/>
      <c r="BK44" s="267"/>
      <c r="BL44" s="268"/>
      <c r="BM44" s="314"/>
      <c r="BN44" s="276"/>
      <c r="BO44" s="277"/>
      <c r="BP44" s="278"/>
      <c r="BQ44" s="64"/>
      <c r="BR44" s="3"/>
      <c r="BS44" s="3"/>
      <c r="BT44" s="3"/>
      <c r="BU44" s="3"/>
      <c r="BV44" s="3"/>
      <c r="BW44" s="3"/>
    </row>
    <row r="45" ht="15.75" customHeight="1">
      <c r="A45" s="1"/>
      <c r="B45" s="105">
        <v>7.0</v>
      </c>
      <c r="C45" s="106" t="s">
        <v>77</v>
      </c>
      <c r="D45" s="107"/>
      <c r="E45" s="144"/>
      <c r="F45" s="109"/>
      <c r="G45" s="110"/>
      <c r="H45" s="111"/>
      <c r="I45" s="112"/>
      <c r="J45" s="315" t="s">
        <v>61</v>
      </c>
      <c r="K45" s="51"/>
      <c r="L45" s="52" t="s">
        <v>60</v>
      </c>
      <c r="M45" s="154" t="s">
        <v>60</v>
      </c>
      <c r="N45" s="54" t="s">
        <v>60</v>
      </c>
      <c r="O45" s="55" t="s">
        <v>62</v>
      </c>
      <c r="P45" s="52" t="s">
        <v>60</v>
      </c>
      <c r="Q45" s="154" t="s">
        <v>60</v>
      </c>
      <c r="R45" s="54" t="s">
        <v>60</v>
      </c>
      <c r="S45" s="57" t="s">
        <v>62</v>
      </c>
      <c r="T45" s="58">
        <v>0.04</v>
      </c>
      <c r="U45" s="59">
        <f>U46/(BM46-(L46 + P46))</f>
        <v>0.05181774334</v>
      </c>
      <c r="V45" s="54" t="s">
        <v>60</v>
      </c>
      <c r="W45" s="55" t="s">
        <v>62</v>
      </c>
      <c r="X45" s="58">
        <v>0.05</v>
      </c>
      <c r="Y45" s="59">
        <f>Y46/(BM46-(L46+P46))</f>
        <v>0.03728023143</v>
      </c>
      <c r="Z45" s="54" t="s">
        <v>60</v>
      </c>
      <c r="AA45" s="55" t="s">
        <v>62</v>
      </c>
      <c r="AB45" s="58">
        <v>0.05</v>
      </c>
      <c r="AC45" s="59">
        <f>AC46/(BM46-(L46+P46))</f>
        <v>0.05252107165</v>
      </c>
      <c r="AD45" s="54" t="s">
        <v>60</v>
      </c>
      <c r="AE45" s="55" t="s">
        <v>62</v>
      </c>
      <c r="AF45" s="58">
        <v>0.08</v>
      </c>
      <c r="AG45" s="61">
        <f t="shared" ref="AG45:AK45" si="233">AG46/($BM$46-($L$46+$P$46))</f>
        <v>0.01186046675</v>
      </c>
      <c r="AH45" s="61">
        <f t="shared" si="233"/>
        <v>0.01049521492</v>
      </c>
      <c r="AI45" s="61">
        <f t="shared" si="233"/>
        <v>0.01513056078</v>
      </c>
      <c r="AJ45" s="61">
        <f t="shared" si="233"/>
        <v>0</v>
      </c>
      <c r="AK45" s="61">
        <f t="shared" si="233"/>
        <v>0</v>
      </c>
      <c r="AL45" s="279">
        <f t="shared" ref="AL45:AL47" si="235">SUM(AG45:AK45)</f>
        <v>0.03748624245</v>
      </c>
      <c r="AM45" s="280">
        <f>AL45-AF45</f>
        <v>-0.04251375755</v>
      </c>
      <c r="AN45" s="55" t="s">
        <v>62</v>
      </c>
      <c r="AO45" s="58">
        <v>0.08</v>
      </c>
      <c r="AP45" s="59">
        <f>AP46/(BM46-(L46+P46))</f>
        <v>0</v>
      </c>
      <c r="AQ45" s="54" t="s">
        <v>60</v>
      </c>
      <c r="AR45" s="55" t="s">
        <v>62</v>
      </c>
      <c r="AS45" s="155">
        <v>0.08</v>
      </c>
      <c r="AT45" s="59">
        <f>AT46/(BM46-(L46+P46))</f>
        <v>0</v>
      </c>
      <c r="AU45" s="54" t="s">
        <v>60</v>
      </c>
      <c r="AV45" s="55" t="s">
        <v>62</v>
      </c>
      <c r="AW45" s="58">
        <v>0.13</v>
      </c>
      <c r="AX45" s="59">
        <f>AX46/(BM46-(L46+P46))</f>
        <v>0</v>
      </c>
      <c r="AY45" s="54" t="s">
        <v>60</v>
      </c>
      <c r="AZ45" s="55" t="s">
        <v>62</v>
      </c>
      <c r="BA45" s="58">
        <v>0.13</v>
      </c>
      <c r="BB45" s="59">
        <f>BB46/(BM46-(L46+P46))</f>
        <v>0</v>
      </c>
      <c r="BC45" s="54" t="s">
        <v>60</v>
      </c>
      <c r="BD45" s="55" t="s">
        <v>62</v>
      </c>
      <c r="BE45" s="58">
        <v>0.23</v>
      </c>
      <c r="BF45" s="59">
        <f>BF46/(BM46-(L46+P46))</f>
        <v>0</v>
      </c>
      <c r="BG45" s="54" t="s">
        <v>60</v>
      </c>
      <c r="BH45" s="55" t="s">
        <v>62</v>
      </c>
      <c r="BI45" s="58">
        <v>0.13</v>
      </c>
      <c r="BJ45" s="59">
        <f>BJ46/(BM46-(L46+P46))</f>
        <v>0</v>
      </c>
      <c r="BK45" s="54" t="s">
        <v>60</v>
      </c>
      <c r="BL45" s="55" t="s">
        <v>62</v>
      </c>
      <c r="BM45" s="165">
        <f t="shared" ref="BM45:BN45" si="234">SUM(T45,X45,AB45,AF45,AO45,AS45,AW45,BA45,BE45,BI45)</f>
        <v>1</v>
      </c>
      <c r="BN45" s="61">
        <f t="shared" si="234"/>
        <v>0.1534795132</v>
      </c>
      <c r="BO45" s="62"/>
      <c r="BP45" s="63" t="s">
        <v>60</v>
      </c>
      <c r="BQ45" s="64"/>
      <c r="BR45" s="3"/>
      <c r="BS45" s="3"/>
      <c r="BT45" s="3"/>
      <c r="BU45" s="3"/>
      <c r="BV45" s="3"/>
      <c r="BW45" s="3"/>
    </row>
    <row r="46" ht="15.75" customHeight="1">
      <c r="A46" s="1"/>
      <c r="B46" s="105"/>
      <c r="C46" s="106"/>
      <c r="D46" s="107"/>
      <c r="E46" s="144"/>
      <c r="F46" s="109"/>
      <c r="G46" s="110"/>
      <c r="H46" s="111"/>
      <c r="I46" s="112"/>
      <c r="J46" s="50" t="s">
        <v>63</v>
      </c>
      <c r="K46" s="51"/>
      <c r="L46" s="127">
        <v>60057.0</v>
      </c>
      <c r="M46" s="66">
        <v>45206.81</v>
      </c>
      <c r="N46" s="67">
        <f t="shared" ref="N46:N49" si="236">IFERROR(M46-L46,"-")</f>
        <v>-14850.19</v>
      </c>
      <c r="O46" s="68">
        <f t="shared" ref="O46:O49" si="237">IFERROR(M46/L46-1,"-")</f>
        <v>-0.2472682618</v>
      </c>
      <c r="P46" s="127">
        <v>44180.0</v>
      </c>
      <c r="Q46" s="66">
        <v>42436.91</v>
      </c>
      <c r="R46" s="67">
        <f t="shared" ref="R46:R49" si="238">IFERROR(Q46-P46,"-")</f>
        <v>-1743.09</v>
      </c>
      <c r="S46" s="70">
        <f t="shared" ref="S46:S49" si="239">IFERROR(Q46/P46-1,"-")</f>
        <v>-0.03945427795</v>
      </c>
      <c r="T46" s="71">
        <f>($BM$46-($L$46+$P$46))*T45</f>
        <v>46989.71903</v>
      </c>
      <c r="U46" s="66">
        <v>60872.53</v>
      </c>
      <c r="V46" s="67">
        <f t="shared" ref="V46:V49" si="240">IFERROR(U46-T46,"-")</f>
        <v>13882.81097</v>
      </c>
      <c r="W46" s="68">
        <f t="shared" ref="W46:W49" si="241">IFERROR(U46/T46-1,"-")</f>
        <v>0.2954435834</v>
      </c>
      <c r="X46" s="71">
        <f>($BM$46-($L$46+$P$46))*X45</f>
        <v>58737.14879</v>
      </c>
      <c r="Y46" s="66">
        <v>43794.69</v>
      </c>
      <c r="Z46" s="67">
        <f t="shared" ref="Z46:Z49" si="242">IFERROR(Y46-X46,"-")</f>
        <v>-14942.45879</v>
      </c>
      <c r="AA46" s="68">
        <f t="shared" ref="AA46:AA49" si="243">IFERROR(Y46/X46-1,"-")</f>
        <v>-0.2543953715</v>
      </c>
      <c r="AB46" s="71">
        <f>($BM$46-($L$46+$P$46))*AB45</f>
        <v>58737.14879</v>
      </c>
      <c r="AC46" s="66">
        <v>61698.76</v>
      </c>
      <c r="AD46" s="67">
        <f t="shared" ref="AD46:AD49" si="244">IFERROR(AC46-AB46,"-")</f>
        <v>2961.611215</v>
      </c>
      <c r="AE46" s="68">
        <f t="shared" ref="AE46:AE49" si="245">IFERROR(AC46/AB46-1,"-")</f>
        <v>0.05042143304</v>
      </c>
      <c r="AF46" s="71">
        <f>($BM$46-($L$46+$P$46))*AF45</f>
        <v>93979.43806</v>
      </c>
      <c r="AG46" s="73">
        <v>13933.0</v>
      </c>
      <c r="AH46" s="73">
        <v>12329.18</v>
      </c>
      <c r="AI46" s="73">
        <v>17774.52</v>
      </c>
      <c r="AJ46" s="73"/>
      <c r="AK46" s="73"/>
      <c r="AL46" s="283">
        <f t="shared" si="235"/>
        <v>44036.7</v>
      </c>
      <c r="AM46" s="67">
        <f t="shared" ref="AM46:AM49" si="246">IFERROR(AL46-AF46,"-")</f>
        <v>-49942.73806</v>
      </c>
      <c r="AN46" s="68">
        <f t="shared" ref="AN46:AN49" si="247">IFERROR(AL46/AF46-1,"-")</f>
        <v>-0.5314219694</v>
      </c>
      <c r="AO46" s="71">
        <f>($BM$46-($L$46+$P$46))*AO45</f>
        <v>93979.43806</v>
      </c>
      <c r="AP46" s="66">
        <v>0.0</v>
      </c>
      <c r="AQ46" s="67">
        <f t="shared" ref="AQ46:AQ49" si="248">IFERROR(AP46-AO46,"-")</f>
        <v>-93979.43806</v>
      </c>
      <c r="AR46" s="68">
        <f t="shared" ref="AR46:AR49" si="249">IFERROR(AP46/AO46-1,"-")</f>
        <v>-1</v>
      </c>
      <c r="AS46" s="66">
        <f>($BM$46-($L$46+$P$46))*AS45</f>
        <v>93979.43806</v>
      </c>
      <c r="AT46" s="66">
        <v>0.0</v>
      </c>
      <c r="AU46" s="67">
        <f t="shared" ref="AU46:AU49" si="250">IFERROR(AT46-AS46,"-")</f>
        <v>-93979.43806</v>
      </c>
      <c r="AV46" s="68">
        <f t="shared" ref="AV46:AV49" si="251">IFERROR(AT46/AS46-1,"-")</f>
        <v>-1</v>
      </c>
      <c r="AW46" s="71">
        <f>($BM$46-($L$46+$P$46))*AW45</f>
        <v>152716.5868</v>
      </c>
      <c r="AX46" s="66">
        <v>0.0</v>
      </c>
      <c r="AY46" s="67">
        <f t="shared" ref="AY46:AY49" si="252">IFERROR(AX46-AW46,"-")</f>
        <v>-152716.5868</v>
      </c>
      <c r="AZ46" s="68">
        <f t="shared" ref="AZ46:AZ49" si="253">IFERROR(AX46/AW46-1,"-")</f>
        <v>-1</v>
      </c>
      <c r="BA46" s="71">
        <f>($BM$46-($L$46+$P$46))*BA45</f>
        <v>152716.5868</v>
      </c>
      <c r="BB46" s="66">
        <v>0.0</v>
      </c>
      <c r="BC46" s="67">
        <f t="shared" ref="BC46:BC49" si="254">IFERROR(BB46-BA46,"-")</f>
        <v>-152716.5868</v>
      </c>
      <c r="BD46" s="68">
        <f t="shared" ref="BD46:BD49" si="255">IFERROR(BB46/BA46-1,"-")</f>
        <v>-1</v>
      </c>
      <c r="BE46" s="71">
        <f>($BM$46-($L$46+$P$46))*BE45</f>
        <v>270190.8844</v>
      </c>
      <c r="BF46" s="66">
        <v>0.0</v>
      </c>
      <c r="BG46" s="67">
        <f t="shared" ref="BG46:BG49" si="256">IFERROR(BF46-BE46,"-")</f>
        <v>-270190.8844</v>
      </c>
      <c r="BH46" s="68">
        <f t="shared" ref="BH46:BH49" si="257">IFERROR(BF46/BE46-1,"-")</f>
        <v>-1</v>
      </c>
      <c r="BI46" s="71">
        <f>($BM$46-($L$46+$P$46))*BI45</f>
        <v>152716.5868</v>
      </c>
      <c r="BJ46" s="66">
        <v>0.0</v>
      </c>
      <c r="BK46" s="67">
        <f t="shared" ref="BK46:BK49" si="258">IFERROR(BJ46-BI46,"-")</f>
        <v>-152716.5868</v>
      </c>
      <c r="BL46" s="68">
        <f t="shared" ref="BL46:BL49" si="259">IFERROR(BJ46/BI46-1,"-")</f>
        <v>-1</v>
      </c>
      <c r="BM46" s="166">
        <v>1278979.9757081596</v>
      </c>
      <c r="BN46" s="75">
        <f>SUM(M46,Q46,U46,Y46,AC46,AG46,AP46,AT46,AX46,BB46,BF46,BJ46)</f>
        <v>267942.7</v>
      </c>
      <c r="BO46" s="76">
        <f t="shared" ref="BO46:BO49" si="261">IFERROR(BN46/BM46-1,"-")</f>
        <v>-0.7905028186</v>
      </c>
      <c r="BP46" s="77">
        <v>368854.14</v>
      </c>
      <c r="BQ46" s="78">
        <f t="shared" ref="BQ46:BQ47" si="262">BM46/BP46</f>
        <v>3.467441021</v>
      </c>
      <c r="BR46" s="3"/>
      <c r="BS46" s="3"/>
      <c r="BT46" s="3"/>
      <c r="BU46" s="3"/>
      <c r="BV46" s="3"/>
      <c r="BW46" s="3"/>
    </row>
    <row r="47" ht="15.75" customHeight="1">
      <c r="A47" s="1"/>
      <c r="B47" s="105"/>
      <c r="C47" s="106"/>
      <c r="D47" s="107"/>
      <c r="E47" s="144"/>
      <c r="F47" s="109"/>
      <c r="G47" s="110"/>
      <c r="H47" s="111"/>
      <c r="I47" s="112"/>
      <c r="J47" s="50" t="s">
        <v>64</v>
      </c>
      <c r="K47" s="79"/>
      <c r="L47" s="129">
        <f>L46/$K$48</f>
        <v>834.125</v>
      </c>
      <c r="M47" s="81">
        <v>647.0</v>
      </c>
      <c r="N47" s="82">
        <f t="shared" si="236"/>
        <v>-187.125</v>
      </c>
      <c r="O47" s="68">
        <f t="shared" si="237"/>
        <v>-0.22433688</v>
      </c>
      <c r="P47" s="129">
        <f>P46/$K$48</f>
        <v>613.6111111</v>
      </c>
      <c r="Q47" s="81">
        <v>585.0</v>
      </c>
      <c r="R47" s="82">
        <f t="shared" si="238"/>
        <v>-28.61111111</v>
      </c>
      <c r="S47" s="70">
        <f t="shared" si="239"/>
        <v>-0.04662743323</v>
      </c>
      <c r="T47" s="84">
        <f>T46/$K$48</f>
        <v>652.6349865</v>
      </c>
      <c r="U47" s="81">
        <v>1063.0</v>
      </c>
      <c r="V47" s="82">
        <f t="shared" si="240"/>
        <v>410.3650135</v>
      </c>
      <c r="W47" s="68">
        <f t="shared" si="241"/>
        <v>0.6287818183</v>
      </c>
      <c r="X47" s="84">
        <f>X46/$K$48</f>
        <v>815.7937331</v>
      </c>
      <c r="Y47" s="81">
        <v>793.0</v>
      </c>
      <c r="Z47" s="82">
        <f t="shared" si="242"/>
        <v>-22.79373313</v>
      </c>
      <c r="AA47" s="68">
        <f t="shared" si="243"/>
        <v>-0.02794055924</v>
      </c>
      <c r="AB47" s="84">
        <f>AB46/$K$48</f>
        <v>815.7937331</v>
      </c>
      <c r="AC47" s="81">
        <v>852.0</v>
      </c>
      <c r="AD47" s="82">
        <f t="shared" si="244"/>
        <v>36.20626687</v>
      </c>
      <c r="AE47" s="68">
        <f t="shared" si="245"/>
        <v>0.04438164379</v>
      </c>
      <c r="AF47" s="84">
        <f>AF46/$K$48</f>
        <v>1305.269973</v>
      </c>
      <c r="AG47" s="85">
        <v>193.0</v>
      </c>
      <c r="AH47" s="85">
        <v>195.0</v>
      </c>
      <c r="AI47" s="85">
        <v>230.0</v>
      </c>
      <c r="AJ47" s="85"/>
      <c r="AK47" s="85"/>
      <c r="AL47" s="286">
        <f t="shared" si="235"/>
        <v>618</v>
      </c>
      <c r="AM47" s="82">
        <f t="shared" si="246"/>
        <v>-687.269973</v>
      </c>
      <c r="AN47" s="68">
        <f t="shared" si="247"/>
        <v>-0.5265347301</v>
      </c>
      <c r="AO47" s="84">
        <f>AO46/$K$48</f>
        <v>1305.269973</v>
      </c>
      <c r="AP47" s="81">
        <v>0.0</v>
      </c>
      <c r="AQ47" s="82">
        <f t="shared" si="248"/>
        <v>-1305.269973</v>
      </c>
      <c r="AR47" s="68">
        <f t="shared" si="249"/>
        <v>-1</v>
      </c>
      <c r="AS47" s="81">
        <f>AS46/$K$48</f>
        <v>1305.269973</v>
      </c>
      <c r="AT47" s="81">
        <v>0.0</v>
      </c>
      <c r="AU47" s="82">
        <f t="shared" si="250"/>
        <v>-1305.269973</v>
      </c>
      <c r="AV47" s="68">
        <f t="shared" si="251"/>
        <v>-1</v>
      </c>
      <c r="AW47" s="84">
        <f>AW46/$K$48</f>
        <v>2121.063706</v>
      </c>
      <c r="AX47" s="81">
        <v>0.0</v>
      </c>
      <c r="AY47" s="82">
        <f t="shared" si="252"/>
        <v>-2121.063706</v>
      </c>
      <c r="AZ47" s="68">
        <f t="shared" si="253"/>
        <v>-1</v>
      </c>
      <c r="BA47" s="84">
        <f>BA46/$K$48</f>
        <v>2121.063706</v>
      </c>
      <c r="BB47" s="81">
        <v>0.0</v>
      </c>
      <c r="BC47" s="82">
        <f t="shared" si="254"/>
        <v>-2121.063706</v>
      </c>
      <c r="BD47" s="68">
        <f t="shared" si="255"/>
        <v>-1</v>
      </c>
      <c r="BE47" s="84">
        <f>BE46/$K$48</f>
        <v>3752.651172</v>
      </c>
      <c r="BF47" s="81">
        <v>0.0</v>
      </c>
      <c r="BG47" s="82">
        <f t="shared" si="256"/>
        <v>-3752.651172</v>
      </c>
      <c r="BH47" s="68">
        <f t="shared" si="257"/>
        <v>-1</v>
      </c>
      <c r="BI47" s="84">
        <f>BI46/$K$48</f>
        <v>2121.063706</v>
      </c>
      <c r="BJ47" s="81">
        <v>0.0</v>
      </c>
      <c r="BK47" s="82">
        <f t="shared" si="258"/>
        <v>-2121.063706</v>
      </c>
      <c r="BL47" s="68">
        <f t="shared" si="259"/>
        <v>-1</v>
      </c>
      <c r="BM47" s="167">
        <f t="shared" ref="BM47:BN47" si="260">SUM(L47,P47,T47,X47,AB47,AF47,AO47,AS47,AW47,BA47,BE47,BI47)</f>
        <v>17763.61077</v>
      </c>
      <c r="BN47" s="87">
        <f t="shared" si="260"/>
        <v>4133</v>
      </c>
      <c r="BO47" s="76">
        <f t="shared" si="261"/>
        <v>-0.7673333393</v>
      </c>
      <c r="BP47" s="88">
        <v>5074.0</v>
      </c>
      <c r="BQ47" s="78">
        <f t="shared" si="262"/>
        <v>3.500908706</v>
      </c>
      <c r="BR47" s="3"/>
      <c r="BS47" s="3"/>
      <c r="BT47" s="3"/>
      <c r="BU47" s="3"/>
      <c r="BV47" s="3"/>
      <c r="BW47" s="3"/>
    </row>
    <row r="48" ht="15.75" customHeight="1">
      <c r="A48" s="1"/>
      <c r="B48" s="105"/>
      <c r="C48" s="106"/>
      <c r="D48" s="107"/>
      <c r="E48" s="144"/>
      <c r="F48" s="109"/>
      <c r="G48" s="110"/>
      <c r="H48" s="111"/>
      <c r="I48" s="112"/>
      <c r="J48" s="50" t="s">
        <v>65</v>
      </c>
      <c r="K48" s="79">
        <v>72.0</v>
      </c>
      <c r="L48" s="129">
        <f>L46/L47</f>
        <v>72</v>
      </c>
      <c r="M48" s="66">
        <f>IFERROR(M46/M47,"-")</f>
        <v>69.87142195</v>
      </c>
      <c r="N48" s="67">
        <f t="shared" si="236"/>
        <v>-2.128578053</v>
      </c>
      <c r="O48" s="68">
        <f t="shared" si="237"/>
        <v>-0.02956358406</v>
      </c>
      <c r="P48" s="65">
        <f t="shared" ref="P48:Q48" si="263">IFERROR(P46/P47,"-")</f>
        <v>72</v>
      </c>
      <c r="Q48" s="66">
        <f t="shared" si="263"/>
        <v>72.5417265</v>
      </c>
      <c r="R48" s="67">
        <f t="shared" si="238"/>
        <v>0.5417264957</v>
      </c>
      <c r="S48" s="70">
        <f t="shared" si="239"/>
        <v>0.007523979107</v>
      </c>
      <c r="T48" s="84">
        <f>T46/T47</f>
        <v>72</v>
      </c>
      <c r="U48" s="66">
        <f>IFERROR(U46/U47,"-")</f>
        <v>57.26484478</v>
      </c>
      <c r="V48" s="67">
        <f t="shared" si="240"/>
        <v>-14.73515522</v>
      </c>
      <c r="W48" s="68">
        <f t="shared" si="241"/>
        <v>-0.2046549336</v>
      </c>
      <c r="X48" s="71">
        <f t="shared" ref="X48:Y48" si="264">IFERROR(X46/X47,"-")</f>
        <v>72</v>
      </c>
      <c r="Y48" s="66">
        <f t="shared" si="264"/>
        <v>55.22659521</v>
      </c>
      <c r="Z48" s="67">
        <f t="shared" si="242"/>
        <v>-16.77340479</v>
      </c>
      <c r="AA48" s="68">
        <f t="shared" si="243"/>
        <v>-0.2329639554</v>
      </c>
      <c r="AB48" s="84">
        <f>AB46/AB47</f>
        <v>72</v>
      </c>
      <c r="AC48" s="66">
        <f>IFERROR(AC46/AC47,"-")</f>
        <v>72.41638498</v>
      </c>
      <c r="AD48" s="67">
        <f t="shared" si="244"/>
        <v>0.4163849765</v>
      </c>
      <c r="AE48" s="68">
        <f t="shared" si="245"/>
        <v>0.005783124674</v>
      </c>
      <c r="AF48" s="312">
        <f>AF46/AF47</f>
        <v>72</v>
      </c>
      <c r="AG48" s="296">
        <f t="shared" ref="AG48:AL48" si="265">IFERROR(AG46/AG47,"-")</f>
        <v>72.19170984</v>
      </c>
      <c r="AH48" s="316">
        <f t="shared" si="265"/>
        <v>63.2265641</v>
      </c>
      <c r="AI48" s="316">
        <f t="shared" si="265"/>
        <v>77.28052174</v>
      </c>
      <c r="AJ48" s="316" t="str">
        <f t="shared" si="265"/>
        <v>-</v>
      </c>
      <c r="AK48" s="316" t="str">
        <f t="shared" si="265"/>
        <v>-</v>
      </c>
      <c r="AL48" s="298">
        <f t="shared" si="265"/>
        <v>71.25679612</v>
      </c>
      <c r="AM48" s="67">
        <f t="shared" si="246"/>
        <v>-0.7432038835</v>
      </c>
      <c r="AN48" s="68">
        <f t="shared" si="247"/>
        <v>-0.01032227616</v>
      </c>
      <c r="AO48" s="84">
        <f>AO46/AO47</f>
        <v>72</v>
      </c>
      <c r="AP48" s="66" t="str">
        <f>IFERROR(AP46/AP47,"-")</f>
        <v>-</v>
      </c>
      <c r="AQ48" s="67" t="str">
        <f t="shared" si="248"/>
        <v>-</v>
      </c>
      <c r="AR48" s="68" t="str">
        <f t="shared" si="249"/>
        <v>-</v>
      </c>
      <c r="AS48" s="81">
        <f>AS46/AS47</f>
        <v>72</v>
      </c>
      <c r="AT48" s="66" t="str">
        <f>IFERROR(AT46/AT47,"-")</f>
        <v>-</v>
      </c>
      <c r="AU48" s="67" t="str">
        <f t="shared" si="250"/>
        <v>-</v>
      </c>
      <c r="AV48" s="68" t="str">
        <f t="shared" si="251"/>
        <v>-</v>
      </c>
      <c r="AW48" s="84">
        <f>AW46/AW47</f>
        <v>72</v>
      </c>
      <c r="AX48" s="66" t="str">
        <f>IFERROR(AX46/AX47,"-")</f>
        <v>-</v>
      </c>
      <c r="AY48" s="67" t="str">
        <f t="shared" si="252"/>
        <v>-</v>
      </c>
      <c r="AZ48" s="68" t="str">
        <f t="shared" si="253"/>
        <v>-</v>
      </c>
      <c r="BA48" s="84">
        <f>BA46/BA47</f>
        <v>72</v>
      </c>
      <c r="BB48" s="66" t="str">
        <f>IFERROR(BB46/BB47,"-")</f>
        <v>-</v>
      </c>
      <c r="BC48" s="67" t="str">
        <f t="shared" si="254"/>
        <v>-</v>
      </c>
      <c r="BD48" s="68" t="str">
        <f t="shared" si="255"/>
        <v>-</v>
      </c>
      <c r="BE48" s="84">
        <f>BE46/BE47</f>
        <v>72</v>
      </c>
      <c r="BF48" s="66" t="str">
        <f>IFERROR(BF46/BF47,"-")</f>
        <v>-</v>
      </c>
      <c r="BG48" s="67" t="str">
        <f t="shared" si="256"/>
        <v>-</v>
      </c>
      <c r="BH48" s="68" t="str">
        <f t="shared" si="257"/>
        <v>-</v>
      </c>
      <c r="BI48" s="84">
        <f>BI46/BI47</f>
        <v>72</v>
      </c>
      <c r="BJ48" s="66" t="str">
        <f>IFERROR(BJ46/BJ47,"-")</f>
        <v>-</v>
      </c>
      <c r="BK48" s="67" t="str">
        <f t="shared" si="258"/>
        <v>-</v>
      </c>
      <c r="BL48" s="68" t="str">
        <f t="shared" si="259"/>
        <v>-</v>
      </c>
      <c r="BM48" s="168">
        <f t="shared" ref="BM48:BN48" si="266">BM46/BM47</f>
        <v>72</v>
      </c>
      <c r="BN48" s="90">
        <f t="shared" si="266"/>
        <v>64.83007501</v>
      </c>
      <c r="BO48" s="76">
        <f t="shared" si="261"/>
        <v>-0.09958229158</v>
      </c>
      <c r="BP48" s="88">
        <f>BP46/BP47</f>
        <v>72.69494285</v>
      </c>
      <c r="BQ48" s="78">
        <f>BM48/BP48-1</f>
        <v>-0.009559713767</v>
      </c>
      <c r="BR48" s="3"/>
      <c r="BS48" s="3"/>
      <c r="BT48" s="3"/>
      <c r="BU48" s="3"/>
      <c r="BV48" s="3"/>
      <c r="BW48" s="3"/>
    </row>
    <row r="49" ht="15.75" customHeight="1">
      <c r="A49" s="1"/>
      <c r="B49" s="105"/>
      <c r="C49" s="106"/>
      <c r="D49" s="107"/>
      <c r="E49" s="144"/>
      <c r="F49" s="109"/>
      <c r="G49" s="110"/>
      <c r="H49" s="111"/>
      <c r="I49" s="112"/>
      <c r="J49" s="91" t="s">
        <v>66</v>
      </c>
      <c r="K49" s="92">
        <v>0.04</v>
      </c>
      <c r="L49" s="99">
        <f t="shared" ref="L49:M49" si="267">MIN(L46, 500000) * 0.04 +
 MAX(0, MIN(L46, 1000000) - 500000) * 0.035 +
 MAX(0, L46 - 1000000) * 0.03</f>
        <v>2402.28</v>
      </c>
      <c r="M49" s="94">
        <f t="shared" si="267"/>
        <v>1808.2724</v>
      </c>
      <c r="N49" s="95">
        <f t="shared" si="236"/>
        <v>-594.0076</v>
      </c>
      <c r="O49" s="96">
        <f t="shared" si="237"/>
        <v>-0.2472682618</v>
      </c>
      <c r="P49" s="99">
        <f t="shared" ref="P49:Q49" si="268">MIN(P46, 500000) * 0.04 +
 MAX(0, MIN(P46, 1000000) - 500000) * 0.035 +
 MAX(0, P46 - 1000000) * 0.03</f>
        <v>1767.2</v>
      </c>
      <c r="Q49" s="94">
        <f t="shared" si="268"/>
        <v>1697.4764</v>
      </c>
      <c r="R49" s="95">
        <f t="shared" si="238"/>
        <v>-69.7236</v>
      </c>
      <c r="S49" s="98">
        <f t="shared" si="239"/>
        <v>-0.03945427795</v>
      </c>
      <c r="T49" s="99">
        <f t="shared" ref="T49:U49" si="269">MIN(T46, 500000) * 0.04 +
 MAX(0, MIN(T46, 1000000) - 500000) * 0.035 +
 MAX(0, T46 - 1000000) * 0.03</f>
        <v>1879.588761</v>
      </c>
      <c r="U49" s="94">
        <f t="shared" si="269"/>
        <v>2434.9012</v>
      </c>
      <c r="V49" s="95">
        <f t="shared" si="240"/>
        <v>555.3124389</v>
      </c>
      <c r="W49" s="96">
        <f t="shared" si="241"/>
        <v>0.2954435834</v>
      </c>
      <c r="X49" s="99">
        <f t="shared" ref="X49:Y49" si="270">MIN(X46, 500000) * 0.04 +
 MAX(0, MIN(X46, 1000000) - 500000) * 0.035 +
 MAX(0, X46 - 1000000) * 0.03</f>
        <v>2349.485951</v>
      </c>
      <c r="Y49" s="94">
        <f t="shared" si="270"/>
        <v>1751.7876</v>
      </c>
      <c r="Z49" s="95">
        <f t="shared" si="242"/>
        <v>-597.6983514</v>
      </c>
      <c r="AA49" s="96">
        <f t="shared" si="243"/>
        <v>-0.2543953715</v>
      </c>
      <c r="AB49" s="99">
        <f t="shared" ref="AB49:AC49" si="271">MIN(AB46, 500000) * 0.04 +
 MAX(0, MIN(AB46, 1000000) - 500000) * 0.035 +
 MAX(0, AB46 - 1000000) * 0.03</f>
        <v>2349.485951</v>
      </c>
      <c r="AC49" s="94">
        <f t="shared" si="271"/>
        <v>2467.9504</v>
      </c>
      <c r="AD49" s="95">
        <f t="shared" si="244"/>
        <v>118.4644486</v>
      </c>
      <c r="AE49" s="299">
        <f t="shared" si="245"/>
        <v>0.05042143304</v>
      </c>
      <c r="AF49" s="300">
        <f t="shared" ref="AF49:AL49" si="272">MIN(AF46, 500000) * 0.04 +
 MAX(0, MIN(AF46, 1000000) - 500000) * 0.035 +
 MAX(0, AF46 - 1000000) * 0.03</f>
        <v>3759.177522</v>
      </c>
      <c r="AG49" s="301">
        <f t="shared" si="272"/>
        <v>557.32</v>
      </c>
      <c r="AH49" s="317">
        <f t="shared" si="272"/>
        <v>493.1672</v>
      </c>
      <c r="AI49" s="317">
        <f t="shared" si="272"/>
        <v>710.9808</v>
      </c>
      <c r="AJ49" s="317">
        <f t="shared" si="272"/>
        <v>37500</v>
      </c>
      <c r="AK49" s="317">
        <f t="shared" si="272"/>
        <v>37500</v>
      </c>
      <c r="AL49" s="302">
        <f t="shared" si="272"/>
        <v>1761.468</v>
      </c>
      <c r="AM49" s="311">
        <f t="shared" si="246"/>
        <v>-1997.709522</v>
      </c>
      <c r="AN49" s="96">
        <f t="shared" si="247"/>
        <v>-0.5314219694</v>
      </c>
      <c r="AO49" s="99">
        <f t="shared" ref="AO49:AP49" si="273">MIN(AO46, 500000) * 0.04 +
 MAX(0, MIN(AO46, 1000000) - 500000) * 0.035 +
 MAX(0, AO46 - 1000000) * 0.03</f>
        <v>3759.177522</v>
      </c>
      <c r="AP49" s="94">
        <f t="shared" si="273"/>
        <v>0</v>
      </c>
      <c r="AQ49" s="95">
        <f t="shared" si="248"/>
        <v>-3759.177522</v>
      </c>
      <c r="AR49" s="96">
        <f t="shared" si="249"/>
        <v>-1</v>
      </c>
      <c r="AS49" s="94">
        <f t="shared" ref="AS49:AT49" si="274">MIN(AS46, 500000) * 0.04 +
 MAX(0, MIN(AS46, 1000000) - 500000) * 0.035 +
 MAX(0, AS46 - 1000000) * 0.03</f>
        <v>3759.177522</v>
      </c>
      <c r="AT49" s="94">
        <f t="shared" si="274"/>
        <v>0</v>
      </c>
      <c r="AU49" s="95">
        <f t="shared" si="250"/>
        <v>-3759.177522</v>
      </c>
      <c r="AV49" s="96">
        <f t="shared" si="251"/>
        <v>-1</v>
      </c>
      <c r="AW49" s="99">
        <f t="shared" ref="AW49:AX49" si="275">MIN(AW46, 500000) * 0.04 +
 MAX(0, MIN(AW46, 1000000) - 500000) * 0.035 +
 MAX(0, AW46 - 1000000) * 0.03</f>
        <v>6108.663474</v>
      </c>
      <c r="AX49" s="94">
        <f t="shared" si="275"/>
        <v>0</v>
      </c>
      <c r="AY49" s="95">
        <f t="shared" si="252"/>
        <v>-6108.663474</v>
      </c>
      <c r="AZ49" s="96">
        <f t="shared" si="253"/>
        <v>-1</v>
      </c>
      <c r="BA49" s="99">
        <f t="shared" ref="BA49:BB49" si="276">MIN(BA46, 500000) * 0.04 +
 MAX(0, MIN(BA46, 1000000) - 500000) * 0.035 +
 MAX(0, BA46 - 1000000) * 0.03</f>
        <v>6108.663474</v>
      </c>
      <c r="BB49" s="94">
        <f t="shared" si="276"/>
        <v>0</v>
      </c>
      <c r="BC49" s="95">
        <f t="shared" si="254"/>
        <v>-6108.663474</v>
      </c>
      <c r="BD49" s="96">
        <f t="shared" si="255"/>
        <v>-1</v>
      </c>
      <c r="BE49" s="99">
        <f t="shared" ref="BE49:BF49" si="277">MIN(BE46, 500000) * 0.04 +
 MAX(0, MIN(BE46, 1000000) - 500000) * 0.035 +
 MAX(0, BE46 - 1000000) * 0.03</f>
        <v>10807.63538</v>
      </c>
      <c r="BF49" s="94">
        <f t="shared" si="277"/>
        <v>0</v>
      </c>
      <c r="BG49" s="95">
        <f t="shared" si="256"/>
        <v>-10807.63538</v>
      </c>
      <c r="BH49" s="96">
        <f t="shared" si="257"/>
        <v>-1</v>
      </c>
      <c r="BI49" s="99">
        <f t="shared" ref="BI49:BJ49" si="278">MIN(BI46, 500000) * 0.04 +
 MAX(0, MIN(BI46, 1000000) - 500000) * 0.035 +
 MAX(0, BI46 - 1000000) * 0.03</f>
        <v>6108.663474</v>
      </c>
      <c r="BJ49" s="94">
        <f t="shared" si="278"/>
        <v>0</v>
      </c>
      <c r="BK49" s="95">
        <f t="shared" si="258"/>
        <v>-6108.663474</v>
      </c>
      <c r="BL49" s="96">
        <f t="shared" si="259"/>
        <v>-1</v>
      </c>
      <c r="BM49" s="169">
        <f t="shared" ref="BM49:BN49" si="279">SUM(L49,P49,T49,X49,AB49,AF49,AO49,AS49,AW49,BA49,BE49,BI49)</f>
        <v>51159.19903</v>
      </c>
      <c r="BN49" s="101">
        <f t="shared" si="279"/>
        <v>10717.708</v>
      </c>
      <c r="BO49" s="102">
        <f t="shared" si="261"/>
        <v>-0.7905028186</v>
      </c>
      <c r="BP49" s="103">
        <f>BP46*0.04</f>
        <v>14754.1656</v>
      </c>
      <c r="BQ49" s="104">
        <f>BM49/BP49</f>
        <v>3.467441021</v>
      </c>
      <c r="BR49" s="3"/>
      <c r="BS49" s="3"/>
      <c r="BT49" s="3"/>
      <c r="BU49" s="3"/>
      <c r="BV49" s="3"/>
      <c r="BW49" s="3"/>
    </row>
    <row r="50" ht="15.75" customHeight="1">
      <c r="A50" s="1"/>
      <c r="B50" s="105"/>
      <c r="C50" s="106"/>
      <c r="D50" s="107"/>
      <c r="E50" s="144"/>
      <c r="F50" s="109"/>
      <c r="G50" s="110"/>
      <c r="H50" s="111"/>
      <c r="I50" s="112"/>
      <c r="J50" s="13"/>
      <c r="K50" s="113"/>
      <c r="L50" s="136"/>
      <c r="M50" s="136"/>
      <c r="N50" s="136"/>
      <c r="O50" s="149">
        <f>X54/7000</f>
        <v>5.714285714</v>
      </c>
      <c r="P50" s="149">
        <f>AB54/7000</f>
        <v>5.714285714</v>
      </c>
      <c r="Q50" s="160"/>
      <c r="R50" s="149">
        <f>AO54/7000</f>
        <v>51.42857143</v>
      </c>
      <c r="S50" s="149">
        <f>AS54/7000</f>
        <v>74.28571429</v>
      </c>
      <c r="T50" s="149">
        <f>AW54/7000</f>
        <v>91.42857143</v>
      </c>
      <c r="U50" s="149">
        <f>BA54/7000</f>
        <v>91.42857143</v>
      </c>
      <c r="V50" s="149">
        <f>BE54/7000</f>
        <v>131.4285714</v>
      </c>
      <c r="W50" s="149">
        <f>BI54/7000</f>
        <v>85.71428571</v>
      </c>
      <c r="X50" s="137"/>
      <c r="Y50" s="14"/>
      <c r="Z50" s="170"/>
      <c r="AA50" s="3"/>
      <c r="AB50" s="3"/>
      <c r="AC50" s="3"/>
      <c r="AD50" s="3"/>
      <c r="AE50" s="3"/>
      <c r="AF50" s="3"/>
      <c r="AG50" s="291"/>
      <c r="AH50" s="291"/>
      <c r="AI50" s="291"/>
      <c r="AJ50" s="291"/>
      <c r="AK50" s="291"/>
      <c r="AL50" s="291"/>
      <c r="AV50" s="138"/>
      <c r="AW50" s="25"/>
      <c r="AX50" s="139"/>
      <c r="AY50" s="25"/>
    </row>
    <row r="51" ht="15.75" customHeight="1">
      <c r="A51" s="1"/>
      <c r="B51" s="105"/>
      <c r="C51" s="106"/>
      <c r="D51" s="107"/>
      <c r="E51" s="144"/>
      <c r="F51" s="109"/>
      <c r="G51" s="110"/>
      <c r="H51" s="111"/>
      <c r="I51" s="112"/>
      <c r="J51" s="34" t="s">
        <v>79</v>
      </c>
      <c r="K51" s="35"/>
      <c r="L51" s="36" t="s">
        <v>10</v>
      </c>
      <c r="M51" s="37" t="s">
        <v>11</v>
      </c>
      <c r="N51" s="38" t="s">
        <v>12</v>
      </c>
      <c r="O51" s="39" t="s">
        <v>13</v>
      </c>
      <c r="P51" s="119" t="s">
        <v>14</v>
      </c>
      <c r="Q51" s="152" t="s">
        <v>15</v>
      </c>
      <c r="R51" s="38" t="s">
        <v>16</v>
      </c>
      <c r="S51" s="42" t="s">
        <v>17</v>
      </c>
      <c r="T51" s="36" t="s">
        <v>18</v>
      </c>
      <c r="U51" s="152" t="s">
        <v>19</v>
      </c>
      <c r="V51" s="38" t="s">
        <v>20</v>
      </c>
      <c r="W51" s="45" t="s">
        <v>21</v>
      </c>
      <c r="X51" s="44" t="s">
        <v>22</v>
      </c>
      <c r="Y51" s="152" t="s">
        <v>23</v>
      </c>
      <c r="Z51" s="38" t="s">
        <v>24</v>
      </c>
      <c r="AA51" s="45" t="s">
        <v>25</v>
      </c>
      <c r="AB51" s="43" t="s">
        <v>26</v>
      </c>
      <c r="AC51" s="152" t="s">
        <v>27</v>
      </c>
      <c r="AD51" s="38" t="s">
        <v>28</v>
      </c>
      <c r="AE51" s="45" t="s">
        <v>29</v>
      </c>
      <c r="AF51" s="44" t="s">
        <v>30</v>
      </c>
      <c r="AG51" s="261" t="s">
        <v>107</v>
      </c>
      <c r="AH51" s="262" t="s">
        <v>108</v>
      </c>
      <c r="AI51" s="262" t="s">
        <v>109</v>
      </c>
      <c r="AJ51" s="262" t="s">
        <v>110</v>
      </c>
      <c r="AK51" s="262" t="s">
        <v>111</v>
      </c>
      <c r="AL51" s="262" t="s">
        <v>31</v>
      </c>
      <c r="AM51" s="38" t="s">
        <v>32</v>
      </c>
      <c r="AN51" s="45" t="s">
        <v>33</v>
      </c>
      <c r="AO51" s="43" t="s">
        <v>34</v>
      </c>
      <c r="AP51" s="152" t="s">
        <v>35</v>
      </c>
      <c r="AQ51" s="38" t="s">
        <v>36</v>
      </c>
      <c r="AR51" s="45" t="s">
        <v>37</v>
      </c>
      <c r="AS51" s="153" t="s">
        <v>38</v>
      </c>
      <c r="AT51" s="152" t="s">
        <v>39</v>
      </c>
      <c r="AU51" s="38" t="s">
        <v>40</v>
      </c>
      <c r="AV51" s="45" t="s">
        <v>41</v>
      </c>
      <c r="AW51" s="43" t="s">
        <v>42</v>
      </c>
      <c r="AX51" s="152" t="s">
        <v>43</v>
      </c>
      <c r="AY51" s="38" t="s">
        <v>44</v>
      </c>
      <c r="AZ51" s="45" t="s">
        <v>45</v>
      </c>
      <c r="BA51" s="44" t="s">
        <v>46</v>
      </c>
      <c r="BB51" s="152" t="s">
        <v>47</v>
      </c>
      <c r="BC51" s="38" t="s">
        <v>48</v>
      </c>
      <c r="BD51" s="45" t="s">
        <v>49</v>
      </c>
      <c r="BE51" s="43" t="s">
        <v>50</v>
      </c>
      <c r="BF51" s="152" t="s">
        <v>51</v>
      </c>
      <c r="BG51" s="38" t="s">
        <v>52</v>
      </c>
      <c r="BH51" s="45" t="s">
        <v>53</v>
      </c>
      <c r="BI51" s="153" t="s">
        <v>54</v>
      </c>
      <c r="BJ51" s="152" t="s">
        <v>55</v>
      </c>
      <c r="BK51" s="38" t="s">
        <v>56</v>
      </c>
      <c r="BL51" s="42" t="s">
        <v>57</v>
      </c>
      <c r="BM51" s="46">
        <v>2026.0</v>
      </c>
      <c r="BN51" s="37" t="s">
        <v>58</v>
      </c>
      <c r="BO51" s="47" t="s">
        <v>59</v>
      </c>
      <c r="BP51" s="48">
        <v>2025.0</v>
      </c>
      <c r="BQ51" s="49"/>
      <c r="BR51" s="3"/>
      <c r="BS51" s="3"/>
      <c r="BT51" s="157"/>
      <c r="BU51" s="3"/>
      <c r="BV51" s="3"/>
      <c r="BW51" s="3"/>
    </row>
    <row r="52" ht="15.75" customHeight="1">
      <c r="A52" s="1"/>
      <c r="B52" s="105"/>
      <c r="C52" s="106"/>
      <c r="D52" s="107"/>
      <c r="E52" s="144"/>
      <c r="F52" s="109"/>
      <c r="G52" s="110"/>
      <c r="H52" s="111"/>
      <c r="I52" s="318"/>
      <c r="J52" s="263" t="s">
        <v>112</v>
      </c>
      <c r="K52" s="264"/>
      <c r="L52" s="265"/>
      <c r="M52" s="266"/>
      <c r="N52" s="267"/>
      <c r="O52" s="268"/>
      <c r="P52" s="265"/>
      <c r="Q52" s="307"/>
      <c r="R52" s="267"/>
      <c r="S52" s="270"/>
      <c r="T52" s="265"/>
      <c r="U52" s="307"/>
      <c r="V52" s="267"/>
      <c r="W52" s="268"/>
      <c r="X52" s="271"/>
      <c r="Y52" s="272"/>
      <c r="Z52" s="267"/>
      <c r="AA52" s="268"/>
      <c r="AB52" s="271"/>
      <c r="AC52" s="272"/>
      <c r="AD52" s="267"/>
      <c r="AE52" s="268"/>
      <c r="AF52" s="271"/>
      <c r="AG52" s="273">
        <f t="shared" ref="AG52:AK52" si="280">$AF$53/5</f>
        <v>0.012</v>
      </c>
      <c r="AH52" s="273">
        <f t="shared" si="280"/>
        <v>0.012</v>
      </c>
      <c r="AI52" s="273">
        <f t="shared" si="280"/>
        <v>0.012</v>
      </c>
      <c r="AJ52" s="273">
        <f t="shared" si="280"/>
        <v>0.012</v>
      </c>
      <c r="AK52" s="273">
        <f t="shared" si="280"/>
        <v>0.012</v>
      </c>
      <c r="AL52" s="273"/>
      <c r="AM52" s="267"/>
      <c r="AN52" s="268"/>
      <c r="AO52" s="271"/>
      <c r="AP52" s="272"/>
      <c r="AQ52" s="267"/>
      <c r="AR52" s="268"/>
      <c r="AS52" s="308"/>
      <c r="AT52" s="272"/>
      <c r="AU52" s="267"/>
      <c r="AV52" s="268"/>
      <c r="AW52" s="271"/>
      <c r="AX52" s="272"/>
      <c r="AY52" s="267"/>
      <c r="AZ52" s="268"/>
      <c r="BA52" s="271"/>
      <c r="BB52" s="272"/>
      <c r="BC52" s="267"/>
      <c r="BD52" s="268"/>
      <c r="BE52" s="271"/>
      <c r="BF52" s="272"/>
      <c r="BG52" s="267"/>
      <c r="BH52" s="268"/>
      <c r="BI52" s="308"/>
      <c r="BJ52" s="272"/>
      <c r="BK52" s="267"/>
      <c r="BL52" s="270"/>
      <c r="BM52" s="275"/>
      <c r="BN52" s="276"/>
      <c r="BO52" s="277"/>
      <c r="BP52" s="278"/>
      <c r="BQ52" s="64"/>
      <c r="BR52" s="3"/>
      <c r="BS52" s="4"/>
      <c r="BT52" s="3"/>
      <c r="BU52" s="3"/>
      <c r="BV52" s="3"/>
      <c r="BW52" s="3"/>
    </row>
    <row r="53" ht="15.75" customHeight="1">
      <c r="A53" s="1"/>
      <c r="B53" s="105">
        <v>8.0</v>
      </c>
      <c r="C53" s="106" t="s">
        <v>80</v>
      </c>
      <c r="D53" s="107">
        <v>3000000.0</v>
      </c>
      <c r="E53" s="144">
        <v>80.0</v>
      </c>
      <c r="F53" s="109">
        <f>E53*D53</f>
        <v>240000000</v>
      </c>
      <c r="G53" s="110">
        <v>294165.12000000407</v>
      </c>
      <c r="H53" s="111">
        <v>3683.0</v>
      </c>
      <c r="I53" s="140">
        <v>79.87106163453817</v>
      </c>
      <c r="J53" s="50" t="s">
        <v>61</v>
      </c>
      <c r="K53" s="51"/>
      <c r="L53" s="52" t="s">
        <v>60</v>
      </c>
      <c r="M53" s="53" t="s">
        <v>60</v>
      </c>
      <c r="N53" s="54" t="s">
        <v>60</v>
      </c>
      <c r="O53" s="55" t="s">
        <v>62</v>
      </c>
      <c r="P53" s="52" t="s">
        <v>60</v>
      </c>
      <c r="Q53" s="154" t="s">
        <v>60</v>
      </c>
      <c r="R53" s="54" t="s">
        <v>60</v>
      </c>
      <c r="S53" s="57" t="s">
        <v>62</v>
      </c>
      <c r="T53" s="52"/>
      <c r="U53" s="154"/>
      <c r="V53" s="54" t="s">
        <v>60</v>
      </c>
      <c r="W53" s="55" t="s">
        <v>62</v>
      </c>
      <c r="X53" s="58">
        <v>0.01</v>
      </c>
      <c r="Y53" s="59">
        <f>Y54/(BM54-(L54+P54+T54))</f>
        <v>0.0000927775</v>
      </c>
      <c r="Z53" s="54" t="s">
        <v>60</v>
      </c>
      <c r="AA53" s="55" t="s">
        <v>62</v>
      </c>
      <c r="AB53" s="58">
        <v>0.01</v>
      </c>
      <c r="AC53" s="59">
        <f>AC54/(BM54-(L54+P54+T54))</f>
        <v>0.0003291625</v>
      </c>
      <c r="AD53" s="54" t="s">
        <v>60</v>
      </c>
      <c r="AE53" s="55" t="s">
        <v>62</v>
      </c>
      <c r="AF53" s="58">
        <v>0.06</v>
      </c>
      <c r="AG53" s="61">
        <f t="shared" ref="AG53:AK53" si="281">AG54/($BM$54-($L$54+$P$54+$T$54))</f>
        <v>0.0000528375</v>
      </c>
      <c r="AH53" s="61">
        <f t="shared" si="281"/>
        <v>0.000030385</v>
      </c>
      <c r="AI53" s="61">
        <f t="shared" si="281"/>
        <v>0.0000288725</v>
      </c>
      <c r="AJ53" s="61">
        <f t="shared" si="281"/>
        <v>0</v>
      </c>
      <c r="AK53" s="61">
        <f t="shared" si="281"/>
        <v>0</v>
      </c>
      <c r="AL53" s="279">
        <f t="shared" ref="AL53:AL55" si="283">SUM(AG53:AK53)</f>
        <v>0.000112095</v>
      </c>
      <c r="AM53" s="280">
        <f>AL53-AF53</f>
        <v>-0.059887905</v>
      </c>
      <c r="AN53" s="55" t="s">
        <v>62</v>
      </c>
      <c r="AO53" s="58">
        <v>0.09</v>
      </c>
      <c r="AP53" s="59">
        <f>AP54/(BM54-(L54+P54+T54))</f>
        <v>0</v>
      </c>
      <c r="AQ53" s="54" t="s">
        <v>60</v>
      </c>
      <c r="AR53" s="55" t="s">
        <v>62</v>
      </c>
      <c r="AS53" s="155">
        <v>0.13</v>
      </c>
      <c r="AT53" s="59">
        <f>AT54/(BM54-(L54+P54+T54))</f>
        <v>0</v>
      </c>
      <c r="AU53" s="54" t="s">
        <v>60</v>
      </c>
      <c r="AV53" s="55" t="s">
        <v>62</v>
      </c>
      <c r="AW53" s="58">
        <v>0.16</v>
      </c>
      <c r="AX53" s="59">
        <f>AX54/(BM54-(L54+P54+T54))</f>
        <v>0</v>
      </c>
      <c r="AY53" s="54" t="s">
        <v>60</v>
      </c>
      <c r="AZ53" s="55" t="s">
        <v>62</v>
      </c>
      <c r="BA53" s="58">
        <v>0.16</v>
      </c>
      <c r="BB53" s="59">
        <f>BB54/(BM54-(L54+P54+T54))</f>
        <v>0</v>
      </c>
      <c r="BC53" s="54" t="s">
        <v>60</v>
      </c>
      <c r="BD53" s="55" t="s">
        <v>62</v>
      </c>
      <c r="BE53" s="58">
        <v>0.23</v>
      </c>
      <c r="BF53" s="59">
        <f>BF54/(BM54-(L54+P54+T54))</f>
        <v>0</v>
      </c>
      <c r="BG53" s="54" t="s">
        <v>60</v>
      </c>
      <c r="BH53" s="55" t="s">
        <v>62</v>
      </c>
      <c r="BI53" s="155">
        <v>0.15</v>
      </c>
      <c r="BJ53" s="59">
        <f>BJ54/(BM54-(L54+P54+T54))</f>
        <v>0</v>
      </c>
      <c r="BK53" s="54" t="s">
        <v>60</v>
      </c>
      <c r="BL53" s="57" t="s">
        <v>62</v>
      </c>
      <c r="BM53" s="60">
        <f t="shared" ref="BM53:BN53" si="282">SUM(X53,AB53,AF53,AO53,AS53,AW53,BA53,BE53,BI53)</f>
        <v>1</v>
      </c>
      <c r="BN53" s="61">
        <f t="shared" si="282"/>
        <v>0.0004747775</v>
      </c>
      <c r="BO53" s="62"/>
      <c r="BP53" s="63" t="s">
        <v>60</v>
      </c>
      <c r="BQ53" s="64"/>
      <c r="BR53" s="3"/>
      <c r="BS53" s="4"/>
      <c r="BT53" s="3"/>
      <c r="BU53" s="3"/>
      <c r="BV53" s="3"/>
      <c r="BW53" s="3"/>
    </row>
    <row r="54" ht="15.75" customHeight="1">
      <c r="A54" s="1"/>
      <c r="B54" s="105"/>
      <c r="C54" s="106"/>
      <c r="D54" s="107"/>
      <c r="E54" s="144"/>
      <c r="F54" s="109"/>
      <c r="G54" s="110"/>
      <c r="H54" s="111"/>
      <c r="I54" s="140"/>
      <c r="J54" s="50" t="s">
        <v>63</v>
      </c>
      <c r="K54" s="51"/>
      <c r="L54" s="127">
        <v>0.0</v>
      </c>
      <c r="M54" s="66">
        <v>0.0</v>
      </c>
      <c r="N54" s="67">
        <f t="shared" ref="N54:N57" si="284">IFERROR(M54-L54,"-")</f>
        <v>0</v>
      </c>
      <c r="O54" s="68" t="str">
        <f t="shared" ref="O54:O57" si="285">IFERROR(M54/L54-1,"-")</f>
        <v>-</v>
      </c>
      <c r="P54" s="127">
        <v>0.0</v>
      </c>
      <c r="Q54" s="66">
        <v>0.0</v>
      </c>
      <c r="R54" s="67">
        <f t="shared" ref="R54:R57" si="286">IFERROR(Q54-P54,"-")</f>
        <v>0</v>
      </c>
      <c r="S54" s="70" t="str">
        <f t="shared" ref="S54:S57" si="287">IFERROR(Q54/P54-1,"-")</f>
        <v>-</v>
      </c>
      <c r="T54" s="65">
        <f>($BM$54-($L$54+$P$54))*T53</f>
        <v>0</v>
      </c>
      <c r="U54" s="66">
        <v>53.8</v>
      </c>
      <c r="V54" s="67">
        <f t="shared" ref="V54:V57" si="288">IFERROR(U54-T54,"-")</f>
        <v>53.8</v>
      </c>
      <c r="W54" s="68" t="str">
        <f t="shared" ref="W54:W57" si="289">IFERROR(U54/T54-1,"-")</f>
        <v>-</v>
      </c>
      <c r="X54" s="71">
        <f>($BM$54-($L$54+$P$54+$T$54))*X53</f>
        <v>40000</v>
      </c>
      <c r="Y54" s="66">
        <v>371.11</v>
      </c>
      <c r="Z54" s="67">
        <f t="shared" ref="Z54:Z57" si="290">IFERROR(Y54-X54,"-")</f>
        <v>-39628.89</v>
      </c>
      <c r="AA54" s="68">
        <f t="shared" ref="AA54:AA57" si="291">IFERROR(Y54/X54-1,"-")</f>
        <v>-0.99072225</v>
      </c>
      <c r="AB54" s="71">
        <f>($BM$54-($L$54+$P$54+$T$54))*AB53</f>
        <v>40000</v>
      </c>
      <c r="AC54" s="66">
        <v>1316.65</v>
      </c>
      <c r="AD54" s="67">
        <f t="shared" ref="AD54:AD57" si="292">IFERROR(AC54-AB54,"-")</f>
        <v>-38683.35</v>
      </c>
      <c r="AE54" s="68">
        <f t="shared" ref="AE54:AE57" si="293">IFERROR(AC54/AB54-1,"-")</f>
        <v>-0.96708375</v>
      </c>
      <c r="AF54" s="71">
        <f>($BM$54-($L$54+$P$54+$T$54))*AF53</f>
        <v>240000</v>
      </c>
      <c r="AG54" s="73">
        <v>211.35</v>
      </c>
      <c r="AH54" s="73">
        <v>121.54</v>
      </c>
      <c r="AI54" s="73">
        <v>115.49</v>
      </c>
      <c r="AJ54" s="73"/>
      <c r="AK54" s="73"/>
      <c r="AL54" s="283">
        <f t="shared" si="283"/>
        <v>448.38</v>
      </c>
      <c r="AM54" s="67">
        <f t="shared" ref="AM54:AM57" si="294">IFERROR(AL54-AF54,"-")</f>
        <v>-239551.62</v>
      </c>
      <c r="AN54" s="68">
        <f t="shared" ref="AN54:AN57" si="295">IFERROR(AL54/AF54-1,"-")</f>
        <v>-0.99813175</v>
      </c>
      <c r="AO54" s="71">
        <f>($BM$54-($L$54+$P$54+$T$54))*AO53</f>
        <v>360000</v>
      </c>
      <c r="AP54" s="66">
        <v>0.0</v>
      </c>
      <c r="AQ54" s="67">
        <f t="shared" ref="AQ54:AQ57" si="296">IFERROR(AP54-AO54,"-")</f>
        <v>-360000</v>
      </c>
      <c r="AR54" s="68">
        <f t="shared" ref="AR54:AR57" si="297">IFERROR(AP54/AO54-1,"-")</f>
        <v>-1</v>
      </c>
      <c r="AS54" s="66">
        <f>($BM$54-($L$54+$P$54+$T$54))*AS53</f>
        <v>520000</v>
      </c>
      <c r="AT54" s="66">
        <v>0.0</v>
      </c>
      <c r="AU54" s="67">
        <f t="shared" ref="AU54:AU57" si="298">IFERROR(AT54-AS54,"-")</f>
        <v>-520000</v>
      </c>
      <c r="AV54" s="68">
        <f t="shared" ref="AV54:AV57" si="299">IFERROR(AT54/AS54-1,"-")</f>
        <v>-1</v>
      </c>
      <c r="AW54" s="71">
        <f>($BM$54-($L$54+$P$54+$T$54))*AW53</f>
        <v>640000</v>
      </c>
      <c r="AX54" s="66">
        <v>0.0</v>
      </c>
      <c r="AY54" s="67">
        <f t="shared" ref="AY54:AY57" si="300">IFERROR(AX54-AW54,"-")</f>
        <v>-640000</v>
      </c>
      <c r="AZ54" s="68">
        <f t="shared" ref="AZ54:AZ57" si="301">IFERROR(AX54/AW54-1,"-")</f>
        <v>-1</v>
      </c>
      <c r="BA54" s="71">
        <f>($BM$54-($L$54+$P$54+$T$54))*BA53</f>
        <v>640000</v>
      </c>
      <c r="BB54" s="66">
        <v>0.0</v>
      </c>
      <c r="BC54" s="67">
        <f t="shared" ref="BC54:BC57" si="302">IFERROR(BB54-BA54,"-")</f>
        <v>-640000</v>
      </c>
      <c r="BD54" s="68">
        <f t="shared" ref="BD54:BD57" si="303">IFERROR(BB54/BA54-1,"-")</f>
        <v>-1</v>
      </c>
      <c r="BE54" s="71">
        <f>($BM$54-($L$54+$P$54+$T$54))*BE53</f>
        <v>920000</v>
      </c>
      <c r="BF54" s="66">
        <v>0.0</v>
      </c>
      <c r="BG54" s="67">
        <f t="shared" ref="BG54:BG57" si="304">IFERROR(BF54-BE54,"-")</f>
        <v>-920000</v>
      </c>
      <c r="BH54" s="68">
        <f t="shared" ref="BH54:BH57" si="305">IFERROR(BF54/BE54-1,"-")</f>
        <v>-1</v>
      </c>
      <c r="BI54" s="66">
        <f>($BM$54-($L$54+$P$54+$T$54))*BI53</f>
        <v>600000</v>
      </c>
      <c r="BJ54" s="66">
        <v>0.0</v>
      </c>
      <c r="BK54" s="67">
        <f t="shared" ref="BK54:BK57" si="306">IFERROR(BJ54-BI54,"-")</f>
        <v>-600000</v>
      </c>
      <c r="BL54" s="70">
        <f t="shared" ref="BL54:BL57" si="307">IFERROR(BJ54/BI54-1,"-")</f>
        <v>-1</v>
      </c>
      <c r="BM54" s="74">
        <v>4000000.0</v>
      </c>
      <c r="BN54" s="75">
        <f>SUM(M54,Q54,U54,Y54,AC54,AG54,AP54,AT54,AX54,BB54,BF54,BJ54)</f>
        <v>1952.91</v>
      </c>
      <c r="BO54" s="76">
        <f t="shared" ref="BO54:BO57" si="309">IFERROR(BN54/BM54-1,"-")</f>
        <v>-0.9995117725</v>
      </c>
      <c r="BP54" s="77" t="s">
        <v>60</v>
      </c>
      <c r="BQ54" s="78" t="str">
        <f t="shared" ref="BQ54:BQ55" si="310">IFERROR((BM54/BP54),"-")</f>
        <v>-</v>
      </c>
      <c r="BR54" s="3"/>
      <c r="BS54" s="3"/>
      <c r="BT54" s="3"/>
      <c r="BU54" s="3"/>
      <c r="BV54" s="3"/>
      <c r="BW54" s="3"/>
    </row>
    <row r="55" ht="15.75" customHeight="1">
      <c r="A55" s="1"/>
      <c r="B55" s="105"/>
      <c r="C55" s="106"/>
      <c r="D55" s="107"/>
      <c r="E55" s="144"/>
      <c r="F55" s="109"/>
      <c r="G55" s="110"/>
      <c r="H55" s="111"/>
      <c r="I55" s="140"/>
      <c r="J55" s="50" t="s">
        <v>64</v>
      </c>
      <c r="K55" s="79"/>
      <c r="L55" s="129">
        <f>L54/$K$56</f>
        <v>0</v>
      </c>
      <c r="M55" s="81">
        <v>0.0</v>
      </c>
      <c r="N55" s="82">
        <f t="shared" si="284"/>
        <v>0</v>
      </c>
      <c r="O55" s="68" t="str">
        <f t="shared" si="285"/>
        <v>-</v>
      </c>
      <c r="P55" s="129">
        <f>P54/$K$56</f>
        <v>0</v>
      </c>
      <c r="Q55" s="81">
        <v>0.0</v>
      </c>
      <c r="R55" s="82">
        <f t="shared" si="286"/>
        <v>0</v>
      </c>
      <c r="S55" s="70" t="str">
        <f t="shared" si="287"/>
        <v>-</v>
      </c>
      <c r="T55" s="129">
        <f>T54/$K$56</f>
        <v>0</v>
      </c>
      <c r="U55" s="81">
        <v>1.0</v>
      </c>
      <c r="V55" s="82">
        <f t="shared" si="288"/>
        <v>1</v>
      </c>
      <c r="W55" s="68" t="str">
        <f t="shared" si="289"/>
        <v>-</v>
      </c>
      <c r="X55" s="84">
        <f>X54/$K$56</f>
        <v>380.952381</v>
      </c>
      <c r="Y55" s="81">
        <v>5.0</v>
      </c>
      <c r="Z55" s="82">
        <f t="shared" si="290"/>
        <v>-375.952381</v>
      </c>
      <c r="AA55" s="68">
        <f t="shared" si="291"/>
        <v>-0.986875</v>
      </c>
      <c r="AB55" s="84">
        <f>AB54/$K$56</f>
        <v>380.952381</v>
      </c>
      <c r="AC55" s="81">
        <v>28.0</v>
      </c>
      <c r="AD55" s="82">
        <f t="shared" si="292"/>
        <v>-352.952381</v>
      </c>
      <c r="AE55" s="68">
        <f t="shared" si="293"/>
        <v>-0.9265</v>
      </c>
      <c r="AF55" s="84">
        <f>AF54/$K$56</f>
        <v>2285.714286</v>
      </c>
      <c r="AG55" s="85">
        <v>5.0</v>
      </c>
      <c r="AH55" s="85">
        <v>3.0</v>
      </c>
      <c r="AI55" s="85">
        <v>2.0</v>
      </c>
      <c r="AJ55" s="85"/>
      <c r="AK55" s="85"/>
      <c r="AL55" s="286">
        <f t="shared" si="283"/>
        <v>10</v>
      </c>
      <c r="AM55" s="82">
        <f t="shared" si="294"/>
        <v>-2275.714286</v>
      </c>
      <c r="AN55" s="68">
        <f t="shared" si="295"/>
        <v>-0.995625</v>
      </c>
      <c r="AO55" s="84">
        <f>AO54/$K$56</f>
        <v>3428.571429</v>
      </c>
      <c r="AP55" s="81">
        <v>0.0</v>
      </c>
      <c r="AQ55" s="82">
        <f t="shared" si="296"/>
        <v>-3428.571429</v>
      </c>
      <c r="AR55" s="68">
        <f t="shared" si="297"/>
        <v>-1</v>
      </c>
      <c r="AS55" s="81">
        <f>AS54/$K$56</f>
        <v>4952.380952</v>
      </c>
      <c r="AT55" s="81">
        <v>0.0</v>
      </c>
      <c r="AU55" s="82">
        <f t="shared" si="298"/>
        <v>-4952.380952</v>
      </c>
      <c r="AV55" s="68">
        <f t="shared" si="299"/>
        <v>-1</v>
      </c>
      <c r="AW55" s="84">
        <f>AW54/$K$56</f>
        <v>6095.238095</v>
      </c>
      <c r="AX55" s="81">
        <v>0.0</v>
      </c>
      <c r="AY55" s="82">
        <f t="shared" si="300"/>
        <v>-6095.238095</v>
      </c>
      <c r="AZ55" s="68">
        <f t="shared" si="301"/>
        <v>-1</v>
      </c>
      <c r="BA55" s="84">
        <f>BA54/$K$56</f>
        <v>6095.238095</v>
      </c>
      <c r="BB55" s="81">
        <v>0.0</v>
      </c>
      <c r="BC55" s="82">
        <f t="shared" si="302"/>
        <v>-6095.238095</v>
      </c>
      <c r="BD55" s="68">
        <f t="shared" si="303"/>
        <v>-1</v>
      </c>
      <c r="BE55" s="84">
        <f>BE54/$K$56</f>
        <v>8761.904762</v>
      </c>
      <c r="BF55" s="81">
        <v>0.0</v>
      </c>
      <c r="BG55" s="82">
        <f t="shared" si="304"/>
        <v>-8761.904762</v>
      </c>
      <c r="BH55" s="68">
        <f t="shared" si="305"/>
        <v>-1</v>
      </c>
      <c r="BI55" s="81">
        <f>BI54/$K$56</f>
        <v>5714.285714</v>
      </c>
      <c r="BJ55" s="81">
        <v>0.0</v>
      </c>
      <c r="BK55" s="82">
        <f t="shared" si="306"/>
        <v>-5714.285714</v>
      </c>
      <c r="BL55" s="70">
        <f t="shared" si="307"/>
        <v>-1</v>
      </c>
      <c r="BM55" s="156">
        <f t="shared" ref="BM55:BN55" si="308">SUM(L55,P55,T55,X55,AB55,AF55,AO55,AS55,AW55,BA55,BE55,BI55)</f>
        <v>38095.2381</v>
      </c>
      <c r="BN55" s="87">
        <f t="shared" si="308"/>
        <v>39</v>
      </c>
      <c r="BO55" s="76">
        <f t="shared" si="309"/>
        <v>-0.99897625</v>
      </c>
      <c r="BP55" s="88" t="s">
        <v>60</v>
      </c>
      <c r="BQ55" s="78" t="str">
        <f t="shared" si="310"/>
        <v>-</v>
      </c>
      <c r="BR55" s="3"/>
      <c r="BS55" s="3"/>
      <c r="BT55" s="3"/>
      <c r="BU55" s="3"/>
      <c r="BV55" s="3"/>
      <c r="BW55" s="3"/>
    </row>
    <row r="56" ht="15.75" customHeight="1">
      <c r="A56" s="1"/>
      <c r="B56" s="105"/>
      <c r="C56" s="106"/>
      <c r="D56" s="107"/>
      <c r="E56" s="144"/>
      <c r="F56" s="109"/>
      <c r="G56" s="110"/>
      <c r="H56" s="111"/>
      <c r="I56" s="140"/>
      <c r="J56" s="50" t="s">
        <v>65</v>
      </c>
      <c r="K56" s="79">
        <v>105.0</v>
      </c>
      <c r="L56" s="65" t="str">
        <f t="shared" ref="L56:M56" si="311">IFERROR(L54/L55,"-")</f>
        <v>-</v>
      </c>
      <c r="M56" s="66" t="str">
        <f t="shared" si="311"/>
        <v>-</v>
      </c>
      <c r="N56" s="67" t="str">
        <f t="shared" si="284"/>
        <v>-</v>
      </c>
      <c r="O56" s="68" t="str">
        <f t="shared" si="285"/>
        <v>-</v>
      </c>
      <c r="P56" s="65" t="str">
        <f t="shared" ref="P56:Q56" si="312">IFERROR(P54/P55,"-")</f>
        <v>-</v>
      </c>
      <c r="Q56" s="66" t="str">
        <f t="shared" si="312"/>
        <v>-</v>
      </c>
      <c r="R56" s="67" t="str">
        <f t="shared" si="286"/>
        <v>-</v>
      </c>
      <c r="S56" s="70" t="str">
        <f t="shared" si="287"/>
        <v>-</v>
      </c>
      <c r="T56" s="65" t="str">
        <f t="shared" ref="T56:U56" si="313">IFERROR(T54/T55,"-")</f>
        <v>-</v>
      </c>
      <c r="U56" s="66">
        <f t="shared" si="313"/>
        <v>53.8</v>
      </c>
      <c r="V56" s="67" t="str">
        <f t="shared" si="288"/>
        <v>-</v>
      </c>
      <c r="W56" s="68" t="str">
        <f t="shared" si="289"/>
        <v>-</v>
      </c>
      <c r="X56" s="71">
        <f t="shared" ref="X56:Y56" si="314">IFERROR(X54/X55,"-")</f>
        <v>105</v>
      </c>
      <c r="Y56" s="66">
        <f t="shared" si="314"/>
        <v>74.222</v>
      </c>
      <c r="Z56" s="67">
        <f t="shared" si="290"/>
        <v>-30.778</v>
      </c>
      <c r="AA56" s="68">
        <f t="shared" si="291"/>
        <v>-0.2931238095</v>
      </c>
      <c r="AB56" s="84">
        <f>AB54/AB55</f>
        <v>105</v>
      </c>
      <c r="AC56" s="66">
        <f>IFERROR(AC54/AC55,"-")</f>
        <v>47.02321429</v>
      </c>
      <c r="AD56" s="67">
        <f t="shared" si="292"/>
        <v>-57.97678571</v>
      </c>
      <c r="AE56" s="68">
        <f t="shared" si="293"/>
        <v>-0.5521598639</v>
      </c>
      <c r="AF56" s="312">
        <f>AF54/AF55</f>
        <v>105</v>
      </c>
      <c r="AG56" s="296">
        <f t="shared" ref="AG56:AL56" si="315">IFERROR(AG54/AG55,"-")</f>
        <v>42.27</v>
      </c>
      <c r="AH56" s="296">
        <f t="shared" si="315"/>
        <v>40.51333333</v>
      </c>
      <c r="AI56" s="296">
        <f t="shared" si="315"/>
        <v>57.745</v>
      </c>
      <c r="AJ56" s="296" t="str">
        <f t="shared" si="315"/>
        <v>-</v>
      </c>
      <c r="AK56" s="296" t="str">
        <f t="shared" si="315"/>
        <v>-</v>
      </c>
      <c r="AL56" s="298">
        <f t="shared" si="315"/>
        <v>44.838</v>
      </c>
      <c r="AM56" s="67">
        <f t="shared" si="294"/>
        <v>-60.162</v>
      </c>
      <c r="AN56" s="68">
        <f t="shared" si="295"/>
        <v>-0.5729714286</v>
      </c>
      <c r="AO56" s="84">
        <f>AO54/AO55</f>
        <v>105</v>
      </c>
      <c r="AP56" s="66" t="str">
        <f>IFERROR(AP54/AP55,"-")</f>
        <v>-</v>
      </c>
      <c r="AQ56" s="67" t="str">
        <f t="shared" si="296"/>
        <v>-</v>
      </c>
      <c r="AR56" s="68" t="str">
        <f t="shared" si="297"/>
        <v>-</v>
      </c>
      <c r="AS56" s="81">
        <f>AS54/AS55</f>
        <v>105</v>
      </c>
      <c r="AT56" s="66" t="str">
        <f>IFERROR(AT54/AT55,"-")</f>
        <v>-</v>
      </c>
      <c r="AU56" s="67" t="str">
        <f t="shared" si="298"/>
        <v>-</v>
      </c>
      <c r="AV56" s="68" t="str">
        <f t="shared" si="299"/>
        <v>-</v>
      </c>
      <c r="AW56" s="84">
        <f>AW54/AW55</f>
        <v>105</v>
      </c>
      <c r="AX56" s="66" t="str">
        <f>IFERROR(AX54/AX55,"-")</f>
        <v>-</v>
      </c>
      <c r="AY56" s="67" t="str">
        <f t="shared" si="300"/>
        <v>-</v>
      </c>
      <c r="AZ56" s="68" t="str">
        <f t="shared" si="301"/>
        <v>-</v>
      </c>
      <c r="BA56" s="84">
        <f>BA54/BA55</f>
        <v>105</v>
      </c>
      <c r="BB56" s="66" t="str">
        <f>IFERROR(BB54/BB55,"-")</f>
        <v>-</v>
      </c>
      <c r="BC56" s="67" t="str">
        <f t="shared" si="302"/>
        <v>-</v>
      </c>
      <c r="BD56" s="68" t="str">
        <f t="shared" si="303"/>
        <v>-</v>
      </c>
      <c r="BE56" s="84">
        <f>BE54/BE55</f>
        <v>105</v>
      </c>
      <c r="BF56" s="66" t="str">
        <f>IFERROR(BF54/BF55,"-")</f>
        <v>-</v>
      </c>
      <c r="BG56" s="67" t="str">
        <f t="shared" si="304"/>
        <v>-</v>
      </c>
      <c r="BH56" s="68" t="str">
        <f t="shared" si="305"/>
        <v>-</v>
      </c>
      <c r="BI56" s="81">
        <f>BI54/BI55</f>
        <v>105</v>
      </c>
      <c r="BJ56" s="66" t="str">
        <f>IFERROR(BJ54/BJ55,"-")</f>
        <v>-</v>
      </c>
      <c r="BK56" s="67" t="str">
        <f t="shared" si="306"/>
        <v>-</v>
      </c>
      <c r="BL56" s="70" t="str">
        <f t="shared" si="307"/>
        <v>-</v>
      </c>
      <c r="BM56" s="89">
        <f t="shared" ref="BM56:BN56" si="316">BM54/BM55</f>
        <v>105</v>
      </c>
      <c r="BN56" s="90">
        <f t="shared" si="316"/>
        <v>50.07461538</v>
      </c>
      <c r="BO56" s="76">
        <f t="shared" si="309"/>
        <v>-0.5230989011</v>
      </c>
      <c r="BP56" s="88"/>
      <c r="BQ56" s="78"/>
      <c r="BR56" s="3"/>
      <c r="BS56" s="3"/>
      <c r="BT56" s="3"/>
      <c r="BU56" s="3"/>
      <c r="BV56" s="3"/>
      <c r="BW56" s="3"/>
    </row>
    <row r="57" ht="15.75" customHeight="1">
      <c r="A57" s="1"/>
      <c r="B57" s="105"/>
      <c r="C57" s="106"/>
      <c r="D57" s="107"/>
      <c r="E57" s="144"/>
      <c r="F57" s="109"/>
      <c r="G57" s="110"/>
      <c r="H57" s="111"/>
      <c r="I57" s="140"/>
      <c r="J57" s="91" t="s">
        <v>66</v>
      </c>
      <c r="K57" s="92">
        <v>0.03</v>
      </c>
      <c r="L57" s="99">
        <f t="shared" ref="L57:M57" si="317">MIN(L54, 500000) * 0.03 + MAX(0, MIN(L54, 1000000) - 500000) * 0.025 + MAX(0, MIN(L54, 2000000) - 1000000) * 0.0225 + MAX(0, MIN(L54, 3000000) - 2000000) * 0.02 + MAX(0, MIN(L54, 5000000) - 3000000) * 0.0175 + MAX(0, L54 - 5000000) * 0.015</f>
        <v>0</v>
      </c>
      <c r="M57" s="94">
        <f t="shared" si="317"/>
        <v>0</v>
      </c>
      <c r="N57" s="95">
        <f t="shared" si="284"/>
        <v>0</v>
      </c>
      <c r="O57" s="96" t="str">
        <f t="shared" si="285"/>
        <v>-</v>
      </c>
      <c r="P57" s="99">
        <f t="shared" ref="P57:Q57" si="318">MIN(P54, 500000) * 0.03 + MAX(0, MIN(P54, 1000000) - 500000) * 0.025 + MAX(0, MIN(P54, 2000000) - 1000000) * 0.0225 + MAX(0, MIN(P54, 3000000) - 2000000) * 0.02 + MAX(0, MIN(P54, 5000000) - 3000000) * 0.0175 + MAX(0, P54 - 5000000) * 0.015</f>
        <v>0</v>
      </c>
      <c r="Q57" s="94">
        <f t="shared" si="318"/>
        <v>0</v>
      </c>
      <c r="R57" s="95">
        <f t="shared" si="286"/>
        <v>0</v>
      </c>
      <c r="S57" s="98" t="str">
        <f t="shared" si="287"/>
        <v>-</v>
      </c>
      <c r="T57" s="99">
        <f t="shared" ref="T57:U57" si="319">MIN(T54, 500000) * 0.03 + MAX(0, MIN(T54, 1000000) - 500000) * 0.025 + MAX(0, MIN(T54, 2000000) - 1000000) * 0.0225 + MAX(0, MIN(T54, 3000000) - 2000000) * 0.02 + MAX(0, MIN(T54, 5000000) - 3000000) * 0.0175 + MAX(0, T54 - 5000000) * 0.015</f>
        <v>0</v>
      </c>
      <c r="U57" s="94">
        <f t="shared" si="319"/>
        <v>1.614</v>
      </c>
      <c r="V57" s="95">
        <f t="shared" si="288"/>
        <v>1.614</v>
      </c>
      <c r="W57" s="96" t="str">
        <f t="shared" si="289"/>
        <v>-</v>
      </c>
      <c r="X57" s="99">
        <f t="shared" ref="X57:Y57" si="320">MIN(X54, 500000) * 0.03 + MAX(0, MIN(X54, 1000000) - 500000) * 0.025 + MAX(0, MIN(X54, 2000000) - 1000000) * 0.0225 + MAX(0, MIN(X54, 3000000) - 2000000) * 0.02 + MAX(0, MIN(X54, 5000000) - 3000000) * 0.0175 + MAX(0, X54 - 5000000) * 0.015</f>
        <v>1200</v>
      </c>
      <c r="Y57" s="94">
        <f t="shared" si="320"/>
        <v>11.1333</v>
      </c>
      <c r="Z57" s="95">
        <f t="shared" si="290"/>
        <v>-1188.8667</v>
      </c>
      <c r="AA57" s="96">
        <f t="shared" si="291"/>
        <v>-0.99072225</v>
      </c>
      <c r="AB57" s="99">
        <f t="shared" ref="AB57:AC57" si="321">MIN(AB54, 500000) * 0.03 + MAX(0, MIN(AB54, 1000000) - 500000) * 0.025 + MAX(0, MIN(AB54, 2000000) - 1000000) * 0.0225 + MAX(0, MIN(AB54, 3000000) - 2000000) * 0.02 + MAX(0, MIN(AB54, 5000000) - 3000000) * 0.0175 + MAX(0, AB54 - 5000000) * 0.015</f>
        <v>1200</v>
      </c>
      <c r="AC57" s="94">
        <f t="shared" si="321"/>
        <v>39.4995</v>
      </c>
      <c r="AD57" s="95">
        <f t="shared" si="292"/>
        <v>-1160.5005</v>
      </c>
      <c r="AE57" s="299">
        <f t="shared" si="293"/>
        <v>-0.96708375</v>
      </c>
      <c r="AF57" s="300">
        <f t="shared" ref="AF57:AL57" si="322">MIN(AF54, 500000) * 0.03 + MAX(0, MIN(AF54, 1000000) - 500000) * 0.025 + MAX(0, MIN(AF54, 2000000) - 1000000) * 0.0225 + MAX(0, MIN(AF54, 3000000) - 2000000) * 0.02 + MAX(0, MIN(AF54, 5000000) - 3000000) * 0.0175 + MAX(0, AF54 - 5000000) * 0.015</f>
        <v>7200</v>
      </c>
      <c r="AG57" s="301">
        <f t="shared" si="322"/>
        <v>6.3405</v>
      </c>
      <c r="AH57" s="301">
        <f t="shared" si="322"/>
        <v>3.6462</v>
      </c>
      <c r="AI57" s="301">
        <f t="shared" si="322"/>
        <v>3.4647</v>
      </c>
      <c r="AJ57" s="301">
        <f t="shared" si="322"/>
        <v>105000</v>
      </c>
      <c r="AK57" s="301">
        <f t="shared" si="322"/>
        <v>105000</v>
      </c>
      <c r="AL57" s="302">
        <f t="shared" si="322"/>
        <v>13.4514</v>
      </c>
      <c r="AM57" s="311">
        <f t="shared" si="294"/>
        <v>-7186.5486</v>
      </c>
      <c r="AN57" s="96">
        <f t="shared" si="295"/>
        <v>-0.99813175</v>
      </c>
      <c r="AO57" s="99">
        <f t="shared" ref="AO57:AP57" si="323">MIN(AO54, 500000) * 0.03 + MAX(0, MIN(AO54, 1000000) - 500000) * 0.025 + MAX(0, MIN(AO54, 2000000) - 1000000) * 0.0225 + MAX(0, MIN(AO54, 3000000) - 2000000) * 0.02 + MAX(0, MIN(AO54, 5000000) - 3000000) * 0.0175 + MAX(0, AO54 - 5000000) * 0.015</f>
        <v>10800</v>
      </c>
      <c r="AP57" s="94">
        <f t="shared" si="323"/>
        <v>0</v>
      </c>
      <c r="AQ57" s="95">
        <f t="shared" si="296"/>
        <v>-10800</v>
      </c>
      <c r="AR57" s="96">
        <f t="shared" si="297"/>
        <v>-1</v>
      </c>
      <c r="AS57" s="94">
        <f t="shared" ref="AS57:AT57" si="324">MIN(AS54, 500000) * 0.03 + MAX(0, MIN(AS54, 1000000) - 500000) * 0.025 + MAX(0, MIN(AS54, 2000000) - 1000000) * 0.0225 + MAX(0, MIN(AS54, 3000000) - 2000000) * 0.02 + MAX(0, MIN(AS54, 5000000) - 3000000) * 0.0175 + MAX(0, AS54 - 5000000) * 0.015</f>
        <v>15500</v>
      </c>
      <c r="AT57" s="94">
        <f t="shared" si="324"/>
        <v>0</v>
      </c>
      <c r="AU57" s="95">
        <f t="shared" si="298"/>
        <v>-15500</v>
      </c>
      <c r="AV57" s="96">
        <f t="shared" si="299"/>
        <v>-1</v>
      </c>
      <c r="AW57" s="99">
        <f t="shared" ref="AW57:AX57" si="325">MIN(AW54, 500000) * 0.03 + MAX(0, MIN(AW54, 1000000) - 500000) * 0.025 + MAX(0, MIN(AW54, 2000000) - 1000000) * 0.0225 + MAX(0, MIN(AW54, 3000000) - 2000000) * 0.02 + MAX(0, MIN(AW54, 5000000) - 3000000) * 0.0175 + MAX(0, AW54 - 5000000) * 0.015</f>
        <v>18500</v>
      </c>
      <c r="AX57" s="94">
        <f t="shared" si="325"/>
        <v>0</v>
      </c>
      <c r="AY57" s="95">
        <f t="shared" si="300"/>
        <v>-18500</v>
      </c>
      <c r="AZ57" s="96">
        <f t="shared" si="301"/>
        <v>-1</v>
      </c>
      <c r="BA57" s="99">
        <f t="shared" ref="BA57:BB57" si="326">MIN(BA54, 500000) * 0.03 + MAX(0, MIN(BA54, 1000000) - 500000) * 0.025 + MAX(0, MIN(BA54, 2000000) - 1000000) * 0.0225 + MAX(0, MIN(BA54, 3000000) - 2000000) * 0.02 + MAX(0, MIN(BA54, 5000000) - 3000000) * 0.0175 + MAX(0, BA54 - 5000000) * 0.015</f>
        <v>18500</v>
      </c>
      <c r="BB57" s="94">
        <f t="shared" si="326"/>
        <v>0</v>
      </c>
      <c r="BC57" s="95">
        <f t="shared" si="302"/>
        <v>-18500</v>
      </c>
      <c r="BD57" s="96">
        <f t="shared" si="303"/>
        <v>-1</v>
      </c>
      <c r="BE57" s="99">
        <f t="shared" ref="BE57:BF57" si="327">MIN(BE54, 500000) * 0.03 + MAX(0, MIN(BE54, 1000000) - 500000) * 0.025 + MAX(0, MIN(BE54, 2000000) - 1000000) * 0.0225 + MAX(0, MIN(BE54, 3000000) - 2000000) * 0.02 + MAX(0, MIN(BE54, 5000000) - 3000000) * 0.0175 + MAX(0, BE54 - 5000000) * 0.015</f>
        <v>25500</v>
      </c>
      <c r="BF57" s="94">
        <f t="shared" si="327"/>
        <v>0</v>
      </c>
      <c r="BG57" s="95">
        <f t="shared" si="304"/>
        <v>-25500</v>
      </c>
      <c r="BH57" s="96">
        <f t="shared" si="305"/>
        <v>-1</v>
      </c>
      <c r="BI57" s="94">
        <f t="shared" ref="BI57:BJ57" si="328">MIN(BI54, 500000) * 0.03 + MAX(0, MIN(BI54, 1000000) - 500000) * 0.025 + MAX(0, MIN(BI54, 2000000) - 1000000) * 0.0225 + MAX(0, MIN(BI54, 3000000) - 2000000) * 0.02 + MAX(0, MIN(BI54, 5000000) - 3000000) * 0.0175 + MAX(0, BI54 - 5000000) * 0.015</f>
        <v>17500</v>
      </c>
      <c r="BJ57" s="94">
        <f t="shared" si="328"/>
        <v>0</v>
      </c>
      <c r="BK57" s="95">
        <f t="shared" si="306"/>
        <v>-17500</v>
      </c>
      <c r="BL57" s="98">
        <f t="shared" si="307"/>
        <v>-1</v>
      </c>
      <c r="BM57" s="100">
        <f t="shared" ref="BM57:BN57" si="329">SUM(L57,P57,T57,X57,AB57,AF57,AO57,AS57,AW57,BA57,BE57,BI57)</f>
        <v>115900</v>
      </c>
      <c r="BN57" s="101">
        <f t="shared" si="329"/>
        <v>58.5873</v>
      </c>
      <c r="BO57" s="102">
        <f t="shared" si="309"/>
        <v>-0.9994945013</v>
      </c>
      <c r="BP57" s="103" t="s">
        <v>60</v>
      </c>
      <c r="BQ57" s="104" t="str">
        <f>IFERROR((BM57/BP57),"-")</f>
        <v>-</v>
      </c>
      <c r="BR57" s="3"/>
      <c r="BS57" s="3"/>
      <c r="BT57" s="3"/>
      <c r="BU57" s="3"/>
      <c r="BV57" s="3"/>
      <c r="BW57" s="3"/>
    </row>
    <row r="58" ht="15.75" customHeight="1">
      <c r="A58" s="1"/>
      <c r="B58" s="105"/>
      <c r="C58" s="106"/>
      <c r="D58" s="107"/>
      <c r="E58" s="144"/>
      <c r="F58" s="109"/>
      <c r="G58" s="110"/>
      <c r="H58" s="111"/>
      <c r="I58" s="171">
        <v>0.0325</v>
      </c>
      <c r="J58" s="12"/>
      <c r="K58" s="148"/>
      <c r="L58" s="172">
        <f>L62/4600</f>
        <v>5.538130435</v>
      </c>
      <c r="M58" s="149">
        <f>P62/2890</f>
        <v>7.37716263</v>
      </c>
      <c r="N58" s="149">
        <f>T62/3000</f>
        <v>9.922007667</v>
      </c>
      <c r="O58" s="149">
        <f>X62/10000</f>
        <v>2.9766023</v>
      </c>
      <c r="P58" s="149">
        <f>AB62/15000</f>
        <v>7.937606133</v>
      </c>
      <c r="Q58" s="23"/>
      <c r="R58" s="149">
        <f>AO62/15000</f>
        <v>31.75042453</v>
      </c>
      <c r="S58" s="149">
        <f>AS62/15000</f>
        <v>39.68803067</v>
      </c>
      <c r="T58" s="149">
        <f>AW62/15000</f>
        <v>43.65683373</v>
      </c>
      <c r="U58" s="149">
        <f>BA62/15000</f>
        <v>71.4384552</v>
      </c>
      <c r="V58" s="149">
        <f>BE62/25000</f>
        <v>71.4384552</v>
      </c>
      <c r="W58" s="149">
        <f>BI62/15000</f>
        <v>71.4384552</v>
      </c>
      <c r="X58" s="13"/>
      <c r="Y58" s="14"/>
      <c r="Z58" s="15"/>
      <c r="AA58" s="3"/>
      <c r="AB58" s="3"/>
      <c r="AC58" s="3"/>
      <c r="AD58" s="3"/>
      <c r="AE58" s="3"/>
      <c r="AF58" s="3"/>
      <c r="AG58" s="291"/>
      <c r="AH58" s="291"/>
      <c r="AI58" s="291"/>
      <c r="AJ58" s="291"/>
      <c r="AK58" s="291"/>
      <c r="AL58" s="291"/>
      <c r="AV58" s="138"/>
      <c r="AW58" s="25"/>
      <c r="AX58" s="139"/>
      <c r="AY58" s="25"/>
    </row>
    <row r="59" ht="15.75" customHeight="1">
      <c r="A59" s="1"/>
      <c r="B59" s="105"/>
      <c r="C59" s="106"/>
      <c r="D59" s="107"/>
      <c r="E59" s="144"/>
      <c r="F59" s="109"/>
      <c r="G59" s="110"/>
      <c r="H59" s="111"/>
      <c r="I59" s="173"/>
      <c r="J59" s="34" t="s">
        <v>81</v>
      </c>
      <c r="K59" s="35"/>
      <c r="L59" s="36" t="s">
        <v>10</v>
      </c>
      <c r="M59" s="37" t="s">
        <v>11</v>
      </c>
      <c r="N59" s="38" t="s">
        <v>12</v>
      </c>
      <c r="O59" s="39" t="s">
        <v>13</v>
      </c>
      <c r="P59" s="119" t="s">
        <v>14</v>
      </c>
      <c r="Q59" s="152" t="s">
        <v>15</v>
      </c>
      <c r="R59" s="38" t="s">
        <v>16</v>
      </c>
      <c r="S59" s="42" t="s">
        <v>17</v>
      </c>
      <c r="T59" s="43" t="s">
        <v>18</v>
      </c>
      <c r="U59" s="152" t="s">
        <v>19</v>
      </c>
      <c r="V59" s="38" t="s">
        <v>20</v>
      </c>
      <c r="W59" s="45" t="s">
        <v>21</v>
      </c>
      <c r="X59" s="44" t="s">
        <v>22</v>
      </c>
      <c r="Y59" s="152" t="s">
        <v>23</v>
      </c>
      <c r="Z59" s="38" t="s">
        <v>24</v>
      </c>
      <c r="AA59" s="45" t="s">
        <v>25</v>
      </c>
      <c r="AB59" s="43" t="s">
        <v>26</v>
      </c>
      <c r="AC59" s="152" t="s">
        <v>27</v>
      </c>
      <c r="AD59" s="38" t="s">
        <v>28</v>
      </c>
      <c r="AE59" s="45" t="s">
        <v>29</v>
      </c>
      <c r="AF59" s="44" t="s">
        <v>30</v>
      </c>
      <c r="AG59" s="261" t="s">
        <v>107</v>
      </c>
      <c r="AH59" s="262" t="s">
        <v>108</v>
      </c>
      <c r="AI59" s="262" t="s">
        <v>109</v>
      </c>
      <c r="AJ59" s="262" t="s">
        <v>110</v>
      </c>
      <c r="AK59" s="262" t="s">
        <v>111</v>
      </c>
      <c r="AL59" s="262" t="s">
        <v>31</v>
      </c>
      <c r="AM59" s="38" t="s">
        <v>32</v>
      </c>
      <c r="AN59" s="45" t="s">
        <v>33</v>
      </c>
      <c r="AO59" s="43" t="s">
        <v>34</v>
      </c>
      <c r="AP59" s="152" t="s">
        <v>35</v>
      </c>
      <c r="AQ59" s="38" t="s">
        <v>36</v>
      </c>
      <c r="AR59" s="45" t="s">
        <v>37</v>
      </c>
      <c r="AS59" s="44" t="s">
        <v>38</v>
      </c>
      <c r="AT59" s="152" t="s">
        <v>39</v>
      </c>
      <c r="AU59" s="38" t="s">
        <v>40</v>
      </c>
      <c r="AV59" s="45" t="s">
        <v>41</v>
      </c>
      <c r="AW59" s="43" t="s">
        <v>42</v>
      </c>
      <c r="AX59" s="152" t="s">
        <v>43</v>
      </c>
      <c r="AY59" s="38" t="s">
        <v>44</v>
      </c>
      <c r="AZ59" s="45" t="s">
        <v>45</v>
      </c>
      <c r="BA59" s="44" t="s">
        <v>46</v>
      </c>
      <c r="BB59" s="152" t="s">
        <v>47</v>
      </c>
      <c r="BC59" s="38" t="s">
        <v>48</v>
      </c>
      <c r="BD59" s="45" t="s">
        <v>49</v>
      </c>
      <c r="BE59" s="43" t="s">
        <v>50</v>
      </c>
      <c r="BF59" s="152" t="s">
        <v>51</v>
      </c>
      <c r="BG59" s="38" t="s">
        <v>52</v>
      </c>
      <c r="BH59" s="45" t="s">
        <v>53</v>
      </c>
      <c r="BI59" s="44" t="s">
        <v>54</v>
      </c>
      <c r="BJ59" s="152" t="s">
        <v>55</v>
      </c>
      <c r="BK59" s="38" t="s">
        <v>56</v>
      </c>
      <c r="BL59" s="45" t="s">
        <v>57</v>
      </c>
      <c r="BM59" s="122">
        <v>2026.0</v>
      </c>
      <c r="BN59" s="37" t="s">
        <v>58</v>
      </c>
      <c r="BO59" s="47" t="s">
        <v>59</v>
      </c>
      <c r="BP59" s="48">
        <v>2025.0</v>
      </c>
      <c r="BQ59" s="49"/>
      <c r="BR59" s="3"/>
      <c r="BS59" s="3"/>
      <c r="BT59" s="3"/>
      <c r="BU59" s="3"/>
      <c r="BV59" s="3"/>
      <c r="BW59" s="3"/>
    </row>
    <row r="60" ht="15.75" customHeight="1">
      <c r="A60" s="1"/>
      <c r="B60" s="105"/>
      <c r="C60" s="106"/>
      <c r="D60" s="107"/>
      <c r="E60" s="144"/>
      <c r="F60" s="109"/>
      <c r="G60" s="110"/>
      <c r="H60" s="111"/>
      <c r="I60" s="318"/>
      <c r="J60" s="263" t="s">
        <v>112</v>
      </c>
      <c r="K60" s="264"/>
      <c r="L60" s="265"/>
      <c r="M60" s="266"/>
      <c r="N60" s="267"/>
      <c r="O60" s="268"/>
      <c r="P60" s="265"/>
      <c r="Q60" s="307"/>
      <c r="R60" s="267"/>
      <c r="S60" s="270"/>
      <c r="T60" s="271"/>
      <c r="U60" s="272"/>
      <c r="V60" s="267"/>
      <c r="W60" s="268"/>
      <c r="X60" s="271"/>
      <c r="Y60" s="272"/>
      <c r="Z60" s="267"/>
      <c r="AA60" s="268"/>
      <c r="AB60" s="271"/>
      <c r="AC60" s="272"/>
      <c r="AD60" s="267"/>
      <c r="AE60" s="268"/>
      <c r="AF60" s="271"/>
      <c r="AG60" s="273">
        <f t="shared" ref="AG60:AK60" si="330">$AF$61/5</f>
        <v>0.004</v>
      </c>
      <c r="AH60" s="273">
        <f t="shared" si="330"/>
        <v>0.004</v>
      </c>
      <c r="AI60" s="273">
        <f t="shared" si="330"/>
        <v>0.004</v>
      </c>
      <c r="AJ60" s="273">
        <f t="shared" si="330"/>
        <v>0.004</v>
      </c>
      <c r="AK60" s="273">
        <f t="shared" si="330"/>
        <v>0.004</v>
      </c>
      <c r="AL60" s="273"/>
      <c r="AM60" s="267"/>
      <c r="AN60" s="268"/>
      <c r="AO60" s="271"/>
      <c r="AP60" s="272"/>
      <c r="AQ60" s="267"/>
      <c r="AR60" s="268"/>
      <c r="AS60" s="271"/>
      <c r="AT60" s="272"/>
      <c r="AU60" s="267"/>
      <c r="AV60" s="268"/>
      <c r="AW60" s="271"/>
      <c r="AX60" s="272"/>
      <c r="AY60" s="267"/>
      <c r="AZ60" s="268"/>
      <c r="BA60" s="271"/>
      <c r="BB60" s="272"/>
      <c r="BC60" s="267"/>
      <c r="BD60" s="268"/>
      <c r="BE60" s="271"/>
      <c r="BF60" s="272"/>
      <c r="BG60" s="267"/>
      <c r="BH60" s="268"/>
      <c r="BI60" s="271"/>
      <c r="BJ60" s="272"/>
      <c r="BK60" s="267"/>
      <c r="BL60" s="268"/>
      <c r="BM60" s="314"/>
      <c r="BN60" s="276"/>
      <c r="BO60" s="277"/>
      <c r="BP60" s="278"/>
      <c r="BQ60" s="64"/>
      <c r="BR60" s="3"/>
      <c r="BS60" s="3"/>
      <c r="BT60" s="3"/>
      <c r="BU60" s="3"/>
      <c r="BV60" s="3"/>
      <c r="BW60" s="3"/>
    </row>
    <row r="61" ht="15.75" customHeight="1">
      <c r="A61" s="1"/>
      <c r="B61" s="105">
        <v>9.0</v>
      </c>
      <c r="C61" s="106" t="s">
        <v>82</v>
      </c>
      <c r="D61" s="107">
        <v>7200000.0</v>
      </c>
      <c r="E61" s="144">
        <v>30.0</v>
      </c>
      <c r="F61" s="109">
        <f>E61*D61</f>
        <v>216000000</v>
      </c>
      <c r="G61" s="110">
        <v>1580724.5999999477</v>
      </c>
      <c r="H61" s="111">
        <v>66014.0</v>
      </c>
      <c r="I61" s="140">
        <v>23.945293422606532</v>
      </c>
      <c r="J61" s="50" t="s">
        <v>61</v>
      </c>
      <c r="K61" s="51"/>
      <c r="L61" s="52" t="s">
        <v>60</v>
      </c>
      <c r="M61" s="53" t="s">
        <v>60</v>
      </c>
      <c r="N61" s="54" t="s">
        <v>60</v>
      </c>
      <c r="O61" s="55" t="s">
        <v>62</v>
      </c>
      <c r="P61" s="52" t="s">
        <v>60</v>
      </c>
      <c r="Q61" s="154" t="s">
        <v>60</v>
      </c>
      <c r="R61" s="54" t="s">
        <v>60</v>
      </c>
      <c r="S61" s="57" t="s">
        <v>62</v>
      </c>
      <c r="T61" s="58">
        <v>0.005</v>
      </c>
      <c r="U61" s="59">
        <f>U62/(BM62-(L62 + P62))</f>
        <v>0.003961936736</v>
      </c>
      <c r="V61" s="54" t="s">
        <v>60</v>
      </c>
      <c r="W61" s="55" t="s">
        <v>62</v>
      </c>
      <c r="X61" s="58">
        <v>0.005</v>
      </c>
      <c r="Y61" s="59">
        <f>Y62/(BM62-(L62+P62))</f>
        <v>0.002035463387</v>
      </c>
      <c r="Z61" s="54" t="s">
        <v>60</v>
      </c>
      <c r="AA61" s="55" t="s">
        <v>62</v>
      </c>
      <c r="AB61" s="58">
        <v>0.02</v>
      </c>
      <c r="AC61" s="59">
        <f>AC62/(BM62-(L62+P62))</f>
        <v>0.002218722669</v>
      </c>
      <c r="AD61" s="54" t="s">
        <v>60</v>
      </c>
      <c r="AE61" s="55" t="s">
        <v>62</v>
      </c>
      <c r="AF61" s="58">
        <v>0.02</v>
      </c>
      <c r="AG61" s="61">
        <f t="shared" ref="AG61:AK61" si="331">AG62/($BM$62-($L$62+$P$62))</f>
        <v>0.0003844534421</v>
      </c>
      <c r="AH61" s="61">
        <f t="shared" si="331"/>
        <v>0.0004667889291</v>
      </c>
      <c r="AI61" s="61">
        <f t="shared" si="331"/>
        <v>0.0003564416382</v>
      </c>
      <c r="AJ61" s="61">
        <f t="shared" si="331"/>
        <v>0</v>
      </c>
      <c r="AK61" s="61">
        <f t="shared" si="331"/>
        <v>0</v>
      </c>
      <c r="AL61" s="279">
        <f t="shared" ref="AL61:AL63" si="333">SUM(AG61:AK61)</f>
        <v>0.001207684009</v>
      </c>
      <c r="AM61" s="280">
        <f>AL61-AF61</f>
        <v>-0.01879231599</v>
      </c>
      <c r="AN61" s="55" t="s">
        <v>62</v>
      </c>
      <c r="AO61" s="58">
        <v>0.08</v>
      </c>
      <c r="AP61" s="59">
        <f>AP62/(BM62-(L62+P62))</f>
        <v>0</v>
      </c>
      <c r="AQ61" s="54" t="s">
        <v>60</v>
      </c>
      <c r="AR61" s="55" t="s">
        <v>62</v>
      </c>
      <c r="AS61" s="58">
        <v>0.1</v>
      </c>
      <c r="AT61" s="59">
        <f>AT62/(BM62-(L62+P62))</f>
        <v>0</v>
      </c>
      <c r="AU61" s="54" t="s">
        <v>60</v>
      </c>
      <c r="AV61" s="55" t="s">
        <v>62</v>
      </c>
      <c r="AW61" s="58">
        <v>0.11</v>
      </c>
      <c r="AX61" s="59">
        <f>AX62/(BM62-(L62+P62))</f>
        <v>0</v>
      </c>
      <c r="AY61" s="54" t="s">
        <v>60</v>
      </c>
      <c r="AZ61" s="55" t="s">
        <v>62</v>
      </c>
      <c r="BA61" s="58">
        <v>0.18</v>
      </c>
      <c r="BB61" s="59">
        <f>BB62/(BM62-(L62+P62))</f>
        <v>0</v>
      </c>
      <c r="BC61" s="54" t="s">
        <v>60</v>
      </c>
      <c r="BD61" s="55" t="s">
        <v>62</v>
      </c>
      <c r="BE61" s="58">
        <v>0.3</v>
      </c>
      <c r="BF61" s="59">
        <f>BF62/(BM62-(L62+P62))</f>
        <v>0</v>
      </c>
      <c r="BG61" s="54" t="s">
        <v>60</v>
      </c>
      <c r="BH61" s="55" t="s">
        <v>62</v>
      </c>
      <c r="BI61" s="58">
        <v>0.18</v>
      </c>
      <c r="BJ61" s="59">
        <f>BJ62/(BM62-(L62+P62))</f>
        <v>0</v>
      </c>
      <c r="BK61" s="54" t="s">
        <v>60</v>
      </c>
      <c r="BL61" s="55" t="s">
        <v>62</v>
      </c>
      <c r="BM61" s="165">
        <f t="shared" ref="BM61:BN61" si="332">SUM(T61,X61,AB61,AF61,AO61,AS61,AW61,BA61,BE61,BI61)</f>
        <v>1</v>
      </c>
      <c r="BN61" s="61">
        <f t="shared" si="332"/>
        <v>0.008600576234</v>
      </c>
      <c r="BO61" s="62"/>
      <c r="BP61" s="63" t="s">
        <v>60</v>
      </c>
      <c r="BQ61" s="64"/>
      <c r="BR61" s="3"/>
      <c r="BS61" s="3"/>
      <c r="BT61" s="3"/>
      <c r="BU61" s="3"/>
      <c r="BV61" s="3"/>
      <c r="BW61" s="3"/>
    </row>
    <row r="62" ht="15.75" customHeight="1">
      <c r="A62" s="1"/>
      <c r="B62" s="105"/>
      <c r="C62" s="106"/>
      <c r="D62" s="107"/>
      <c r="E62" s="144"/>
      <c r="F62" s="109"/>
      <c r="G62" s="110"/>
      <c r="H62" s="111"/>
      <c r="I62" s="140"/>
      <c r="J62" s="50" t="s">
        <v>63</v>
      </c>
      <c r="K62" s="51"/>
      <c r="L62" s="127">
        <v>25475.4</v>
      </c>
      <c r="M62" s="66">
        <v>24291.16</v>
      </c>
      <c r="N62" s="67">
        <f t="shared" ref="N62:N65" si="334">IFERROR(M62-L62,"-")</f>
        <v>-1184.24</v>
      </c>
      <c r="O62" s="68">
        <f t="shared" ref="O62:O65" si="335">IFERROR(M62/L62-1,"-")</f>
        <v>-0.04648562927</v>
      </c>
      <c r="P62" s="127">
        <v>21320.0</v>
      </c>
      <c r="Q62" s="66">
        <v>20219.57</v>
      </c>
      <c r="R62" s="67">
        <f t="shared" ref="R62:R65" si="336">IFERROR(Q62-P62,"-")</f>
        <v>-1100.43</v>
      </c>
      <c r="S62" s="70">
        <f t="shared" ref="S62:S65" si="337">IFERROR(Q62/P62-1,"-")</f>
        <v>-0.05161491557</v>
      </c>
      <c r="T62" s="71">
        <f>($BM$62-($L$62+$P$62))*T61</f>
        <v>29766.023</v>
      </c>
      <c r="U62" s="66">
        <v>23586.22</v>
      </c>
      <c r="V62" s="67">
        <f t="shared" ref="V62:V65" si="338">IFERROR(U62-T62,"-")</f>
        <v>-6179.803</v>
      </c>
      <c r="W62" s="68">
        <f t="shared" ref="W62:W65" si="339">IFERROR(U62/T62-1,"-")</f>
        <v>-0.2076126529</v>
      </c>
      <c r="X62" s="71">
        <f>($BM$62-($L$62+$P$62))*X61</f>
        <v>29766.023</v>
      </c>
      <c r="Y62" s="66">
        <v>12117.53</v>
      </c>
      <c r="Z62" s="67">
        <f t="shared" ref="Z62:Z65" si="340">IFERROR(Y62-X62,"-")</f>
        <v>-17648.493</v>
      </c>
      <c r="AA62" s="68">
        <f t="shared" ref="AA62:AA65" si="341">IFERROR(Y62/X62-1,"-")</f>
        <v>-0.5929073226</v>
      </c>
      <c r="AB62" s="71">
        <f>($BM$62-($L$62+$P$62))*AB61</f>
        <v>119064.092</v>
      </c>
      <c r="AC62" s="66">
        <v>13208.51</v>
      </c>
      <c r="AD62" s="67">
        <f t="shared" ref="AD62:AD65" si="342">IFERROR(AC62-AB62,"-")</f>
        <v>-105855.582</v>
      </c>
      <c r="AE62" s="68">
        <f t="shared" ref="AE62:AE65" si="343">IFERROR(AC62/AB62-1,"-")</f>
        <v>-0.8890638665</v>
      </c>
      <c r="AF62" s="71">
        <f>($BM$62-($L$62+$P$62))*AF61</f>
        <v>119064.092</v>
      </c>
      <c r="AG62" s="73">
        <v>2288.73</v>
      </c>
      <c r="AH62" s="73">
        <v>2778.89</v>
      </c>
      <c r="AI62" s="73">
        <v>2121.97</v>
      </c>
      <c r="AJ62" s="73"/>
      <c r="AK62" s="73"/>
      <c r="AL62" s="283">
        <f t="shared" si="333"/>
        <v>7189.59</v>
      </c>
      <c r="AM62" s="67">
        <f t="shared" ref="AM62:AM65" si="344">IFERROR(AL62-AF62,"-")</f>
        <v>-111874.502</v>
      </c>
      <c r="AN62" s="68">
        <f t="shared" ref="AN62:AN65" si="345">IFERROR(AL62/AF62-1,"-")</f>
        <v>-0.9396157995</v>
      </c>
      <c r="AO62" s="71">
        <f>($BM$62-($L$62+$P$62))*AO61</f>
        <v>476256.368</v>
      </c>
      <c r="AP62" s="66">
        <v>0.0</v>
      </c>
      <c r="AQ62" s="67">
        <f t="shared" ref="AQ62:AQ65" si="346">IFERROR(AP62-AO62,"-")</f>
        <v>-476256.368</v>
      </c>
      <c r="AR62" s="68">
        <f t="shared" ref="AR62:AR65" si="347">IFERROR(AP62/AO62-1,"-")</f>
        <v>-1</v>
      </c>
      <c r="AS62" s="71">
        <f>($BM$62-($L$62+$P$62))*AS61</f>
        <v>595320.46</v>
      </c>
      <c r="AT62" s="66">
        <v>0.0</v>
      </c>
      <c r="AU62" s="67">
        <f t="shared" ref="AU62:AU65" si="348">IFERROR(AT62-AS62,"-")</f>
        <v>-595320.46</v>
      </c>
      <c r="AV62" s="68">
        <f t="shared" ref="AV62:AV65" si="349">IFERROR(AT62/AS62-1,"-")</f>
        <v>-1</v>
      </c>
      <c r="AW62" s="71">
        <f>($BM$62-($L$62+$P$62))*AW61</f>
        <v>654852.506</v>
      </c>
      <c r="AX62" s="66">
        <v>0.0</v>
      </c>
      <c r="AY62" s="67">
        <f t="shared" ref="AY62:AY65" si="350">IFERROR(AX62-AW62,"-")</f>
        <v>-654852.506</v>
      </c>
      <c r="AZ62" s="68">
        <f t="shared" ref="AZ62:AZ65" si="351">IFERROR(AX62/AW62-1,"-")</f>
        <v>-1</v>
      </c>
      <c r="BA62" s="174">
        <f>($BM$62-($L$62+$P$62))*BA61</f>
        <v>1071576.828</v>
      </c>
      <c r="BB62" s="66">
        <v>0.0</v>
      </c>
      <c r="BC62" s="67">
        <f t="shared" ref="BC62:BC65" si="352">IFERROR(BB62-BA62,"-")</f>
        <v>-1071576.828</v>
      </c>
      <c r="BD62" s="68">
        <f t="shared" ref="BD62:BD65" si="353">IFERROR(BB62/BA62-1,"-")</f>
        <v>-1</v>
      </c>
      <c r="BE62" s="71">
        <f>($BM$62-($L$62+$P$62))*BE61</f>
        <v>1785961.38</v>
      </c>
      <c r="BF62" s="66">
        <v>0.0</v>
      </c>
      <c r="BG62" s="67">
        <f t="shared" ref="BG62:BG65" si="354">IFERROR(BF62-BE62,"-")</f>
        <v>-1785961.38</v>
      </c>
      <c r="BH62" s="68">
        <f t="shared" ref="BH62:BH65" si="355">IFERROR(BF62/BE62-1,"-")</f>
        <v>-1</v>
      </c>
      <c r="BI62" s="71">
        <f>($BM$62-($L$62+$P$62))*BI61</f>
        <v>1071576.828</v>
      </c>
      <c r="BJ62" s="66">
        <v>0.0</v>
      </c>
      <c r="BK62" s="67">
        <f t="shared" ref="BK62:BK65" si="356">IFERROR(BJ62-BI62,"-")</f>
        <v>-1071576.828</v>
      </c>
      <c r="BL62" s="68">
        <f t="shared" ref="BL62:BL65" si="357">IFERROR(BJ62/BI62-1,"-")</f>
        <v>-1</v>
      </c>
      <c r="BM62" s="166">
        <v>6000000.0</v>
      </c>
      <c r="BN62" s="75">
        <f>SUM(M62,Q62,U62,Y62,AC62,AG62,AP62,AT62,AX62,BB62,BF62,BJ62)</f>
        <v>95711.72</v>
      </c>
      <c r="BO62" s="76">
        <f t="shared" ref="BO62:BO65" si="359">IFERROR(BN62/BM62-1,"-")</f>
        <v>-0.9840480467</v>
      </c>
      <c r="BP62" s="77">
        <v>294165.0</v>
      </c>
      <c r="BQ62" s="78">
        <f t="shared" ref="BQ62:BQ63" si="360">BM62/BP62</f>
        <v>20.39671613</v>
      </c>
      <c r="BR62" s="3"/>
      <c r="BS62" s="3"/>
      <c r="BT62" s="3"/>
      <c r="BU62" s="3"/>
      <c r="BV62" s="3"/>
      <c r="BW62" s="3"/>
    </row>
    <row r="63" ht="15.75" customHeight="1">
      <c r="A63" s="1"/>
      <c r="B63" s="105"/>
      <c r="C63" s="106"/>
      <c r="D63" s="107"/>
      <c r="E63" s="144"/>
      <c r="F63" s="109"/>
      <c r="G63" s="110"/>
      <c r="H63" s="111"/>
      <c r="I63" s="140"/>
      <c r="J63" s="50" t="s">
        <v>64</v>
      </c>
      <c r="K63" s="79"/>
      <c r="L63" s="129">
        <f>L62/$K$64</f>
        <v>276.9065217</v>
      </c>
      <c r="M63" s="81">
        <v>239.0</v>
      </c>
      <c r="N63" s="82">
        <f t="shared" si="334"/>
        <v>-37.90652174</v>
      </c>
      <c r="O63" s="68">
        <f t="shared" si="335"/>
        <v>-0.1368928456</v>
      </c>
      <c r="P63" s="129">
        <f>P62/$K$64</f>
        <v>231.7391304</v>
      </c>
      <c r="Q63" s="81">
        <v>177.0</v>
      </c>
      <c r="R63" s="82">
        <f t="shared" si="336"/>
        <v>-54.73913043</v>
      </c>
      <c r="S63" s="70">
        <f t="shared" si="337"/>
        <v>-0.2362101313</v>
      </c>
      <c r="T63" s="84">
        <f>T62/$K$64</f>
        <v>323.5437283</v>
      </c>
      <c r="U63" s="81">
        <v>204.0</v>
      </c>
      <c r="V63" s="82">
        <f t="shared" si="338"/>
        <v>-119.5437283</v>
      </c>
      <c r="W63" s="68">
        <f t="shared" si="339"/>
        <v>-0.3694824465</v>
      </c>
      <c r="X63" s="84">
        <f>X62/$K$64</f>
        <v>323.5437283</v>
      </c>
      <c r="Y63" s="81">
        <v>99.0</v>
      </c>
      <c r="Z63" s="82">
        <f t="shared" si="340"/>
        <v>-224.5437283</v>
      </c>
      <c r="AA63" s="68">
        <f t="shared" si="341"/>
        <v>-0.6940135402</v>
      </c>
      <c r="AB63" s="84">
        <f>AB62/$K$64</f>
        <v>1294.174913</v>
      </c>
      <c r="AC63" s="81">
        <v>103.0</v>
      </c>
      <c r="AD63" s="82">
        <f t="shared" si="342"/>
        <v>-1191.174913</v>
      </c>
      <c r="AE63" s="68">
        <f t="shared" si="343"/>
        <v>-0.9204126127</v>
      </c>
      <c r="AF63" s="84">
        <f>AF62/$K$64</f>
        <v>1294.174913</v>
      </c>
      <c r="AG63" s="85">
        <v>21.0</v>
      </c>
      <c r="AH63" s="85">
        <v>25.0</v>
      </c>
      <c r="AI63" s="85">
        <v>18.0</v>
      </c>
      <c r="AJ63" s="85"/>
      <c r="AK63" s="85"/>
      <c r="AL63" s="286">
        <f t="shared" si="333"/>
        <v>64</v>
      </c>
      <c r="AM63" s="82">
        <f t="shared" si="344"/>
        <v>-1230.174913</v>
      </c>
      <c r="AN63" s="68">
        <f t="shared" si="345"/>
        <v>-0.9505476429</v>
      </c>
      <c r="AO63" s="84">
        <f>AO62/$K$64</f>
        <v>5176.699652</v>
      </c>
      <c r="AP63" s="81">
        <v>0.0</v>
      </c>
      <c r="AQ63" s="82">
        <f t="shared" si="346"/>
        <v>-5176.699652</v>
      </c>
      <c r="AR63" s="68">
        <f t="shared" si="347"/>
        <v>-1</v>
      </c>
      <c r="AS63" s="84">
        <f>AS62/$K$64</f>
        <v>6470.874565</v>
      </c>
      <c r="AT63" s="81">
        <v>0.0</v>
      </c>
      <c r="AU63" s="82">
        <f t="shared" si="348"/>
        <v>-6470.874565</v>
      </c>
      <c r="AV63" s="68">
        <f t="shared" si="349"/>
        <v>-1</v>
      </c>
      <c r="AW63" s="84">
        <f>AW62/$K$64</f>
        <v>7117.962022</v>
      </c>
      <c r="AX63" s="81">
        <v>0.0</v>
      </c>
      <c r="AY63" s="82">
        <f t="shared" si="350"/>
        <v>-7117.962022</v>
      </c>
      <c r="AZ63" s="68">
        <f t="shared" si="351"/>
        <v>-1</v>
      </c>
      <c r="BA63" s="84">
        <f>BA62/$K$64</f>
        <v>11647.57422</v>
      </c>
      <c r="BB63" s="81">
        <v>0.0</v>
      </c>
      <c r="BC63" s="82">
        <f t="shared" si="352"/>
        <v>-11647.57422</v>
      </c>
      <c r="BD63" s="68">
        <f t="shared" si="353"/>
        <v>-1</v>
      </c>
      <c r="BE63" s="84">
        <f>BE62/$K$64</f>
        <v>19412.6237</v>
      </c>
      <c r="BF63" s="81">
        <v>0.0</v>
      </c>
      <c r="BG63" s="82">
        <f t="shared" si="354"/>
        <v>-19412.6237</v>
      </c>
      <c r="BH63" s="68">
        <f t="shared" si="355"/>
        <v>-1</v>
      </c>
      <c r="BI63" s="84">
        <f>BI62/$K$64</f>
        <v>11647.57422</v>
      </c>
      <c r="BJ63" s="81">
        <v>0.0</v>
      </c>
      <c r="BK63" s="82">
        <f t="shared" si="356"/>
        <v>-11647.57422</v>
      </c>
      <c r="BL63" s="68">
        <f t="shared" si="357"/>
        <v>-1</v>
      </c>
      <c r="BM63" s="167">
        <f t="shared" ref="BM63:BN63" si="358">SUM(L63,P63,T63,X63,AB63,AF63,AO63,AS63,AW63,BA63,BE63,BI63)</f>
        <v>65217.3913</v>
      </c>
      <c r="BN63" s="87">
        <f t="shared" si="358"/>
        <v>843</v>
      </c>
      <c r="BO63" s="76">
        <f t="shared" si="359"/>
        <v>-0.987074</v>
      </c>
      <c r="BP63" s="88">
        <v>3683.0</v>
      </c>
      <c r="BQ63" s="78">
        <f t="shared" si="360"/>
        <v>17.70768159</v>
      </c>
      <c r="BR63" s="3"/>
      <c r="BS63" s="3"/>
      <c r="BT63" s="3"/>
      <c r="BU63" s="3"/>
      <c r="BV63" s="3"/>
      <c r="BW63" s="3"/>
    </row>
    <row r="64" ht="15.75" customHeight="1">
      <c r="A64" s="1"/>
      <c r="B64" s="105"/>
      <c r="C64" s="106"/>
      <c r="D64" s="107"/>
      <c r="E64" s="144"/>
      <c r="F64" s="109"/>
      <c r="G64" s="110"/>
      <c r="H64" s="111"/>
      <c r="I64" s="140"/>
      <c r="J64" s="50" t="s">
        <v>65</v>
      </c>
      <c r="K64" s="79">
        <v>92.0</v>
      </c>
      <c r="L64" s="129">
        <f>L62/L63</f>
        <v>92</v>
      </c>
      <c r="M64" s="66">
        <f>IFERROR(M62/M63,"-")</f>
        <v>101.6366527</v>
      </c>
      <c r="N64" s="67">
        <f t="shared" si="334"/>
        <v>9.63665272</v>
      </c>
      <c r="O64" s="68">
        <f t="shared" si="335"/>
        <v>0.1047462252</v>
      </c>
      <c r="P64" s="65">
        <f t="shared" ref="P64:Q64" si="361">IFERROR(P62/P63,"-")</f>
        <v>92</v>
      </c>
      <c r="Q64" s="66">
        <f t="shared" si="361"/>
        <v>114.2348588</v>
      </c>
      <c r="R64" s="67">
        <f t="shared" si="336"/>
        <v>22.23485876</v>
      </c>
      <c r="S64" s="70">
        <f t="shared" si="337"/>
        <v>0.2416832474</v>
      </c>
      <c r="T64" s="84">
        <f>T62/T63</f>
        <v>92</v>
      </c>
      <c r="U64" s="66">
        <f>IFERROR(U62/U63,"-")</f>
        <v>115.6187255</v>
      </c>
      <c r="V64" s="67">
        <f t="shared" si="338"/>
        <v>23.61872549</v>
      </c>
      <c r="W64" s="68">
        <f t="shared" si="339"/>
        <v>0.2567252771</v>
      </c>
      <c r="X64" s="71">
        <f t="shared" ref="X64:Y64" si="362">IFERROR(X62/X63,"-")</f>
        <v>92</v>
      </c>
      <c r="Y64" s="66">
        <f t="shared" si="362"/>
        <v>122.3992929</v>
      </c>
      <c r="Z64" s="67">
        <f t="shared" si="340"/>
        <v>30.39929293</v>
      </c>
      <c r="AA64" s="68">
        <f t="shared" si="341"/>
        <v>0.3304270971</v>
      </c>
      <c r="AB64" s="84">
        <f>AB62/AB63</f>
        <v>92</v>
      </c>
      <c r="AC64" s="66">
        <f>IFERROR(AC62/AC63,"-")</f>
        <v>128.2379612</v>
      </c>
      <c r="AD64" s="67">
        <f t="shared" si="342"/>
        <v>36.23796117</v>
      </c>
      <c r="AE64" s="68">
        <f t="shared" si="343"/>
        <v>0.3938908822</v>
      </c>
      <c r="AF64" s="312">
        <f>AF62/AF63</f>
        <v>92</v>
      </c>
      <c r="AG64" s="296">
        <f t="shared" ref="AG64:AL64" si="363">IFERROR(AG62/AG63,"-")</f>
        <v>108.9871429</v>
      </c>
      <c r="AH64" s="296">
        <f t="shared" si="363"/>
        <v>111.1556</v>
      </c>
      <c r="AI64" s="296">
        <f t="shared" si="363"/>
        <v>117.8872222</v>
      </c>
      <c r="AJ64" s="296" t="str">
        <f t="shared" si="363"/>
        <v>-</v>
      </c>
      <c r="AK64" s="296" t="str">
        <f t="shared" si="363"/>
        <v>-</v>
      </c>
      <c r="AL64" s="298">
        <f t="shared" si="363"/>
        <v>112.3373438</v>
      </c>
      <c r="AM64" s="67">
        <f t="shared" si="344"/>
        <v>20.33734375</v>
      </c>
      <c r="AN64" s="68">
        <f t="shared" si="345"/>
        <v>0.2210580842</v>
      </c>
      <c r="AO64" s="84">
        <f>AO62/AO63</f>
        <v>92</v>
      </c>
      <c r="AP64" s="66" t="str">
        <f>IFERROR(AP62/AP63,"-")</f>
        <v>-</v>
      </c>
      <c r="AQ64" s="67" t="str">
        <f t="shared" si="346"/>
        <v>-</v>
      </c>
      <c r="AR64" s="68" t="str">
        <f t="shared" si="347"/>
        <v>-</v>
      </c>
      <c r="AS64" s="84">
        <f>AS62/AS63</f>
        <v>92</v>
      </c>
      <c r="AT64" s="66" t="str">
        <f>IFERROR(AT62/AT63,"-")</f>
        <v>-</v>
      </c>
      <c r="AU64" s="67" t="str">
        <f t="shared" si="348"/>
        <v>-</v>
      </c>
      <c r="AV64" s="68" t="str">
        <f t="shared" si="349"/>
        <v>-</v>
      </c>
      <c r="AW64" s="84">
        <f>AW62/AW63</f>
        <v>92</v>
      </c>
      <c r="AX64" s="66" t="str">
        <f>IFERROR(AX62/AX63,"-")</f>
        <v>-</v>
      </c>
      <c r="AY64" s="67" t="str">
        <f t="shared" si="350"/>
        <v>-</v>
      </c>
      <c r="AZ64" s="68" t="str">
        <f t="shared" si="351"/>
        <v>-</v>
      </c>
      <c r="BA64" s="84">
        <f>BA62/BA63</f>
        <v>92</v>
      </c>
      <c r="BB64" s="66" t="str">
        <f>IFERROR(BB62/BB63,"-")</f>
        <v>-</v>
      </c>
      <c r="BC64" s="67" t="str">
        <f t="shared" si="352"/>
        <v>-</v>
      </c>
      <c r="BD64" s="68" t="str">
        <f t="shared" si="353"/>
        <v>-</v>
      </c>
      <c r="BE64" s="84">
        <f>BE62/BE63</f>
        <v>92</v>
      </c>
      <c r="BF64" s="66" t="str">
        <f>IFERROR(BF62/BF63,"-")</f>
        <v>-</v>
      </c>
      <c r="BG64" s="67" t="str">
        <f t="shared" si="354"/>
        <v>-</v>
      </c>
      <c r="BH64" s="68" t="str">
        <f t="shared" si="355"/>
        <v>-</v>
      </c>
      <c r="BI64" s="84">
        <f>BI62/BI63</f>
        <v>92</v>
      </c>
      <c r="BJ64" s="66" t="str">
        <f>IFERROR(BJ62/BJ63,"-")</f>
        <v>-</v>
      </c>
      <c r="BK64" s="67" t="str">
        <f t="shared" si="356"/>
        <v>-</v>
      </c>
      <c r="BL64" s="68" t="str">
        <f t="shared" si="357"/>
        <v>-</v>
      </c>
      <c r="BM64" s="168">
        <f t="shared" ref="BM64:BN64" si="364">BM62/BM63</f>
        <v>92</v>
      </c>
      <c r="BN64" s="90">
        <f t="shared" si="364"/>
        <v>113.5370344</v>
      </c>
      <c r="BO64" s="76">
        <f t="shared" si="359"/>
        <v>0.2340982</v>
      </c>
      <c r="BP64" s="88">
        <f>BP62/BP63</f>
        <v>79.87102905</v>
      </c>
      <c r="BQ64" s="78">
        <f>BM64/BP64-1</f>
        <v>0.151856951</v>
      </c>
      <c r="BR64" s="3"/>
      <c r="BS64" s="3"/>
      <c r="BT64" s="3"/>
      <c r="BU64" s="3"/>
      <c r="BV64" s="3"/>
      <c r="BW64" s="3"/>
    </row>
    <row r="65" ht="15.75" customHeight="1">
      <c r="A65" s="1"/>
      <c r="B65" s="105"/>
      <c r="C65" s="106"/>
      <c r="D65" s="107"/>
      <c r="E65" s="144"/>
      <c r="F65" s="109"/>
      <c r="G65" s="110"/>
      <c r="H65" s="111"/>
      <c r="I65" s="140"/>
      <c r="J65" s="91" t="s">
        <v>66</v>
      </c>
      <c r="K65" s="92">
        <v>0.0325</v>
      </c>
      <c r="L65" s="99">
        <f>IF(L63=0, 0, (MIN(L63, 10000) * 0.0325 + MAX(0, MIN(L63, 25000) - 10000) * 0.03 + MAX(0, MIN(L63, 50000) - 25000) * 0.0275 + MAX(0, L63 - 50000) * 0.025) * (L62 / L63))</f>
        <v>827.9505</v>
      </c>
      <c r="M65" s="94">
        <f>MIN(M62, 500000) * 0.03 + MAX(0, MIN(M62, 1000000) - 500000) * 0.025 + MAX(0, MIN(M62, 2000000) - 1000000) * 0.0225 + MAX(0, MIN(M62, 3000000) - 2000000) * 0.02 + MAX(0, MIN(M62, 5000000) - 3000000) * 0.0175 + MAX(0, M62 - 5000000) * 0.015</f>
        <v>728.7348</v>
      </c>
      <c r="N65" s="95">
        <f t="shared" si="334"/>
        <v>-99.2157</v>
      </c>
      <c r="O65" s="96">
        <f t="shared" si="335"/>
        <v>-0.1198328886</v>
      </c>
      <c r="P65" s="99">
        <f t="shared" ref="P65:Q65" si="365">IF(P63=0, 0, (MIN(P63, 10000) * 0.0325 + MAX(0, MIN(P63, 25000) - 10000) * 0.03 + MAX(0, MIN(P63, 50000) - 25000) * 0.0275 + MAX(0, P63 - 50000) * 0.025) * (P62 / P63))</f>
        <v>692.9</v>
      </c>
      <c r="Q65" s="94">
        <f t="shared" si="365"/>
        <v>657.136025</v>
      </c>
      <c r="R65" s="95">
        <f t="shared" si="336"/>
        <v>-35.763975</v>
      </c>
      <c r="S65" s="98">
        <f t="shared" si="337"/>
        <v>-0.05161491557</v>
      </c>
      <c r="T65" s="99">
        <f t="shared" ref="T65:U65" si="366">IF(T63=0, 0, (MIN(T63, 10000) * 0.0325 + MAX(0, MIN(T63, 25000) - 10000) * 0.03 + MAX(0, MIN(T63, 50000) - 25000) * 0.0275 + MAX(0, T63 - 50000) * 0.025) * (T62 / T63))</f>
        <v>967.3957475</v>
      </c>
      <c r="U65" s="94">
        <f t="shared" si="366"/>
        <v>766.55215</v>
      </c>
      <c r="V65" s="95">
        <f t="shared" si="338"/>
        <v>-200.8435975</v>
      </c>
      <c r="W65" s="96">
        <f t="shared" si="339"/>
        <v>-0.2076126529</v>
      </c>
      <c r="X65" s="99">
        <f t="shared" ref="X65:Y65" si="367">IF(X63=0, 0, (MIN(X63, 10000) * 0.0325 + MAX(0, MIN(X63, 25000) - 10000) * 0.03 + MAX(0, MIN(X63, 50000) - 25000) * 0.0275 + MAX(0, X63 - 50000) * 0.025) * (X62 / X63))</f>
        <v>967.3957475</v>
      </c>
      <c r="Y65" s="94">
        <f t="shared" si="367"/>
        <v>393.819725</v>
      </c>
      <c r="Z65" s="95">
        <f t="shared" si="340"/>
        <v>-573.5760225</v>
      </c>
      <c r="AA65" s="96">
        <f t="shared" si="341"/>
        <v>-0.5929073226</v>
      </c>
      <c r="AB65" s="99">
        <f t="shared" ref="AB65:AC65" si="368">IF(AB63=0, 0, (MIN(AB63, 10000) * 0.0325 + MAX(0, MIN(AB63, 25000) - 10000) * 0.03 + MAX(0, MIN(AB63, 50000) - 25000) * 0.0275 + MAX(0, AB63 - 50000) * 0.025) * (AB62 / AB63))</f>
        <v>3869.58299</v>
      </c>
      <c r="AC65" s="94">
        <f t="shared" si="368"/>
        <v>429.276575</v>
      </c>
      <c r="AD65" s="95">
        <f t="shared" si="342"/>
        <v>-3440.306415</v>
      </c>
      <c r="AE65" s="299">
        <f t="shared" si="343"/>
        <v>-0.8890638665</v>
      </c>
      <c r="AF65" s="300">
        <f t="shared" ref="AF65:AL65" si="369">IF(AF63=0, 0, (MIN(AF63, 10000) * 0.0325 + MAX(0, MIN(AF63, 25000) - 10000) * 0.03 + MAX(0, MIN(AF63, 50000) - 25000) * 0.0275 + MAX(0, AF63 - 50000) * 0.025) * (AF62 / AF63))</f>
        <v>3869.58299</v>
      </c>
      <c r="AG65" s="301">
        <f t="shared" si="369"/>
        <v>74.383725</v>
      </c>
      <c r="AH65" s="301">
        <f t="shared" si="369"/>
        <v>90.313925</v>
      </c>
      <c r="AI65" s="301">
        <f t="shared" si="369"/>
        <v>68.964025</v>
      </c>
      <c r="AJ65" s="301">
        <f t="shared" si="369"/>
        <v>0</v>
      </c>
      <c r="AK65" s="301">
        <f t="shared" si="369"/>
        <v>0</v>
      </c>
      <c r="AL65" s="302">
        <f t="shared" si="369"/>
        <v>233.661675</v>
      </c>
      <c r="AM65" s="311">
        <f t="shared" si="344"/>
        <v>-3635.921315</v>
      </c>
      <c r="AN65" s="96">
        <f t="shared" si="345"/>
        <v>-0.9396157995</v>
      </c>
      <c r="AO65" s="99">
        <f t="shared" ref="AO65:AP65" si="370">IF(AO63=0, 0, (MIN(AO63, 10000) * 0.0325 + MAX(0, MIN(AO63, 25000) - 10000) * 0.03 + MAX(0, MIN(AO63, 50000) - 25000) * 0.0275 + MAX(0, AO63 - 50000) * 0.025) * (AO62 / AO63))</f>
        <v>15478.33196</v>
      </c>
      <c r="AP65" s="94">
        <f t="shared" si="370"/>
        <v>0</v>
      </c>
      <c r="AQ65" s="95">
        <f t="shared" si="346"/>
        <v>-15478.33196</v>
      </c>
      <c r="AR65" s="96">
        <f t="shared" si="347"/>
        <v>-1</v>
      </c>
      <c r="AS65" s="99">
        <f t="shared" ref="AS65:AT65" si="371">IF(AS63=0, 0, (MIN(AS63, 10000) * 0.0325 + MAX(0, MIN(AS63, 25000) - 10000) * 0.03 + MAX(0, MIN(AS63, 50000) - 25000) * 0.0275 + MAX(0, AS63 - 50000) * 0.025) * (AS62 / AS63))</f>
        <v>19347.91495</v>
      </c>
      <c r="AT65" s="94">
        <f t="shared" si="371"/>
        <v>0</v>
      </c>
      <c r="AU65" s="95">
        <f t="shared" si="348"/>
        <v>-19347.91495</v>
      </c>
      <c r="AV65" s="96">
        <f t="shared" si="349"/>
        <v>-1</v>
      </c>
      <c r="AW65" s="99">
        <f t="shared" ref="AW65:AX65" si="372">IF(AW63=0, 0, (MIN(AW63, 10000) * 0.0325 + MAX(0, MIN(AW63, 25000) - 10000) * 0.03 + MAX(0, MIN(AW63, 50000) - 25000) * 0.0275 + MAX(0, AW63 - 50000) * 0.025) * (AW62 / AW63))</f>
        <v>21282.70645</v>
      </c>
      <c r="AX65" s="94">
        <f t="shared" si="372"/>
        <v>0</v>
      </c>
      <c r="AY65" s="95">
        <f t="shared" si="350"/>
        <v>-21282.70645</v>
      </c>
      <c r="AZ65" s="96">
        <f t="shared" si="351"/>
        <v>-1</v>
      </c>
      <c r="BA65" s="99">
        <f t="shared" ref="BA65:BB65" si="373">IF(BA63=0, 0, (MIN(BA63, 10000) * 0.0325 + MAX(0, MIN(BA63, 25000) - 10000) * 0.03 + MAX(0, MIN(BA63, 50000) - 25000) * 0.0275 + MAX(0, BA63 - 50000) * 0.025) * (BA62 / BA63))</f>
        <v>34447.30484</v>
      </c>
      <c r="BB65" s="94">
        <f t="shared" si="373"/>
        <v>0</v>
      </c>
      <c r="BC65" s="95">
        <f t="shared" si="352"/>
        <v>-34447.30484</v>
      </c>
      <c r="BD65" s="96">
        <f t="shared" si="353"/>
        <v>-1</v>
      </c>
      <c r="BE65" s="99">
        <f t="shared" ref="BE65:BF65" si="374">IF(BE63=0, 0, (MIN(BE63, 10000) * 0.0325 + MAX(0, MIN(BE63, 25000) - 10000) * 0.03 + MAX(0, MIN(BE63, 50000) - 25000) * 0.0275 + MAX(0, BE63 - 50000) * 0.025) * (BE62 / BE63))</f>
        <v>55878.8414</v>
      </c>
      <c r="BF65" s="94">
        <f t="shared" si="374"/>
        <v>0</v>
      </c>
      <c r="BG65" s="95">
        <f t="shared" si="354"/>
        <v>-55878.8414</v>
      </c>
      <c r="BH65" s="96">
        <f t="shared" si="355"/>
        <v>-1</v>
      </c>
      <c r="BI65" s="99">
        <f t="shared" ref="BI65:BJ65" si="375">IF(BI63=0, 0, (MIN(BI63, 10000) * 0.0325 + MAX(0, MIN(BI63, 25000) - 10000) * 0.03 + MAX(0, MIN(BI63, 50000) - 25000) * 0.0275 + MAX(0, BI63 - 50000) * 0.025) * (BI62 / BI63))</f>
        <v>34447.30484</v>
      </c>
      <c r="BJ65" s="94">
        <f t="shared" si="375"/>
        <v>0</v>
      </c>
      <c r="BK65" s="95">
        <f t="shared" si="356"/>
        <v>-34447.30484</v>
      </c>
      <c r="BL65" s="96">
        <f t="shared" si="357"/>
        <v>-1</v>
      </c>
      <c r="BM65" s="169">
        <f t="shared" ref="BM65:BN65" si="376">SUM(L65,P65,T65,X65,AB65,AF65,AO65,AS65,AW65,BA65,BE65,BI65)</f>
        <v>192077.2124</v>
      </c>
      <c r="BN65" s="101">
        <f t="shared" si="376"/>
        <v>3049.903</v>
      </c>
      <c r="BO65" s="102">
        <f t="shared" si="359"/>
        <v>-0.9841214741</v>
      </c>
      <c r="BP65" s="103">
        <f>BP62*0.0325</f>
        <v>9560.3625</v>
      </c>
      <c r="BQ65" s="104">
        <f>BM65/BP65</f>
        <v>20.0909968</v>
      </c>
      <c r="BR65" s="3"/>
      <c r="BS65" s="3"/>
      <c r="BT65" s="3"/>
      <c r="BU65" s="3"/>
      <c r="BV65" s="3"/>
      <c r="BW65" s="3"/>
    </row>
    <row r="66" ht="15.75" customHeight="1">
      <c r="A66" s="1"/>
      <c r="B66" s="105"/>
      <c r="C66" s="106"/>
      <c r="D66" s="107"/>
      <c r="E66" s="144"/>
      <c r="F66" s="109"/>
      <c r="G66" s="110"/>
      <c r="H66" s="111"/>
      <c r="I66" s="112"/>
      <c r="J66" s="13"/>
      <c r="K66" s="175"/>
      <c r="L66" s="136"/>
      <c r="M66" s="136"/>
      <c r="N66" s="136"/>
      <c r="O66" s="136"/>
      <c r="P66" s="136"/>
      <c r="Q66" s="160"/>
      <c r="R66" s="136"/>
      <c r="S66" s="136"/>
      <c r="T66" s="136"/>
      <c r="U66" s="136"/>
      <c r="V66" s="136"/>
      <c r="W66" s="136"/>
      <c r="X66" s="137"/>
      <c r="Y66" s="14"/>
      <c r="Z66" s="15"/>
      <c r="AA66" s="3"/>
      <c r="AB66" s="3"/>
      <c r="AC66" s="3"/>
      <c r="AD66" s="3"/>
      <c r="AE66" s="3"/>
      <c r="AF66" s="3"/>
      <c r="AV66" s="138"/>
      <c r="AW66" s="25"/>
      <c r="AX66" s="139"/>
      <c r="AY66" s="25"/>
    </row>
    <row r="67" ht="15.75" customHeight="1">
      <c r="A67" s="1"/>
      <c r="B67" s="105"/>
      <c r="C67" s="106"/>
      <c r="D67" s="107"/>
      <c r="E67" s="144"/>
      <c r="F67" s="109"/>
      <c r="G67" s="110"/>
      <c r="H67" s="111"/>
      <c r="I67" s="112"/>
      <c r="J67" s="34" t="s">
        <v>83</v>
      </c>
      <c r="K67" s="35"/>
      <c r="L67" s="36" t="s">
        <v>10</v>
      </c>
      <c r="M67" s="37" t="s">
        <v>11</v>
      </c>
      <c r="N67" s="38" t="s">
        <v>12</v>
      </c>
      <c r="O67" s="39" t="s">
        <v>13</v>
      </c>
      <c r="P67" s="119" t="s">
        <v>14</v>
      </c>
      <c r="Q67" s="152" t="s">
        <v>15</v>
      </c>
      <c r="R67" s="38" t="s">
        <v>16</v>
      </c>
      <c r="S67" s="42" t="s">
        <v>17</v>
      </c>
      <c r="T67" s="43" t="s">
        <v>18</v>
      </c>
      <c r="U67" s="152" t="s">
        <v>19</v>
      </c>
      <c r="V67" s="38" t="s">
        <v>20</v>
      </c>
      <c r="W67" s="45" t="s">
        <v>21</v>
      </c>
      <c r="X67" s="44" t="s">
        <v>22</v>
      </c>
      <c r="Y67" s="152" t="s">
        <v>23</v>
      </c>
      <c r="Z67" s="38" t="s">
        <v>24</v>
      </c>
      <c r="AA67" s="45" t="s">
        <v>25</v>
      </c>
      <c r="AB67" s="43" t="s">
        <v>26</v>
      </c>
      <c r="AC67" s="152" t="s">
        <v>27</v>
      </c>
      <c r="AD67" s="38" t="s">
        <v>28</v>
      </c>
      <c r="AE67" s="45" t="s">
        <v>29</v>
      </c>
      <c r="AF67" s="44" t="s">
        <v>30</v>
      </c>
      <c r="AG67" s="261" t="s">
        <v>107</v>
      </c>
      <c r="AH67" s="262" t="s">
        <v>108</v>
      </c>
      <c r="AI67" s="262" t="s">
        <v>109</v>
      </c>
      <c r="AJ67" s="262" t="s">
        <v>110</v>
      </c>
      <c r="AK67" s="262" t="s">
        <v>111</v>
      </c>
      <c r="AL67" s="262" t="s">
        <v>31</v>
      </c>
      <c r="AM67" s="38" t="s">
        <v>32</v>
      </c>
      <c r="AN67" s="45" t="s">
        <v>33</v>
      </c>
      <c r="AO67" s="43" t="s">
        <v>34</v>
      </c>
      <c r="AP67" s="152" t="s">
        <v>35</v>
      </c>
      <c r="AQ67" s="38" t="s">
        <v>36</v>
      </c>
      <c r="AR67" s="45" t="s">
        <v>37</v>
      </c>
      <c r="AS67" s="44" t="s">
        <v>38</v>
      </c>
      <c r="AT67" s="152" t="s">
        <v>39</v>
      </c>
      <c r="AU67" s="38" t="s">
        <v>40</v>
      </c>
      <c r="AV67" s="45" t="s">
        <v>41</v>
      </c>
      <c r="AW67" s="43" t="s">
        <v>42</v>
      </c>
      <c r="AX67" s="152" t="s">
        <v>43</v>
      </c>
      <c r="AY67" s="38" t="s">
        <v>44</v>
      </c>
      <c r="AZ67" s="45" t="s">
        <v>45</v>
      </c>
      <c r="BA67" s="44" t="s">
        <v>46</v>
      </c>
      <c r="BB67" s="152" t="s">
        <v>47</v>
      </c>
      <c r="BC67" s="38" t="s">
        <v>48</v>
      </c>
      <c r="BD67" s="45" t="s">
        <v>49</v>
      </c>
      <c r="BE67" s="43" t="s">
        <v>50</v>
      </c>
      <c r="BF67" s="152" t="s">
        <v>51</v>
      </c>
      <c r="BG67" s="38" t="s">
        <v>52</v>
      </c>
      <c r="BH67" s="45" t="s">
        <v>53</v>
      </c>
      <c r="BI67" s="44" t="s">
        <v>54</v>
      </c>
      <c r="BJ67" s="152" t="s">
        <v>55</v>
      </c>
      <c r="BK67" s="38" t="s">
        <v>56</v>
      </c>
      <c r="BL67" s="45" t="s">
        <v>57</v>
      </c>
      <c r="BM67" s="122">
        <v>2026.0</v>
      </c>
      <c r="BN67" s="37" t="s">
        <v>58</v>
      </c>
      <c r="BO67" s="47" t="s">
        <v>59</v>
      </c>
      <c r="BP67" s="48">
        <v>2025.0</v>
      </c>
      <c r="BQ67" s="49"/>
      <c r="BR67" s="3"/>
      <c r="BS67" s="3"/>
      <c r="BT67" s="3"/>
      <c r="BU67" s="3"/>
      <c r="BV67" s="3"/>
      <c r="BW67" s="3"/>
    </row>
    <row r="68" ht="15.75" customHeight="1">
      <c r="A68" s="1"/>
      <c r="B68" s="105"/>
      <c r="C68" s="106"/>
      <c r="D68" s="107"/>
      <c r="E68" s="144"/>
      <c r="F68" s="109"/>
      <c r="G68" s="110"/>
      <c r="H68" s="111"/>
      <c r="I68" s="112"/>
      <c r="J68" s="263" t="s">
        <v>112</v>
      </c>
      <c r="K68" s="264"/>
      <c r="L68" s="265"/>
      <c r="M68" s="266"/>
      <c r="N68" s="267"/>
      <c r="O68" s="268"/>
      <c r="P68" s="265"/>
      <c r="Q68" s="307"/>
      <c r="R68" s="267"/>
      <c r="S68" s="270"/>
      <c r="T68" s="271"/>
      <c r="U68" s="272"/>
      <c r="V68" s="267"/>
      <c r="W68" s="268"/>
      <c r="X68" s="271"/>
      <c r="Y68" s="272"/>
      <c r="Z68" s="267"/>
      <c r="AA68" s="268"/>
      <c r="AB68" s="271"/>
      <c r="AC68" s="272"/>
      <c r="AD68" s="267"/>
      <c r="AE68" s="268"/>
      <c r="AF68" s="271"/>
      <c r="AG68" s="273">
        <f t="shared" ref="AG68:AK68" si="377">$AF$69/5</f>
        <v>0.008</v>
      </c>
      <c r="AH68" s="273">
        <f t="shared" si="377"/>
        <v>0.008</v>
      </c>
      <c r="AI68" s="273">
        <f t="shared" si="377"/>
        <v>0.008</v>
      </c>
      <c r="AJ68" s="273">
        <f t="shared" si="377"/>
        <v>0.008</v>
      </c>
      <c r="AK68" s="273">
        <f t="shared" si="377"/>
        <v>0.008</v>
      </c>
      <c r="AL68" s="273"/>
      <c r="AM68" s="267"/>
      <c r="AN68" s="268"/>
      <c r="AO68" s="271"/>
      <c r="AP68" s="272"/>
      <c r="AQ68" s="267"/>
      <c r="AR68" s="268"/>
      <c r="AS68" s="271"/>
      <c r="AT68" s="272"/>
      <c r="AU68" s="267"/>
      <c r="AV68" s="268"/>
      <c r="AW68" s="271"/>
      <c r="AX68" s="272"/>
      <c r="AY68" s="267"/>
      <c r="AZ68" s="268"/>
      <c r="BA68" s="271"/>
      <c r="BB68" s="272"/>
      <c r="BC68" s="267"/>
      <c r="BD68" s="268"/>
      <c r="BE68" s="271"/>
      <c r="BF68" s="272"/>
      <c r="BG68" s="267"/>
      <c r="BH68" s="268"/>
      <c r="BI68" s="271"/>
      <c r="BJ68" s="272"/>
      <c r="BK68" s="267"/>
      <c r="BL68" s="268"/>
      <c r="BM68" s="314"/>
      <c r="BN68" s="276"/>
      <c r="BO68" s="277"/>
      <c r="BP68" s="278"/>
      <c r="BQ68" s="64"/>
      <c r="BR68" s="3"/>
      <c r="BS68" s="3"/>
      <c r="BT68" s="3"/>
      <c r="BU68" s="3"/>
      <c r="BV68" s="3"/>
      <c r="BW68" s="3"/>
    </row>
    <row r="69" ht="15.75" customHeight="1">
      <c r="A69" s="1"/>
      <c r="B69" s="105">
        <v>10.0</v>
      </c>
      <c r="C69" s="106" t="s">
        <v>84</v>
      </c>
      <c r="D69" s="107">
        <f>3000*12*8</f>
        <v>288000</v>
      </c>
      <c r="E69" s="144">
        <v>100.0</v>
      </c>
      <c r="F69" s="109">
        <f>E69*D69</f>
        <v>28800000</v>
      </c>
      <c r="G69" s="110">
        <v>195455.89999999918</v>
      </c>
      <c r="H69" s="111">
        <v>1727.0</v>
      </c>
      <c r="I69" s="112">
        <v>113.17654892877775</v>
      </c>
      <c r="J69" s="50" t="s">
        <v>61</v>
      </c>
      <c r="K69" s="51"/>
      <c r="L69" s="52" t="s">
        <v>60</v>
      </c>
      <c r="M69" s="53" t="s">
        <v>60</v>
      </c>
      <c r="N69" s="54" t="s">
        <v>60</v>
      </c>
      <c r="O69" s="55" t="s">
        <v>62</v>
      </c>
      <c r="P69" s="52" t="s">
        <v>60</v>
      </c>
      <c r="Q69" s="154" t="s">
        <v>60</v>
      </c>
      <c r="R69" s="54" t="s">
        <v>60</v>
      </c>
      <c r="S69" s="57" t="s">
        <v>62</v>
      </c>
      <c r="T69" s="58">
        <v>0.015</v>
      </c>
      <c r="U69" s="59">
        <f>U70/(BM70-(L70 + P70))</f>
        <v>0.01945941389</v>
      </c>
      <c r="V69" s="54" t="s">
        <v>60</v>
      </c>
      <c r="W69" s="55" t="s">
        <v>62</v>
      </c>
      <c r="X69" s="58">
        <v>0.015</v>
      </c>
      <c r="Y69" s="59">
        <f>Y70/(BM70-(P70 + T70))</f>
        <v>0.0175620812</v>
      </c>
      <c r="Z69" s="54" t="s">
        <v>60</v>
      </c>
      <c r="AA69" s="55" t="s">
        <v>62</v>
      </c>
      <c r="AB69" s="58">
        <v>0.02</v>
      </c>
      <c r="AC69" s="59">
        <f>AC70/(BM70-(L70+P70))</f>
        <v>0.01496113121</v>
      </c>
      <c r="AD69" s="54" t="s">
        <v>60</v>
      </c>
      <c r="AE69" s="55" t="s">
        <v>62</v>
      </c>
      <c r="AF69" s="58">
        <v>0.04</v>
      </c>
      <c r="AG69" s="61">
        <f t="shared" ref="AG69:AK69" si="378">AG70/($BM$70-($L$70+$P$70))</f>
        <v>0.002990010504</v>
      </c>
      <c r="AH69" s="61">
        <f t="shared" si="378"/>
        <v>0.002577303394</v>
      </c>
      <c r="AI69" s="61">
        <f t="shared" si="378"/>
        <v>0.002760286285</v>
      </c>
      <c r="AJ69" s="61">
        <f t="shared" si="378"/>
        <v>0</v>
      </c>
      <c r="AK69" s="61">
        <f t="shared" si="378"/>
        <v>0</v>
      </c>
      <c r="AL69" s="279">
        <f t="shared" ref="AL69:AL71" si="380">SUM(AG69:AK69)</f>
        <v>0.008327600183</v>
      </c>
      <c r="AM69" s="280">
        <f>AL69-AF69</f>
        <v>-0.03167239982</v>
      </c>
      <c r="AN69" s="55" t="s">
        <v>62</v>
      </c>
      <c r="AO69" s="58">
        <v>0.06</v>
      </c>
      <c r="AP69" s="59">
        <f>AP70/(BM70-(L70+P70))</f>
        <v>0</v>
      </c>
      <c r="AQ69" s="54" t="s">
        <v>60</v>
      </c>
      <c r="AR69" s="55" t="s">
        <v>62</v>
      </c>
      <c r="AS69" s="58">
        <v>0.12</v>
      </c>
      <c r="AT69" s="59">
        <f>AT70/(BM70-(L70+P70))</f>
        <v>0</v>
      </c>
      <c r="AU69" s="54" t="s">
        <v>60</v>
      </c>
      <c r="AV69" s="55" t="s">
        <v>62</v>
      </c>
      <c r="AW69" s="58">
        <v>0.15</v>
      </c>
      <c r="AX69" s="59">
        <f>AX70/(BM70-(L70+P70))</f>
        <v>0</v>
      </c>
      <c r="AY69" s="54" t="s">
        <v>60</v>
      </c>
      <c r="AZ69" s="55" t="s">
        <v>62</v>
      </c>
      <c r="BA69" s="58">
        <v>0.18</v>
      </c>
      <c r="BB69" s="59">
        <f>BB70/(BM70-(L70+P70))</f>
        <v>0</v>
      </c>
      <c r="BC69" s="54" t="s">
        <v>60</v>
      </c>
      <c r="BD69" s="55" t="s">
        <v>62</v>
      </c>
      <c r="BE69" s="58">
        <v>0.22</v>
      </c>
      <c r="BF69" s="59">
        <f>BF70/(BM70-(L70+P70))</f>
        <v>0</v>
      </c>
      <c r="BG69" s="54" t="s">
        <v>60</v>
      </c>
      <c r="BH69" s="55" t="s">
        <v>62</v>
      </c>
      <c r="BI69" s="58">
        <v>0.18</v>
      </c>
      <c r="BJ69" s="59">
        <f>BJ70/(BM70-(L70+P70))</f>
        <v>0</v>
      </c>
      <c r="BK69" s="54" t="s">
        <v>60</v>
      </c>
      <c r="BL69" s="55" t="s">
        <v>62</v>
      </c>
      <c r="BM69" s="165">
        <f t="shared" ref="BM69:BN69" si="379">SUM(T69,X69,AB69,AF69,AO69,AS69,AW69,BA69,BE69,BI69)</f>
        <v>1</v>
      </c>
      <c r="BN69" s="61">
        <f t="shared" si="379"/>
        <v>0.05497263681</v>
      </c>
      <c r="BO69" s="62"/>
      <c r="BP69" s="63" t="s">
        <v>60</v>
      </c>
      <c r="BQ69" s="64"/>
      <c r="BR69" s="3"/>
      <c r="BS69" s="3"/>
      <c r="BT69" s="3"/>
      <c r="BU69" s="3"/>
      <c r="BV69" s="3"/>
      <c r="BW69" s="3"/>
    </row>
    <row r="70" ht="15.75" customHeight="1">
      <c r="A70" s="1"/>
      <c r="B70" s="105"/>
      <c r="C70" s="106"/>
      <c r="D70" s="107"/>
      <c r="E70" s="144"/>
      <c r="F70" s="109"/>
      <c r="G70" s="110"/>
      <c r="H70" s="111"/>
      <c r="I70" s="112"/>
      <c r="J70" s="50" t="s">
        <v>63</v>
      </c>
      <c r="K70" s="51"/>
      <c r="L70" s="127">
        <v>159323.5</v>
      </c>
      <c r="M70" s="66">
        <v>166359.97</v>
      </c>
      <c r="N70" s="67">
        <f t="shared" ref="N70:N73" si="381">IFERROR(M70-L70,"-")</f>
        <v>7036.47</v>
      </c>
      <c r="O70" s="68">
        <f t="shared" ref="O70:O73" si="382">IFERROR(M70/L70-1,"-")</f>
        <v>0.04416467125</v>
      </c>
      <c r="P70" s="127">
        <v>163059.0</v>
      </c>
      <c r="Q70" s="66">
        <v>168706.64</v>
      </c>
      <c r="R70" s="67">
        <f t="shared" ref="R70:R73" si="383">IFERROR(Q70-P70,"-")</f>
        <v>5647.64</v>
      </c>
      <c r="S70" s="70">
        <f t="shared" ref="S70:S73" si="384">IFERROR(Q70/P70-1,"-")</f>
        <v>0.03463556136</v>
      </c>
      <c r="T70" s="71">
        <f>($BM$70-($L$70+$P$70))*T69</f>
        <v>205164.2625</v>
      </c>
      <c r="U70" s="66">
        <v>266158.42</v>
      </c>
      <c r="V70" s="67">
        <f t="shared" ref="V70:V73" si="385">IFERROR(U70-T70,"-")</f>
        <v>60994.1575</v>
      </c>
      <c r="W70" s="68">
        <f t="shared" ref="W70:W73" si="386">IFERROR(U70/T70-1,"-")</f>
        <v>0.2972942595</v>
      </c>
      <c r="X70" s="71">
        <f>($BM$70-($L$70+$P$70))*X69</f>
        <v>205164.2625</v>
      </c>
      <c r="Y70" s="66">
        <v>239402.37</v>
      </c>
      <c r="Z70" s="67">
        <f t="shared" ref="Z70:Z73" si="387">IFERROR(Y70-X70,"-")</f>
        <v>34238.1075</v>
      </c>
      <c r="AA70" s="68">
        <f t="shared" ref="AA70:AA73" si="388">IFERROR(Y70/X70-1,"-")</f>
        <v>0.1668814397</v>
      </c>
      <c r="AB70" s="71">
        <f>($BM$70-($L$70+$P$70))*AB69</f>
        <v>273552.35</v>
      </c>
      <c r="AC70" s="66">
        <v>204632.63</v>
      </c>
      <c r="AD70" s="67">
        <f t="shared" ref="AD70:AD73" si="389">IFERROR(AC70-AB70,"-")</f>
        <v>-68919.72</v>
      </c>
      <c r="AE70" s="68">
        <f t="shared" ref="AE70:AE73" si="390">IFERROR(AC70/AB70-1,"-")</f>
        <v>-0.2519434397</v>
      </c>
      <c r="AF70" s="71">
        <f>($BM$70-($L$70+$P$70))*AF69</f>
        <v>547104.7</v>
      </c>
      <c r="AG70" s="73">
        <v>40896.22</v>
      </c>
      <c r="AH70" s="73">
        <v>35251.37</v>
      </c>
      <c r="AI70" s="73">
        <v>37754.14</v>
      </c>
      <c r="AJ70" s="73"/>
      <c r="AK70" s="73"/>
      <c r="AL70" s="283">
        <f t="shared" si="380"/>
        <v>113901.73</v>
      </c>
      <c r="AM70" s="67">
        <f t="shared" ref="AM70:AM73" si="391">IFERROR(AL70-AF70,"-")</f>
        <v>-433202.97</v>
      </c>
      <c r="AN70" s="68">
        <f t="shared" ref="AN70:AN73" si="392">IFERROR(AL70/AF70-1,"-")</f>
        <v>-0.7918099954</v>
      </c>
      <c r="AO70" s="71">
        <f>($BM$70-($L$70+$P$70))*AO69</f>
        <v>820657.05</v>
      </c>
      <c r="AP70" s="66">
        <v>0.0</v>
      </c>
      <c r="AQ70" s="67">
        <f t="shared" ref="AQ70:AQ73" si="393">IFERROR(AP70-AO70,"-")</f>
        <v>-820657.05</v>
      </c>
      <c r="AR70" s="68">
        <f t="shared" ref="AR70:AR73" si="394">IFERROR(AP70/AO70-1,"-")</f>
        <v>-1</v>
      </c>
      <c r="AS70" s="71">
        <f>($BM$70-($L$70+$P$70))*AS69</f>
        <v>1641314.1</v>
      </c>
      <c r="AT70" s="66">
        <v>0.0</v>
      </c>
      <c r="AU70" s="67">
        <f t="shared" ref="AU70:AU73" si="395">IFERROR(AT70-AS70,"-")</f>
        <v>-1641314.1</v>
      </c>
      <c r="AV70" s="68">
        <f t="shared" ref="AV70:AV73" si="396">IFERROR(AT70/AS70-1,"-")</f>
        <v>-1</v>
      </c>
      <c r="AW70" s="71">
        <f>($BM$70-($L$70+$P$70))*AW69</f>
        <v>2051642.625</v>
      </c>
      <c r="AX70" s="66">
        <v>0.0</v>
      </c>
      <c r="AY70" s="67">
        <f t="shared" ref="AY70:AY73" si="397">IFERROR(AX70-AW70,"-")</f>
        <v>-2051642.625</v>
      </c>
      <c r="AZ70" s="68">
        <f t="shared" ref="AZ70:AZ73" si="398">IFERROR(AX70/AW70-1,"-")</f>
        <v>-1</v>
      </c>
      <c r="BA70" s="71">
        <f>($BM$70-($L$70+$P$70))*BA69</f>
        <v>2461971.15</v>
      </c>
      <c r="BB70" s="66">
        <v>0.0</v>
      </c>
      <c r="BC70" s="67">
        <f t="shared" ref="BC70:BC73" si="399">IFERROR(BB70-BA70,"-")</f>
        <v>-2461971.15</v>
      </c>
      <c r="BD70" s="68">
        <f t="shared" ref="BD70:BD73" si="400">IFERROR(BB70/BA70-1,"-")</f>
        <v>-1</v>
      </c>
      <c r="BE70" s="71">
        <f>($BM$70-($L$70+$P$70))*BE69</f>
        <v>3009075.85</v>
      </c>
      <c r="BF70" s="66">
        <v>0.0</v>
      </c>
      <c r="BG70" s="67">
        <f t="shared" ref="BG70:BG73" si="401">IFERROR(BF70-BE70,"-")</f>
        <v>-3009075.85</v>
      </c>
      <c r="BH70" s="68">
        <f t="shared" ref="BH70:BH73" si="402">IFERROR(BF70/BE70-1,"-")</f>
        <v>-1</v>
      </c>
      <c r="BI70" s="71">
        <f>($BM$70-($L$70+$P$70))*BI69</f>
        <v>2461971.15</v>
      </c>
      <c r="BJ70" s="66">
        <v>0.0</v>
      </c>
      <c r="BK70" s="67">
        <f t="shared" ref="BK70:BK73" si="403">IFERROR(BJ70-BI70,"-")</f>
        <v>-2461971.15</v>
      </c>
      <c r="BL70" s="68">
        <f t="shared" ref="BL70:BL73" si="404">IFERROR(BJ70/BI70-1,"-")</f>
        <v>-1</v>
      </c>
      <c r="BM70" s="166">
        <v>1.4E7</v>
      </c>
      <c r="BN70" s="75">
        <f>SUM(M70,Q70,U70,Y70,AC70,AG70,AP70,AT70,AX70,BB70,BF70,BJ70)</f>
        <v>1086156.25</v>
      </c>
      <c r="BO70" s="76">
        <f t="shared" ref="BO70:BO73" si="406">IFERROR(BN70/BM70-1,"-")</f>
        <v>-0.9224174107</v>
      </c>
      <c r="BP70" s="77">
        <v>1580676.0</v>
      </c>
      <c r="BQ70" s="78">
        <f t="shared" ref="BQ70:BQ71" si="407">BM70/BP70</f>
        <v>8.856970056</v>
      </c>
      <c r="BR70" s="3"/>
      <c r="BS70" s="3"/>
      <c r="BT70" s="3"/>
      <c r="BU70" s="3"/>
      <c r="BV70" s="3"/>
      <c r="BW70" s="3"/>
    </row>
    <row r="71" ht="15.75" customHeight="1">
      <c r="A71" s="1"/>
      <c r="B71" s="105"/>
      <c r="C71" s="106"/>
      <c r="D71" s="107"/>
      <c r="E71" s="144"/>
      <c r="F71" s="109"/>
      <c r="G71" s="110"/>
      <c r="H71" s="111"/>
      <c r="I71" s="112"/>
      <c r="J71" s="50" t="s">
        <v>64</v>
      </c>
      <c r="K71" s="79"/>
      <c r="L71" s="129">
        <f>L70/$K$72</f>
        <v>5310.783333</v>
      </c>
      <c r="M71" s="81">
        <v>5222.0</v>
      </c>
      <c r="N71" s="82">
        <f t="shared" si="381"/>
        <v>-88.78333333</v>
      </c>
      <c r="O71" s="68">
        <f t="shared" si="382"/>
        <v>-0.01671755893</v>
      </c>
      <c r="P71" s="129">
        <f>P70/$K$72</f>
        <v>5435.3</v>
      </c>
      <c r="Q71" s="81">
        <v>5242.0</v>
      </c>
      <c r="R71" s="82">
        <f t="shared" si="383"/>
        <v>-193.3</v>
      </c>
      <c r="S71" s="70">
        <f t="shared" si="384"/>
        <v>-0.03556381432</v>
      </c>
      <c r="T71" s="84">
        <f>T70/$K$72</f>
        <v>6838.80875</v>
      </c>
      <c r="U71" s="81">
        <v>9743.0</v>
      </c>
      <c r="V71" s="82">
        <f t="shared" si="385"/>
        <v>2904.19125</v>
      </c>
      <c r="W71" s="68">
        <f t="shared" si="386"/>
        <v>0.4246633231</v>
      </c>
      <c r="X71" s="84">
        <f>X70/$K$72</f>
        <v>6838.80875</v>
      </c>
      <c r="Y71" s="81">
        <v>9807.0</v>
      </c>
      <c r="Z71" s="82">
        <f t="shared" si="387"/>
        <v>2968.19125</v>
      </c>
      <c r="AA71" s="68">
        <f t="shared" si="388"/>
        <v>0.4340216781</v>
      </c>
      <c r="AB71" s="84">
        <f>AB70/$K$72</f>
        <v>9118.411667</v>
      </c>
      <c r="AC71" s="81">
        <v>7784.0</v>
      </c>
      <c r="AD71" s="82">
        <f t="shared" si="389"/>
        <v>-1334.411667</v>
      </c>
      <c r="AE71" s="68">
        <f t="shared" si="390"/>
        <v>-0.1463425556</v>
      </c>
      <c r="AF71" s="84">
        <f>AF70/$K$72</f>
        <v>18236.82333</v>
      </c>
      <c r="AG71" s="85">
        <v>1247.0</v>
      </c>
      <c r="AH71" s="85">
        <v>1115.0</v>
      </c>
      <c r="AI71" s="85">
        <v>1149.0</v>
      </c>
      <c r="AJ71" s="85"/>
      <c r="AK71" s="85"/>
      <c r="AL71" s="286">
        <f t="shared" si="380"/>
        <v>3511</v>
      </c>
      <c r="AM71" s="82">
        <f t="shared" si="391"/>
        <v>-14725.82333</v>
      </c>
      <c r="AN71" s="68">
        <f t="shared" si="392"/>
        <v>-0.8074774353</v>
      </c>
      <c r="AO71" s="84">
        <f>AO70/$K$72</f>
        <v>27355.235</v>
      </c>
      <c r="AP71" s="81">
        <v>0.0</v>
      </c>
      <c r="AQ71" s="82">
        <f t="shared" si="393"/>
        <v>-27355.235</v>
      </c>
      <c r="AR71" s="68">
        <f t="shared" si="394"/>
        <v>-1</v>
      </c>
      <c r="AS71" s="84">
        <f>AS70/$K$72</f>
        <v>54710.47</v>
      </c>
      <c r="AT71" s="81">
        <v>0.0</v>
      </c>
      <c r="AU71" s="82">
        <f t="shared" si="395"/>
        <v>-54710.47</v>
      </c>
      <c r="AV71" s="68">
        <f t="shared" si="396"/>
        <v>-1</v>
      </c>
      <c r="AW71" s="84">
        <f>AW70/$K$72</f>
        <v>68388.0875</v>
      </c>
      <c r="AX71" s="81">
        <v>0.0</v>
      </c>
      <c r="AY71" s="82">
        <f t="shared" si="397"/>
        <v>-68388.0875</v>
      </c>
      <c r="AZ71" s="68">
        <f t="shared" si="398"/>
        <v>-1</v>
      </c>
      <c r="BA71" s="84">
        <f>BA70/$K$72</f>
        <v>82065.705</v>
      </c>
      <c r="BB71" s="81">
        <v>0.0</v>
      </c>
      <c r="BC71" s="82">
        <f t="shared" si="399"/>
        <v>-82065.705</v>
      </c>
      <c r="BD71" s="68">
        <f t="shared" si="400"/>
        <v>-1</v>
      </c>
      <c r="BE71" s="84">
        <f>BE70/$K$72</f>
        <v>100302.5283</v>
      </c>
      <c r="BF71" s="81">
        <v>0.0</v>
      </c>
      <c r="BG71" s="82">
        <f t="shared" si="401"/>
        <v>-100302.5283</v>
      </c>
      <c r="BH71" s="68">
        <f t="shared" si="402"/>
        <v>-1</v>
      </c>
      <c r="BI71" s="84">
        <f>BI70/$K$72</f>
        <v>82065.705</v>
      </c>
      <c r="BJ71" s="81">
        <v>0.0</v>
      </c>
      <c r="BK71" s="82">
        <f t="shared" si="403"/>
        <v>-82065.705</v>
      </c>
      <c r="BL71" s="68">
        <f t="shared" si="404"/>
        <v>-1</v>
      </c>
      <c r="BM71" s="167">
        <f t="shared" ref="BM71:BN71" si="405">SUM(L71,P71,T71,X71,AB71,AF71,AO71,AS71,AW71,BA71,BE71,BI71)</f>
        <v>466666.6667</v>
      </c>
      <c r="BN71" s="87">
        <f t="shared" si="405"/>
        <v>39045</v>
      </c>
      <c r="BO71" s="76">
        <f t="shared" si="406"/>
        <v>-0.9163321429</v>
      </c>
      <c r="BP71" s="88">
        <v>66013.0</v>
      </c>
      <c r="BQ71" s="78">
        <f t="shared" si="407"/>
        <v>7.06931463</v>
      </c>
      <c r="BR71" s="3"/>
      <c r="BS71" s="3"/>
      <c r="BT71" s="3"/>
      <c r="BU71" s="3"/>
      <c r="BV71" s="3"/>
      <c r="BW71" s="3"/>
    </row>
    <row r="72" ht="15.75" customHeight="1">
      <c r="A72" s="1"/>
      <c r="B72" s="105"/>
      <c r="C72" s="106"/>
      <c r="D72" s="107"/>
      <c r="E72" s="144"/>
      <c r="F72" s="109"/>
      <c r="G72" s="110"/>
      <c r="H72" s="111"/>
      <c r="I72" s="112"/>
      <c r="J72" s="50" t="s">
        <v>65</v>
      </c>
      <c r="K72" s="79">
        <v>30.0</v>
      </c>
      <c r="L72" s="129">
        <f>L70/L71</f>
        <v>30</v>
      </c>
      <c r="M72" s="66">
        <f>IFERROR(M70/M71,"-")</f>
        <v>31.85752011</v>
      </c>
      <c r="N72" s="67">
        <f t="shared" si="381"/>
        <v>1.857520107</v>
      </c>
      <c r="O72" s="68">
        <f t="shared" si="382"/>
        <v>0.06191733691</v>
      </c>
      <c r="P72" s="65">
        <f t="shared" ref="P72:Q72" si="408">IFERROR(P70/P71,"-")</f>
        <v>30</v>
      </c>
      <c r="Q72" s="66">
        <f t="shared" si="408"/>
        <v>32.18363983</v>
      </c>
      <c r="R72" s="67">
        <f t="shared" si="383"/>
        <v>2.183639832</v>
      </c>
      <c r="S72" s="70">
        <f t="shared" si="384"/>
        <v>0.0727879944</v>
      </c>
      <c r="T72" s="84">
        <f>T70/T71</f>
        <v>30</v>
      </c>
      <c r="U72" s="66">
        <f>IFERROR(U70/U71,"-")</f>
        <v>27.31791235</v>
      </c>
      <c r="V72" s="67">
        <f t="shared" si="385"/>
        <v>-2.682087653</v>
      </c>
      <c r="W72" s="68">
        <f t="shared" si="386"/>
        <v>-0.08940292176</v>
      </c>
      <c r="X72" s="71">
        <f t="shared" ref="X72:Y72" si="409">IFERROR(X70/X71,"-")</f>
        <v>30</v>
      </c>
      <c r="Y72" s="66">
        <f t="shared" si="409"/>
        <v>24.41137657</v>
      </c>
      <c r="Z72" s="67">
        <f t="shared" si="387"/>
        <v>-5.588623432</v>
      </c>
      <c r="AA72" s="68">
        <f t="shared" si="388"/>
        <v>-0.1862874477</v>
      </c>
      <c r="AB72" s="84">
        <f>AB70/AB71</f>
        <v>30</v>
      </c>
      <c r="AC72" s="66">
        <f>IFERROR(AC70/AC71,"-")</f>
        <v>26.28887847</v>
      </c>
      <c r="AD72" s="67">
        <f t="shared" si="389"/>
        <v>-3.711121531</v>
      </c>
      <c r="AE72" s="68">
        <f t="shared" si="390"/>
        <v>-0.123704051</v>
      </c>
      <c r="AF72" s="312">
        <f>AF70/AF71</f>
        <v>30</v>
      </c>
      <c r="AG72" s="296">
        <f t="shared" ref="AG72:AL72" si="410">IFERROR(AG70/AG71,"-")</f>
        <v>32.79568565</v>
      </c>
      <c r="AH72" s="296">
        <f t="shared" si="410"/>
        <v>31.61557848</v>
      </c>
      <c r="AI72" s="296">
        <f t="shared" si="410"/>
        <v>32.85825936</v>
      </c>
      <c r="AJ72" s="296" t="str">
        <f t="shared" si="410"/>
        <v>-</v>
      </c>
      <c r="AK72" s="296" t="str">
        <f t="shared" si="410"/>
        <v>-</v>
      </c>
      <c r="AL72" s="298">
        <f t="shared" si="410"/>
        <v>32.44139277</v>
      </c>
      <c r="AM72" s="67">
        <f t="shared" si="391"/>
        <v>2.441392766</v>
      </c>
      <c r="AN72" s="68">
        <f t="shared" si="392"/>
        <v>0.08137975885</v>
      </c>
      <c r="AO72" s="84">
        <f>AO70/AO71</f>
        <v>30</v>
      </c>
      <c r="AP72" s="66" t="str">
        <f>IFERROR(AP70/AP71,"-")</f>
        <v>-</v>
      </c>
      <c r="AQ72" s="67" t="str">
        <f t="shared" si="393"/>
        <v>-</v>
      </c>
      <c r="AR72" s="68" t="str">
        <f t="shared" si="394"/>
        <v>-</v>
      </c>
      <c r="AS72" s="84">
        <f>AS70/AS71</f>
        <v>30</v>
      </c>
      <c r="AT72" s="66" t="str">
        <f>IFERROR(AT70/AT71,"-")</f>
        <v>-</v>
      </c>
      <c r="AU72" s="67" t="str">
        <f t="shared" si="395"/>
        <v>-</v>
      </c>
      <c r="AV72" s="68" t="str">
        <f t="shared" si="396"/>
        <v>-</v>
      </c>
      <c r="AW72" s="84">
        <f>AW70/AW71</f>
        <v>30</v>
      </c>
      <c r="AX72" s="66" t="str">
        <f>IFERROR(AX70/AX71,"-")</f>
        <v>-</v>
      </c>
      <c r="AY72" s="67" t="str">
        <f t="shared" si="397"/>
        <v>-</v>
      </c>
      <c r="AZ72" s="68" t="str">
        <f t="shared" si="398"/>
        <v>-</v>
      </c>
      <c r="BA72" s="84">
        <f>BA70/BA71</f>
        <v>30</v>
      </c>
      <c r="BB72" s="66" t="str">
        <f>IFERROR(BB70/BB71,"-")</f>
        <v>-</v>
      </c>
      <c r="BC72" s="67" t="str">
        <f t="shared" si="399"/>
        <v>-</v>
      </c>
      <c r="BD72" s="68" t="str">
        <f t="shared" si="400"/>
        <v>-</v>
      </c>
      <c r="BE72" s="84">
        <f>BE70/BE71</f>
        <v>30</v>
      </c>
      <c r="BF72" s="66" t="str">
        <f>IFERROR(BF70/BF71,"-")</f>
        <v>-</v>
      </c>
      <c r="BG72" s="67" t="str">
        <f t="shared" si="401"/>
        <v>-</v>
      </c>
      <c r="BH72" s="68" t="str">
        <f t="shared" si="402"/>
        <v>-</v>
      </c>
      <c r="BI72" s="84">
        <f>BI70/BI71</f>
        <v>30</v>
      </c>
      <c r="BJ72" s="66" t="str">
        <f>IFERROR(BJ70/BJ71,"-")</f>
        <v>-</v>
      </c>
      <c r="BK72" s="67" t="str">
        <f t="shared" si="403"/>
        <v>-</v>
      </c>
      <c r="BL72" s="68" t="str">
        <f t="shared" si="404"/>
        <v>-</v>
      </c>
      <c r="BM72" s="168">
        <f t="shared" ref="BM72:BN72" si="411">BM70/BM71</f>
        <v>30</v>
      </c>
      <c r="BN72" s="90">
        <f t="shared" si="411"/>
        <v>27.81806249</v>
      </c>
      <c r="BO72" s="76">
        <f t="shared" si="406"/>
        <v>-0.07273125027</v>
      </c>
      <c r="BP72" s="88">
        <f>BP70/BP71</f>
        <v>23.94491994</v>
      </c>
      <c r="BQ72" s="78">
        <f>BM72/BP72-1</f>
        <v>0.2528753521</v>
      </c>
      <c r="BR72" s="3"/>
      <c r="BS72" s="3"/>
      <c r="BT72" s="3"/>
      <c r="BU72" s="3"/>
      <c r="BV72" s="3"/>
      <c r="BW72" s="3"/>
    </row>
    <row r="73" ht="15.75" customHeight="1">
      <c r="A73" s="1"/>
      <c r="B73" s="105"/>
      <c r="C73" s="106"/>
      <c r="D73" s="107"/>
      <c r="E73" s="144"/>
      <c r="F73" s="109"/>
      <c r="G73" s="110"/>
      <c r="H73" s="111"/>
      <c r="I73" s="112"/>
      <c r="J73" s="91" t="s">
        <v>66</v>
      </c>
      <c r="K73" s="92">
        <v>0.04</v>
      </c>
      <c r="L73" s="99">
        <f t="shared" ref="L73:M73" si="412">IF(L70&gt;=1000000,$K$73*L70,0)</f>
        <v>0</v>
      </c>
      <c r="M73" s="94">
        <f t="shared" si="412"/>
        <v>0</v>
      </c>
      <c r="N73" s="95">
        <f t="shared" si="381"/>
        <v>0</v>
      </c>
      <c r="O73" s="96" t="str">
        <f t="shared" si="382"/>
        <v>-</v>
      </c>
      <c r="P73" s="99">
        <f t="shared" ref="P73:Q73" si="413">IF(P70&gt;=1000000,$K$73*P70,0)</f>
        <v>0</v>
      </c>
      <c r="Q73" s="94">
        <f t="shared" si="413"/>
        <v>0</v>
      </c>
      <c r="R73" s="95">
        <f t="shared" si="383"/>
        <v>0</v>
      </c>
      <c r="S73" s="98" t="str">
        <f t="shared" si="384"/>
        <v>-</v>
      </c>
      <c r="T73" s="99">
        <f t="shared" ref="T73:U73" si="414">IF(T70&gt;=1000000,$K$73*T70,0)</f>
        <v>0</v>
      </c>
      <c r="U73" s="94">
        <f t="shared" si="414"/>
        <v>0</v>
      </c>
      <c r="V73" s="95">
        <f t="shared" si="385"/>
        <v>0</v>
      </c>
      <c r="W73" s="96" t="str">
        <f t="shared" si="386"/>
        <v>-</v>
      </c>
      <c r="X73" s="99">
        <f t="shared" ref="X73:Y73" si="415">IF(X70&gt;=1000000,$K$73*X70,0)</f>
        <v>0</v>
      </c>
      <c r="Y73" s="94">
        <f t="shared" si="415"/>
        <v>0</v>
      </c>
      <c r="Z73" s="95">
        <f t="shared" si="387"/>
        <v>0</v>
      </c>
      <c r="AA73" s="96" t="str">
        <f t="shared" si="388"/>
        <v>-</v>
      </c>
      <c r="AB73" s="99">
        <f t="shared" ref="AB73:AC73" si="416">IF(AB70&gt;=1000000,$K$73*AB70,0)</f>
        <v>0</v>
      </c>
      <c r="AC73" s="94">
        <f t="shared" si="416"/>
        <v>0</v>
      </c>
      <c r="AD73" s="95">
        <f t="shared" si="389"/>
        <v>0</v>
      </c>
      <c r="AE73" s="299" t="str">
        <f t="shared" si="390"/>
        <v>-</v>
      </c>
      <c r="AF73" s="300">
        <f t="shared" ref="AF73:AL73" si="417">IF(AF70&gt;=1000000,$K$73*AF70,0)</f>
        <v>0</v>
      </c>
      <c r="AG73" s="301">
        <f t="shared" si="417"/>
        <v>0</v>
      </c>
      <c r="AH73" s="301">
        <f t="shared" si="417"/>
        <v>0</v>
      </c>
      <c r="AI73" s="301">
        <f t="shared" si="417"/>
        <v>0</v>
      </c>
      <c r="AJ73" s="301">
        <f t="shared" si="417"/>
        <v>0</v>
      </c>
      <c r="AK73" s="301">
        <f t="shared" si="417"/>
        <v>0</v>
      </c>
      <c r="AL73" s="302">
        <f t="shared" si="417"/>
        <v>0</v>
      </c>
      <c r="AM73" s="311">
        <f t="shared" si="391"/>
        <v>0</v>
      </c>
      <c r="AN73" s="96" t="str">
        <f t="shared" si="392"/>
        <v>-</v>
      </c>
      <c r="AO73" s="99">
        <f t="shared" ref="AO73:AP73" si="418">IF(AO70&gt;=1000000,$K$73*AO70,0)</f>
        <v>0</v>
      </c>
      <c r="AP73" s="94">
        <f t="shared" si="418"/>
        <v>0</v>
      </c>
      <c r="AQ73" s="95">
        <f t="shared" si="393"/>
        <v>0</v>
      </c>
      <c r="AR73" s="96" t="str">
        <f t="shared" si="394"/>
        <v>-</v>
      </c>
      <c r="AS73" s="99">
        <f t="shared" ref="AS73:AT73" si="419">IF(AS70&gt;=1000000,$K$73*AS70,0)</f>
        <v>65652.564</v>
      </c>
      <c r="AT73" s="94">
        <f t="shared" si="419"/>
        <v>0</v>
      </c>
      <c r="AU73" s="95">
        <f t="shared" si="395"/>
        <v>-65652.564</v>
      </c>
      <c r="AV73" s="96">
        <f t="shared" si="396"/>
        <v>-1</v>
      </c>
      <c r="AW73" s="99">
        <f t="shared" ref="AW73:AX73" si="420">IF(AW70&gt;=1000000,$K$73*AW70,0)</f>
        <v>82065.705</v>
      </c>
      <c r="AX73" s="94">
        <f t="shared" si="420"/>
        <v>0</v>
      </c>
      <c r="AY73" s="95">
        <f t="shared" si="397"/>
        <v>-82065.705</v>
      </c>
      <c r="AZ73" s="96">
        <f t="shared" si="398"/>
        <v>-1</v>
      </c>
      <c r="BA73" s="99">
        <f t="shared" ref="BA73:BB73" si="421">IF(BA70&gt;=1000000,$K$73*BA70,0)</f>
        <v>98478.846</v>
      </c>
      <c r="BB73" s="94">
        <f t="shared" si="421"/>
        <v>0</v>
      </c>
      <c r="BC73" s="95">
        <f t="shared" si="399"/>
        <v>-98478.846</v>
      </c>
      <c r="BD73" s="96">
        <f t="shared" si="400"/>
        <v>-1</v>
      </c>
      <c r="BE73" s="99">
        <f t="shared" ref="BE73:BF73" si="422">IF(BE70&gt;=1000000,$K$73*BE70,0)</f>
        <v>120363.034</v>
      </c>
      <c r="BF73" s="94">
        <f t="shared" si="422"/>
        <v>0</v>
      </c>
      <c r="BG73" s="95">
        <f t="shared" si="401"/>
        <v>-120363.034</v>
      </c>
      <c r="BH73" s="96">
        <f t="shared" si="402"/>
        <v>-1</v>
      </c>
      <c r="BI73" s="99">
        <f t="shared" ref="BI73:BJ73" si="423">IF(BI70&gt;=1000000,$K$73*BI70,0)</f>
        <v>98478.846</v>
      </c>
      <c r="BJ73" s="94">
        <f t="shared" si="423"/>
        <v>0</v>
      </c>
      <c r="BK73" s="95">
        <f t="shared" si="403"/>
        <v>-98478.846</v>
      </c>
      <c r="BL73" s="96">
        <f t="shared" si="404"/>
        <v>-1</v>
      </c>
      <c r="BM73" s="169">
        <f t="shared" ref="BM73:BN73" si="424">SUM(L73,P73,T73,X73,AB73,AF73,AO73,AS73,AW73,BA73,BE73,BI73)</f>
        <v>465038.995</v>
      </c>
      <c r="BN73" s="101">
        <f t="shared" si="424"/>
        <v>0</v>
      </c>
      <c r="BO73" s="102">
        <f t="shared" si="406"/>
        <v>-1</v>
      </c>
      <c r="BP73" s="103">
        <f>BP70*0.04</f>
        <v>63227.04</v>
      </c>
      <c r="BQ73" s="104">
        <f>BM73/BP73</f>
        <v>7.355065096</v>
      </c>
      <c r="BR73" s="3"/>
      <c r="BS73" s="3"/>
      <c r="BT73" s="3"/>
      <c r="BU73" s="3"/>
      <c r="BV73" s="3"/>
      <c r="BW73" s="3"/>
    </row>
    <row r="74" ht="15.75" customHeight="1">
      <c r="A74" s="1"/>
      <c r="B74" s="105"/>
      <c r="C74" s="106"/>
      <c r="D74" s="107"/>
      <c r="E74" s="144"/>
      <c r="F74" s="109"/>
      <c r="G74" s="110"/>
      <c r="H74" s="111"/>
      <c r="I74" s="112"/>
      <c r="J74" s="13"/>
      <c r="K74" s="113"/>
      <c r="L74" s="149"/>
      <c r="M74" s="149"/>
      <c r="N74" s="149"/>
      <c r="O74" s="149"/>
      <c r="P74" s="149"/>
      <c r="Q74" s="160"/>
      <c r="R74" s="149"/>
      <c r="S74" s="149"/>
      <c r="T74" s="149"/>
      <c r="U74" s="149"/>
      <c r="V74" s="149"/>
      <c r="W74" s="149"/>
      <c r="X74" s="176"/>
      <c r="Y74" s="14"/>
      <c r="Z74" s="15"/>
      <c r="AA74" s="3"/>
      <c r="AB74" s="3"/>
      <c r="AC74" s="3"/>
      <c r="AD74" s="3"/>
      <c r="AE74" s="3"/>
      <c r="AF74" s="3"/>
      <c r="AV74" s="138"/>
      <c r="AW74" s="25"/>
      <c r="AX74" s="139"/>
      <c r="AY74" s="25"/>
    </row>
    <row r="75" ht="15.75" customHeight="1">
      <c r="A75" s="1"/>
      <c r="B75" s="105"/>
      <c r="C75" s="106"/>
      <c r="D75" s="107"/>
      <c r="E75" s="144"/>
      <c r="F75" s="109"/>
      <c r="G75" s="110"/>
      <c r="H75" s="111"/>
      <c r="I75" s="112"/>
      <c r="J75" s="34" t="s">
        <v>85</v>
      </c>
      <c r="K75" s="35"/>
      <c r="L75" s="36" t="s">
        <v>10</v>
      </c>
      <c r="M75" s="37" t="s">
        <v>11</v>
      </c>
      <c r="N75" s="38" t="s">
        <v>12</v>
      </c>
      <c r="O75" s="39" t="s">
        <v>13</v>
      </c>
      <c r="P75" s="119" t="s">
        <v>14</v>
      </c>
      <c r="Q75" s="152" t="s">
        <v>15</v>
      </c>
      <c r="R75" s="38" t="s">
        <v>16</v>
      </c>
      <c r="S75" s="42" t="s">
        <v>17</v>
      </c>
      <c r="T75" s="43" t="s">
        <v>18</v>
      </c>
      <c r="U75" s="152" t="s">
        <v>19</v>
      </c>
      <c r="V75" s="38" t="s">
        <v>20</v>
      </c>
      <c r="W75" s="45" t="s">
        <v>21</v>
      </c>
      <c r="X75" s="44" t="s">
        <v>22</v>
      </c>
      <c r="Y75" s="152" t="s">
        <v>23</v>
      </c>
      <c r="Z75" s="38" t="s">
        <v>24</v>
      </c>
      <c r="AA75" s="45" t="s">
        <v>25</v>
      </c>
      <c r="AB75" s="43" t="s">
        <v>26</v>
      </c>
      <c r="AC75" s="152" t="s">
        <v>27</v>
      </c>
      <c r="AD75" s="38" t="s">
        <v>28</v>
      </c>
      <c r="AE75" s="45" t="s">
        <v>29</v>
      </c>
      <c r="AF75" s="44" t="s">
        <v>30</v>
      </c>
      <c r="AG75" s="261" t="s">
        <v>107</v>
      </c>
      <c r="AH75" s="262" t="s">
        <v>108</v>
      </c>
      <c r="AI75" s="262" t="s">
        <v>109</v>
      </c>
      <c r="AJ75" s="262" t="s">
        <v>110</v>
      </c>
      <c r="AK75" s="262" t="s">
        <v>111</v>
      </c>
      <c r="AL75" s="262" t="s">
        <v>31</v>
      </c>
      <c r="AM75" s="38" t="s">
        <v>32</v>
      </c>
      <c r="AN75" s="45" t="s">
        <v>33</v>
      </c>
      <c r="AO75" s="43" t="s">
        <v>34</v>
      </c>
      <c r="AP75" s="152" t="s">
        <v>35</v>
      </c>
      <c r="AQ75" s="38" t="s">
        <v>36</v>
      </c>
      <c r="AR75" s="45" t="s">
        <v>37</v>
      </c>
      <c r="AS75" s="44" t="s">
        <v>38</v>
      </c>
      <c r="AT75" s="152" t="s">
        <v>39</v>
      </c>
      <c r="AU75" s="38" t="s">
        <v>40</v>
      </c>
      <c r="AV75" s="45" t="s">
        <v>41</v>
      </c>
      <c r="AW75" s="43" t="s">
        <v>42</v>
      </c>
      <c r="AX75" s="152" t="s">
        <v>43</v>
      </c>
      <c r="AY75" s="38" t="s">
        <v>44</v>
      </c>
      <c r="AZ75" s="45" t="s">
        <v>45</v>
      </c>
      <c r="BA75" s="44" t="s">
        <v>46</v>
      </c>
      <c r="BB75" s="152" t="s">
        <v>47</v>
      </c>
      <c r="BC75" s="38" t="s">
        <v>48</v>
      </c>
      <c r="BD75" s="45" t="s">
        <v>49</v>
      </c>
      <c r="BE75" s="43" t="s">
        <v>50</v>
      </c>
      <c r="BF75" s="152" t="s">
        <v>51</v>
      </c>
      <c r="BG75" s="38" t="s">
        <v>52</v>
      </c>
      <c r="BH75" s="45" t="s">
        <v>53</v>
      </c>
      <c r="BI75" s="153" t="s">
        <v>54</v>
      </c>
      <c r="BJ75" s="152" t="s">
        <v>55</v>
      </c>
      <c r="BK75" s="38" t="s">
        <v>56</v>
      </c>
      <c r="BL75" s="42" t="s">
        <v>57</v>
      </c>
      <c r="BM75" s="46">
        <v>2026.0</v>
      </c>
      <c r="BN75" s="37" t="s">
        <v>58</v>
      </c>
      <c r="BO75" s="47" t="s">
        <v>59</v>
      </c>
      <c r="BP75" s="48">
        <v>2025.0</v>
      </c>
      <c r="BQ75" s="49"/>
      <c r="BR75" s="3"/>
      <c r="BS75" s="3"/>
      <c r="BT75" s="3"/>
      <c r="BU75" s="3"/>
      <c r="BV75" s="3"/>
      <c r="BW75" s="3"/>
    </row>
    <row r="76" ht="15.75" customHeight="1">
      <c r="A76" s="1"/>
      <c r="B76" s="105"/>
      <c r="C76" s="106"/>
      <c r="D76" s="107"/>
      <c r="E76" s="144"/>
      <c r="F76" s="109"/>
      <c r="G76" s="110"/>
      <c r="H76" s="111"/>
      <c r="I76" s="112"/>
      <c r="J76" s="263" t="s">
        <v>112</v>
      </c>
      <c r="K76" s="264"/>
      <c r="L76" s="265"/>
      <c r="M76" s="266"/>
      <c r="N76" s="267"/>
      <c r="O76" s="268"/>
      <c r="P76" s="265"/>
      <c r="Q76" s="307"/>
      <c r="R76" s="267"/>
      <c r="S76" s="270"/>
      <c r="T76" s="271"/>
      <c r="U76" s="272"/>
      <c r="V76" s="267"/>
      <c r="W76" s="268"/>
      <c r="X76" s="271"/>
      <c r="Y76" s="272"/>
      <c r="Z76" s="267"/>
      <c r="AA76" s="268"/>
      <c r="AB76" s="271"/>
      <c r="AC76" s="272"/>
      <c r="AD76" s="267"/>
      <c r="AE76" s="268"/>
      <c r="AF76" s="271"/>
      <c r="AG76" s="273">
        <f t="shared" ref="AG76:AK76" si="425">$AF$77/5</f>
        <v>0.016</v>
      </c>
      <c r="AH76" s="273">
        <f t="shared" si="425"/>
        <v>0.016</v>
      </c>
      <c r="AI76" s="273">
        <f t="shared" si="425"/>
        <v>0.016</v>
      </c>
      <c r="AJ76" s="273">
        <f t="shared" si="425"/>
        <v>0.016</v>
      </c>
      <c r="AK76" s="273">
        <f t="shared" si="425"/>
        <v>0.016</v>
      </c>
      <c r="AL76" s="273"/>
      <c r="AM76" s="267"/>
      <c r="AN76" s="268"/>
      <c r="AO76" s="271"/>
      <c r="AP76" s="272"/>
      <c r="AQ76" s="267"/>
      <c r="AR76" s="268"/>
      <c r="AS76" s="271"/>
      <c r="AT76" s="272"/>
      <c r="AU76" s="267"/>
      <c r="AV76" s="268"/>
      <c r="AW76" s="271"/>
      <c r="AX76" s="272"/>
      <c r="AY76" s="267"/>
      <c r="AZ76" s="268"/>
      <c r="BA76" s="271"/>
      <c r="BB76" s="272"/>
      <c r="BC76" s="267"/>
      <c r="BD76" s="268"/>
      <c r="BE76" s="271"/>
      <c r="BF76" s="272"/>
      <c r="BG76" s="267"/>
      <c r="BH76" s="268"/>
      <c r="BI76" s="308"/>
      <c r="BJ76" s="272"/>
      <c r="BK76" s="267"/>
      <c r="BL76" s="270"/>
      <c r="BM76" s="275"/>
      <c r="BN76" s="276"/>
      <c r="BO76" s="277"/>
      <c r="BP76" s="278"/>
      <c r="BQ76" s="64"/>
      <c r="BR76" s="3"/>
      <c r="BS76" s="3"/>
      <c r="BT76" s="3"/>
      <c r="BU76" s="3"/>
      <c r="BV76" s="3"/>
      <c r="BW76" s="3"/>
    </row>
    <row r="77" ht="15.75" customHeight="1">
      <c r="A77" s="1"/>
      <c r="B77" s="105">
        <v>11.0</v>
      </c>
      <c r="C77" s="106" t="s">
        <v>86</v>
      </c>
      <c r="D77" s="107">
        <f>80000*12</f>
        <v>960000</v>
      </c>
      <c r="E77" s="144">
        <v>60.0</v>
      </c>
      <c r="F77" s="109">
        <f>E77*D77</f>
        <v>57600000</v>
      </c>
      <c r="G77" s="110">
        <v>409141.4900000167</v>
      </c>
      <c r="H77" s="111">
        <v>13480.0</v>
      </c>
      <c r="I77" s="112">
        <v>30.351742581603613</v>
      </c>
      <c r="J77" s="50" t="s">
        <v>61</v>
      </c>
      <c r="K77" s="51"/>
      <c r="L77" s="52" t="s">
        <v>60</v>
      </c>
      <c r="M77" s="53" t="s">
        <v>60</v>
      </c>
      <c r="N77" s="54" t="s">
        <v>60</v>
      </c>
      <c r="O77" s="55" t="s">
        <v>62</v>
      </c>
      <c r="P77" s="52" t="s">
        <v>60</v>
      </c>
      <c r="Q77" s="154" t="s">
        <v>60</v>
      </c>
      <c r="R77" s="54" t="s">
        <v>60</v>
      </c>
      <c r="S77" s="57" t="s">
        <v>62</v>
      </c>
      <c r="T77" s="58">
        <v>0.03</v>
      </c>
      <c r="U77" s="59">
        <f>U78/(BM78-(L78 + P78))</f>
        <v>0.0133757937</v>
      </c>
      <c r="V77" s="54" t="s">
        <v>60</v>
      </c>
      <c r="W77" s="55" t="s">
        <v>62</v>
      </c>
      <c r="X77" s="58">
        <v>0.03</v>
      </c>
      <c r="Y77" s="59">
        <f>Y78/(BM78-(L78+P78))</f>
        <v>0.01387795601</v>
      </c>
      <c r="Z77" s="54" t="s">
        <v>60</v>
      </c>
      <c r="AA77" s="55" t="s">
        <v>62</v>
      </c>
      <c r="AB77" s="58">
        <v>0.05</v>
      </c>
      <c r="AC77" s="59">
        <f>AC78/(BM78-(L78+P78))</f>
        <v>0.01283346893</v>
      </c>
      <c r="AD77" s="54" t="s">
        <v>60</v>
      </c>
      <c r="AE77" s="55" t="s">
        <v>62</v>
      </c>
      <c r="AF77" s="58">
        <v>0.08</v>
      </c>
      <c r="AG77" s="61">
        <f t="shared" ref="AG77:AK77" si="426">AG78/($BM$78-($L$78+$P$78))</f>
        <v>0.002519089272</v>
      </c>
      <c r="AH77" s="61">
        <f t="shared" si="426"/>
        <v>0.0008114111485</v>
      </c>
      <c r="AI77" s="61">
        <f t="shared" si="426"/>
        <v>0.00133073407</v>
      </c>
      <c r="AJ77" s="61">
        <f t="shared" si="426"/>
        <v>0</v>
      </c>
      <c r="AK77" s="61">
        <f t="shared" si="426"/>
        <v>0</v>
      </c>
      <c r="AL77" s="279">
        <f t="shared" ref="AL77:AL79" si="428">SUM(AG77:AK77)</f>
        <v>0.00466123449</v>
      </c>
      <c r="AM77" s="280">
        <f>AL77-AF77</f>
        <v>-0.07533876551</v>
      </c>
      <c r="AN77" s="55" t="s">
        <v>62</v>
      </c>
      <c r="AO77" s="58">
        <v>0.1</v>
      </c>
      <c r="AP77" s="59">
        <f>AP78/(BM78-(L78+P78))</f>
        <v>0</v>
      </c>
      <c r="AQ77" s="54" t="s">
        <v>60</v>
      </c>
      <c r="AR77" s="55" t="s">
        <v>62</v>
      </c>
      <c r="AS77" s="58">
        <v>0.15</v>
      </c>
      <c r="AT77" s="59">
        <f>AT78/(BM78-(L78+P78))</f>
        <v>0</v>
      </c>
      <c r="AU77" s="54" t="s">
        <v>60</v>
      </c>
      <c r="AV77" s="55" t="s">
        <v>62</v>
      </c>
      <c r="AW77" s="58">
        <v>0.15</v>
      </c>
      <c r="AX77" s="59">
        <f>AX78/(BM78-(L78+P78))</f>
        <v>0</v>
      </c>
      <c r="AY77" s="54" t="s">
        <v>60</v>
      </c>
      <c r="AZ77" s="55" t="s">
        <v>62</v>
      </c>
      <c r="BA77" s="58">
        <v>0.12</v>
      </c>
      <c r="BB77" s="59">
        <f>BB78/(BM78-(L78+P78))</f>
        <v>0</v>
      </c>
      <c r="BC77" s="54" t="s">
        <v>60</v>
      </c>
      <c r="BD77" s="55" t="s">
        <v>62</v>
      </c>
      <c r="BE77" s="58">
        <v>0.16</v>
      </c>
      <c r="BF77" s="59">
        <f>BF78/(BM78-(L78+P78))</f>
        <v>0</v>
      </c>
      <c r="BG77" s="54" t="s">
        <v>60</v>
      </c>
      <c r="BH77" s="55" t="s">
        <v>62</v>
      </c>
      <c r="BI77" s="155">
        <v>0.13</v>
      </c>
      <c r="BJ77" s="59">
        <f>BJ78/(BM78-(L78+P78))</f>
        <v>0</v>
      </c>
      <c r="BK77" s="54" t="s">
        <v>60</v>
      </c>
      <c r="BL77" s="57" t="s">
        <v>62</v>
      </c>
      <c r="BM77" s="60">
        <f t="shared" ref="BM77:BN77" si="427">SUM(T77,X77,AB77,AF77,AO77,AS77,AW77,BA77,BE77,BI77)</f>
        <v>1</v>
      </c>
      <c r="BN77" s="61">
        <f t="shared" si="427"/>
        <v>0.04260630791</v>
      </c>
      <c r="BO77" s="62"/>
      <c r="BP77" s="63" t="s">
        <v>60</v>
      </c>
      <c r="BQ77" s="64"/>
      <c r="BR77" s="3"/>
      <c r="BS77" s="3"/>
      <c r="BT77" s="3"/>
      <c r="BU77" s="3"/>
      <c r="BV77" s="3"/>
      <c r="BW77" s="3"/>
    </row>
    <row r="78" ht="15.75" customHeight="1">
      <c r="A78" s="1"/>
      <c r="B78" s="105"/>
      <c r="C78" s="106"/>
      <c r="D78" s="107"/>
      <c r="E78" s="144"/>
      <c r="F78" s="109"/>
      <c r="G78" s="110"/>
      <c r="H78" s="111"/>
      <c r="I78" s="112"/>
      <c r="J78" s="50" t="s">
        <v>63</v>
      </c>
      <c r="K78" s="51"/>
      <c r="L78" s="127">
        <v>50234.0</v>
      </c>
      <c r="M78" s="66">
        <v>50234.24</v>
      </c>
      <c r="N78" s="67">
        <f t="shared" ref="N78:N81" si="429">IFERROR(M78-L78,"-")</f>
        <v>0.24</v>
      </c>
      <c r="O78" s="68">
        <f t="shared" ref="O78:O81" si="430">IFERROR(M78/L78-1,"-")</f>
        <v>0.000004777640642</v>
      </c>
      <c r="P78" s="127">
        <v>49484.0</v>
      </c>
      <c r="Q78" s="66">
        <v>48919.78</v>
      </c>
      <c r="R78" s="67">
        <f t="shared" ref="R78:R81" si="431">IFERROR(Q78-P78,"-")</f>
        <v>-564.22</v>
      </c>
      <c r="S78" s="70">
        <f t="shared" ref="S78:S81" si="432">IFERROR(Q78/P78-1,"-")</f>
        <v>-0.01140206936</v>
      </c>
      <c r="T78" s="71">
        <f>($BM$78-($L$78+$P$78))*T77</f>
        <v>57008.46</v>
      </c>
      <c r="U78" s="66">
        <v>25417.78</v>
      </c>
      <c r="V78" s="67">
        <f t="shared" ref="V78:V81" si="433">IFERROR(U78-T78,"-")</f>
        <v>-31590.68</v>
      </c>
      <c r="W78" s="68">
        <f t="shared" ref="W78:W81" si="434">IFERROR(U78/T78-1,"-")</f>
        <v>-0.5541402101</v>
      </c>
      <c r="X78" s="71">
        <f>($BM$78-($L$78+$P$78))*X77</f>
        <v>57008.46</v>
      </c>
      <c r="Y78" s="66">
        <v>26372.03</v>
      </c>
      <c r="Z78" s="67">
        <f t="shared" ref="Z78:Z81" si="435">IFERROR(Y78-X78,"-")</f>
        <v>-30636.43</v>
      </c>
      <c r="AA78" s="68">
        <f t="shared" ref="AA78:AA81" si="436">IFERROR(Y78/X78-1,"-")</f>
        <v>-0.5374014664</v>
      </c>
      <c r="AB78" s="71">
        <f>($BM$78-($L$78+$P$78))*AB77</f>
        <v>95014.1</v>
      </c>
      <c r="AC78" s="66">
        <v>24387.21</v>
      </c>
      <c r="AD78" s="67">
        <f t="shared" ref="AD78:AD81" si="437">IFERROR(AC78-AB78,"-")</f>
        <v>-70626.89</v>
      </c>
      <c r="AE78" s="68">
        <f t="shared" ref="AE78:AE81" si="438">IFERROR(AC78/AB78-1,"-")</f>
        <v>-0.7433306215</v>
      </c>
      <c r="AF78" s="71">
        <f>($BM$78-($L$78+$P$78))*AF77</f>
        <v>152022.56</v>
      </c>
      <c r="AG78" s="73">
        <v>4786.98</v>
      </c>
      <c r="AH78" s="73">
        <v>1541.91</v>
      </c>
      <c r="AI78" s="73">
        <v>2528.77</v>
      </c>
      <c r="AJ78" s="73"/>
      <c r="AK78" s="73"/>
      <c r="AL78" s="283">
        <f t="shared" si="428"/>
        <v>8857.66</v>
      </c>
      <c r="AM78" s="67">
        <f t="shared" ref="AM78:AM81" si="439">IFERROR(AL78-AF78,"-")</f>
        <v>-143164.9</v>
      </c>
      <c r="AN78" s="68">
        <f t="shared" ref="AN78:AN81" si="440">IFERROR(AL78/AF78-1,"-")</f>
        <v>-0.9417345689</v>
      </c>
      <c r="AO78" s="71">
        <f>($BM$78-($L$78+$P$78))*AO77</f>
        <v>190028.2</v>
      </c>
      <c r="AP78" s="66">
        <v>0.0</v>
      </c>
      <c r="AQ78" s="67">
        <f t="shared" ref="AQ78:AQ81" si="441">IFERROR(AP78-AO78,"-")</f>
        <v>-190028.2</v>
      </c>
      <c r="AR78" s="68">
        <f t="shared" ref="AR78:AR81" si="442">IFERROR(AP78/AO78-1,"-")</f>
        <v>-1</v>
      </c>
      <c r="AS78" s="71">
        <f>($BM$78-($L$78+$P$78))*AS77</f>
        <v>285042.3</v>
      </c>
      <c r="AT78" s="66">
        <v>0.0</v>
      </c>
      <c r="AU78" s="67">
        <f t="shared" ref="AU78:AU81" si="443">IFERROR(AT78-AS78,"-")</f>
        <v>-285042.3</v>
      </c>
      <c r="AV78" s="68">
        <f t="shared" ref="AV78:AV81" si="444">IFERROR(AT78/AS78-1,"-")</f>
        <v>-1</v>
      </c>
      <c r="AW78" s="71">
        <f>($BM$78-($L$78+$P$78))*AW77</f>
        <v>285042.3</v>
      </c>
      <c r="AX78" s="177">
        <v>0.0</v>
      </c>
      <c r="AY78" s="67">
        <f t="shared" ref="AY78:AY81" si="445">IFERROR(AX78-AW78,"-")</f>
        <v>-285042.3</v>
      </c>
      <c r="AZ78" s="68">
        <f t="shared" ref="AZ78:AZ81" si="446">IFERROR(AX78/AW78-1,"-")</f>
        <v>-1</v>
      </c>
      <c r="BA78" s="71">
        <f>($BM$78-($L$78+$P$78))*BA77</f>
        <v>228033.84</v>
      </c>
      <c r="BB78" s="66">
        <v>0.0</v>
      </c>
      <c r="BC78" s="67">
        <f t="shared" ref="BC78:BC81" si="447">IFERROR(BB78-BA78,"-")</f>
        <v>-228033.84</v>
      </c>
      <c r="BD78" s="68">
        <f t="shared" ref="BD78:BD81" si="448">IFERROR(BB78/BA78-1,"-")</f>
        <v>-1</v>
      </c>
      <c r="BE78" s="71">
        <f>($BM$78-($L$78+$P$78))*BE77</f>
        <v>304045.12</v>
      </c>
      <c r="BF78" s="66">
        <v>0.0</v>
      </c>
      <c r="BG78" s="67">
        <f t="shared" ref="BG78:BG81" si="449">IFERROR(BF78-BE78,"-")</f>
        <v>-304045.12</v>
      </c>
      <c r="BH78" s="68">
        <f t="shared" ref="BH78:BH81" si="450">IFERROR(BF78/BE78-1,"-")</f>
        <v>-1</v>
      </c>
      <c r="BI78" s="66">
        <f>($BM$78-($L$78+$P$78))*BI77</f>
        <v>247036.66</v>
      </c>
      <c r="BJ78" s="66">
        <v>0.0</v>
      </c>
      <c r="BK78" s="67">
        <f t="shared" ref="BK78:BK81" si="451">IFERROR(BJ78-BI78,"-")</f>
        <v>-247036.66</v>
      </c>
      <c r="BL78" s="70">
        <f t="shared" ref="BL78:BL81" si="452">IFERROR(BJ78/BI78-1,"-")</f>
        <v>-1</v>
      </c>
      <c r="BM78" s="74">
        <v>2000000.0</v>
      </c>
      <c r="BN78" s="75">
        <f>SUM(M78,Q78,U78,Y78,AC78,AG78,AP78,AT78,AX78,BB78,BF78,BJ78)</f>
        <v>180118.02</v>
      </c>
      <c r="BO78" s="76">
        <f t="shared" ref="BO78:BO81" si="454">IFERROR(BN78/BM78-1,"-")</f>
        <v>-0.90994099</v>
      </c>
      <c r="BP78" s="77">
        <v>195455.9</v>
      </c>
      <c r="BQ78" s="78">
        <f t="shared" ref="BQ78:BQ79" si="455">BM78/BP78</f>
        <v>10.23248723</v>
      </c>
      <c r="BR78" s="3"/>
      <c r="BS78" s="3"/>
      <c r="BT78" s="3"/>
      <c r="BU78" s="3"/>
      <c r="BV78" s="3"/>
      <c r="BW78" s="3"/>
    </row>
    <row r="79" ht="15.75" customHeight="1">
      <c r="A79" s="1"/>
      <c r="B79" s="105"/>
      <c r="C79" s="106"/>
      <c r="D79" s="107"/>
      <c r="E79" s="144"/>
      <c r="F79" s="109"/>
      <c r="G79" s="110"/>
      <c r="H79" s="111"/>
      <c r="I79" s="112"/>
      <c r="J79" s="50" t="s">
        <v>64</v>
      </c>
      <c r="K79" s="79"/>
      <c r="L79" s="80">
        <f>L78/$K$80</f>
        <v>440.6491228</v>
      </c>
      <c r="M79" s="81">
        <v>430.0</v>
      </c>
      <c r="N79" s="82">
        <f t="shared" si="429"/>
        <v>-10.64912281</v>
      </c>
      <c r="O79" s="68">
        <f t="shared" si="430"/>
        <v>-0.02416689891</v>
      </c>
      <c r="P79" s="80">
        <f>P78/$K$80</f>
        <v>434.0701754</v>
      </c>
      <c r="Q79" s="81">
        <v>424.0</v>
      </c>
      <c r="R79" s="82">
        <f t="shared" si="431"/>
        <v>-10.07017544</v>
      </c>
      <c r="S79" s="70">
        <f t="shared" si="432"/>
        <v>-0.02319941799</v>
      </c>
      <c r="T79" s="84">
        <f>T78/$K$80</f>
        <v>500.0742105</v>
      </c>
      <c r="U79" s="81">
        <v>217.0</v>
      </c>
      <c r="V79" s="82">
        <f t="shared" si="433"/>
        <v>-283.0742105</v>
      </c>
      <c r="W79" s="68">
        <f t="shared" si="434"/>
        <v>-0.5660644052</v>
      </c>
      <c r="X79" s="84">
        <f>X78/$K$80</f>
        <v>500.0742105</v>
      </c>
      <c r="Y79" s="81">
        <v>249.0</v>
      </c>
      <c r="Z79" s="82">
        <f t="shared" si="435"/>
        <v>-251.0742105</v>
      </c>
      <c r="AA79" s="68">
        <f t="shared" si="436"/>
        <v>-0.5020739027</v>
      </c>
      <c r="AB79" s="84">
        <f>AB78/$K$80</f>
        <v>833.4570175</v>
      </c>
      <c r="AC79" s="81">
        <v>222.0</v>
      </c>
      <c r="AD79" s="82">
        <f t="shared" si="437"/>
        <v>-611.4570175</v>
      </c>
      <c r="AE79" s="68">
        <f t="shared" si="438"/>
        <v>-0.7336395335</v>
      </c>
      <c r="AF79" s="84">
        <f>AF78/$K$80</f>
        <v>1333.531228</v>
      </c>
      <c r="AG79" s="85">
        <v>43.0</v>
      </c>
      <c r="AH79" s="85">
        <v>18.0</v>
      </c>
      <c r="AI79" s="85">
        <v>25.0</v>
      </c>
      <c r="AJ79" s="85"/>
      <c r="AK79" s="85"/>
      <c r="AL79" s="286">
        <f t="shared" si="428"/>
        <v>86</v>
      </c>
      <c r="AM79" s="82">
        <f t="shared" si="439"/>
        <v>-1247.531228</v>
      </c>
      <c r="AN79" s="68">
        <f t="shared" si="440"/>
        <v>-0.9355095717</v>
      </c>
      <c r="AO79" s="84">
        <f>AO78/$K$80</f>
        <v>1666.914035</v>
      </c>
      <c r="AP79" s="81">
        <v>0.0</v>
      </c>
      <c r="AQ79" s="82">
        <f t="shared" si="441"/>
        <v>-1666.914035</v>
      </c>
      <c r="AR79" s="68">
        <f t="shared" si="442"/>
        <v>-1</v>
      </c>
      <c r="AS79" s="84">
        <f>AS78/$K$80</f>
        <v>2500.371053</v>
      </c>
      <c r="AT79" s="81">
        <v>0.0</v>
      </c>
      <c r="AU79" s="82">
        <f t="shared" si="443"/>
        <v>-2500.371053</v>
      </c>
      <c r="AV79" s="68">
        <f t="shared" si="444"/>
        <v>-1</v>
      </c>
      <c r="AW79" s="84">
        <f>AW78/$K$80</f>
        <v>2500.371053</v>
      </c>
      <c r="AX79" s="81">
        <v>0.0</v>
      </c>
      <c r="AY79" s="82">
        <f t="shared" si="445"/>
        <v>-2500.371053</v>
      </c>
      <c r="AZ79" s="68">
        <f t="shared" si="446"/>
        <v>-1</v>
      </c>
      <c r="BA79" s="84">
        <f>BA78/$K$80</f>
        <v>2000.296842</v>
      </c>
      <c r="BB79" s="81">
        <v>0.0</v>
      </c>
      <c r="BC79" s="82">
        <f t="shared" si="447"/>
        <v>-2000.296842</v>
      </c>
      <c r="BD79" s="68">
        <f t="shared" si="448"/>
        <v>-1</v>
      </c>
      <c r="BE79" s="84">
        <f>BE78/$K$80</f>
        <v>2667.062456</v>
      </c>
      <c r="BF79" s="81">
        <v>0.0</v>
      </c>
      <c r="BG79" s="82">
        <f t="shared" si="449"/>
        <v>-2667.062456</v>
      </c>
      <c r="BH79" s="68">
        <f t="shared" si="450"/>
        <v>-1</v>
      </c>
      <c r="BI79" s="81">
        <f>BI78/$K$80</f>
        <v>2166.988246</v>
      </c>
      <c r="BJ79" s="81">
        <v>0.0</v>
      </c>
      <c r="BK79" s="82">
        <f t="shared" si="451"/>
        <v>-2166.988246</v>
      </c>
      <c r="BL79" s="70">
        <f t="shared" si="452"/>
        <v>-1</v>
      </c>
      <c r="BM79" s="156">
        <f t="shared" ref="BM79:BN79" si="453">SUM(L79,P79,T79,X79,AB79,AF79,AO79,AS79,AW79,BA79,BE79,BI79)</f>
        <v>17543.85965</v>
      </c>
      <c r="BN79" s="87">
        <f t="shared" si="453"/>
        <v>1585</v>
      </c>
      <c r="BO79" s="76">
        <f t="shared" si="454"/>
        <v>-0.909655</v>
      </c>
      <c r="BP79" s="88">
        <v>1727.0</v>
      </c>
      <c r="BQ79" s="78">
        <f t="shared" si="455"/>
        <v>10.15857536</v>
      </c>
      <c r="BR79" s="3"/>
      <c r="BS79" s="3"/>
      <c r="BT79" s="3"/>
      <c r="BU79" s="3"/>
      <c r="BV79" s="3"/>
      <c r="BW79" s="3"/>
    </row>
    <row r="80" ht="15.75" customHeight="1">
      <c r="A80" s="1"/>
      <c r="B80" s="105"/>
      <c r="C80" s="106"/>
      <c r="D80" s="107"/>
      <c r="E80" s="144"/>
      <c r="F80" s="109"/>
      <c r="G80" s="110"/>
      <c r="H80" s="111"/>
      <c r="I80" s="112"/>
      <c r="J80" s="50" t="s">
        <v>65</v>
      </c>
      <c r="K80" s="79">
        <v>114.0</v>
      </c>
      <c r="L80" s="129">
        <f>L78/L79</f>
        <v>114</v>
      </c>
      <c r="M80" s="66">
        <f>IFERROR(M78/M79,"-")</f>
        <v>116.823814</v>
      </c>
      <c r="N80" s="67">
        <f t="shared" si="429"/>
        <v>2.823813953</v>
      </c>
      <c r="O80" s="68">
        <f t="shared" si="430"/>
        <v>0.02477029784</v>
      </c>
      <c r="P80" s="65">
        <f t="shared" ref="P80:Q80" si="456">IFERROR(P78/P79,"-")</f>
        <v>114</v>
      </c>
      <c r="Q80" s="66">
        <f t="shared" si="456"/>
        <v>115.3768396</v>
      </c>
      <c r="R80" s="67">
        <f t="shared" si="431"/>
        <v>1.376839623</v>
      </c>
      <c r="S80" s="70">
        <f t="shared" si="432"/>
        <v>0.01207754055</v>
      </c>
      <c r="T80" s="84">
        <f>T78/T79</f>
        <v>114</v>
      </c>
      <c r="U80" s="66">
        <f>IFERROR(U78/U79,"-")</f>
        <v>117.1326267</v>
      </c>
      <c r="V80" s="67">
        <f t="shared" si="433"/>
        <v>3.132626728</v>
      </c>
      <c r="W80" s="68">
        <f t="shared" si="434"/>
        <v>0.02747918183</v>
      </c>
      <c r="X80" s="71">
        <f t="shared" ref="X80:Y80" si="457">IFERROR(X78/X79,"-")</f>
        <v>114</v>
      </c>
      <c r="Y80" s="66">
        <f t="shared" si="457"/>
        <v>105.9117671</v>
      </c>
      <c r="Z80" s="67">
        <f t="shared" si="435"/>
        <v>-8.088232932</v>
      </c>
      <c r="AA80" s="68">
        <f t="shared" si="436"/>
        <v>-0.07094941168</v>
      </c>
      <c r="AB80" s="84">
        <f>AB78/AB79</f>
        <v>114</v>
      </c>
      <c r="AC80" s="66">
        <f>IFERROR(AC78/AC79,"-")</f>
        <v>109.8522973</v>
      </c>
      <c r="AD80" s="67">
        <f t="shared" si="437"/>
        <v>-4.147702703</v>
      </c>
      <c r="AE80" s="68">
        <f t="shared" si="438"/>
        <v>-0.03638335704</v>
      </c>
      <c r="AF80" s="312">
        <f>AF78/AF79</f>
        <v>114</v>
      </c>
      <c r="AG80" s="296">
        <f t="shared" ref="AG80:AL80" si="458">IFERROR(AG78/AG79,"-")</f>
        <v>111.3251163</v>
      </c>
      <c r="AH80" s="296">
        <f t="shared" si="458"/>
        <v>85.66166667</v>
      </c>
      <c r="AI80" s="296">
        <f t="shared" si="458"/>
        <v>101.1508</v>
      </c>
      <c r="AJ80" s="296" t="str">
        <f t="shared" si="458"/>
        <v>-</v>
      </c>
      <c r="AK80" s="296" t="str">
        <f t="shared" si="458"/>
        <v>-</v>
      </c>
      <c r="AL80" s="298">
        <f t="shared" si="458"/>
        <v>102.9960465</v>
      </c>
      <c r="AM80" s="67">
        <f t="shared" si="439"/>
        <v>-11.00395349</v>
      </c>
      <c r="AN80" s="68">
        <f t="shared" si="440"/>
        <v>-0.09652590779</v>
      </c>
      <c r="AO80" s="84">
        <f>AO78/AO79</f>
        <v>114</v>
      </c>
      <c r="AP80" s="66" t="str">
        <f>IFERROR(AP78/AP79,"-")</f>
        <v>-</v>
      </c>
      <c r="AQ80" s="67" t="str">
        <f t="shared" si="441"/>
        <v>-</v>
      </c>
      <c r="AR80" s="68" t="str">
        <f t="shared" si="442"/>
        <v>-</v>
      </c>
      <c r="AS80" s="84">
        <f>AS78/AS79</f>
        <v>114</v>
      </c>
      <c r="AT80" s="66" t="str">
        <f>IFERROR(AT78/AT79,"-")</f>
        <v>-</v>
      </c>
      <c r="AU80" s="67" t="str">
        <f t="shared" si="443"/>
        <v>-</v>
      </c>
      <c r="AV80" s="68" t="str">
        <f t="shared" si="444"/>
        <v>-</v>
      </c>
      <c r="AW80" s="84">
        <f>AW78/AW79</f>
        <v>114</v>
      </c>
      <c r="AX80" s="66" t="str">
        <f>IFERROR(AX78/AX79,"-")</f>
        <v>-</v>
      </c>
      <c r="AY80" s="67" t="str">
        <f t="shared" si="445"/>
        <v>-</v>
      </c>
      <c r="AZ80" s="68" t="str">
        <f t="shared" si="446"/>
        <v>-</v>
      </c>
      <c r="BA80" s="84">
        <f>BA78/BA79</f>
        <v>114</v>
      </c>
      <c r="BB80" s="66" t="str">
        <f>IFERROR(BB78/BB79,"-")</f>
        <v>-</v>
      </c>
      <c r="BC80" s="67" t="str">
        <f t="shared" si="447"/>
        <v>-</v>
      </c>
      <c r="BD80" s="68" t="str">
        <f t="shared" si="448"/>
        <v>-</v>
      </c>
      <c r="BE80" s="84">
        <f>BE78/BE79</f>
        <v>114</v>
      </c>
      <c r="BF80" s="66" t="str">
        <f>IFERROR(BF78/BF79,"-")</f>
        <v>-</v>
      </c>
      <c r="BG80" s="67" t="str">
        <f t="shared" si="449"/>
        <v>-</v>
      </c>
      <c r="BH80" s="68" t="str">
        <f t="shared" si="450"/>
        <v>-</v>
      </c>
      <c r="BI80" s="81">
        <f>BI78/BI79</f>
        <v>114</v>
      </c>
      <c r="BJ80" s="66" t="str">
        <f>IFERROR(BJ78/BJ79,"-")</f>
        <v>-</v>
      </c>
      <c r="BK80" s="67" t="str">
        <f t="shared" si="451"/>
        <v>-</v>
      </c>
      <c r="BL80" s="70" t="str">
        <f t="shared" si="452"/>
        <v>-</v>
      </c>
      <c r="BM80" s="89">
        <f t="shared" ref="BM80:BN80" si="459">BM78/BM79</f>
        <v>114</v>
      </c>
      <c r="BN80" s="90">
        <f t="shared" si="459"/>
        <v>113.6391293</v>
      </c>
      <c r="BO80" s="76">
        <f t="shared" si="454"/>
        <v>-0.003165532127</v>
      </c>
      <c r="BP80" s="88">
        <f>BP78/BP79</f>
        <v>113.1765489</v>
      </c>
      <c r="BQ80" s="78">
        <f>BM80/BP80-1</f>
        <v>0.007275810042</v>
      </c>
      <c r="BR80" s="3"/>
      <c r="BS80" s="3"/>
      <c r="BT80" s="3"/>
      <c r="BU80" s="3"/>
      <c r="BV80" s="3"/>
      <c r="BW80" s="3"/>
    </row>
    <row r="81" ht="15.75" customHeight="1">
      <c r="A81" s="1"/>
      <c r="B81" s="105"/>
      <c r="C81" s="106"/>
      <c r="D81" s="107"/>
      <c r="E81" s="144"/>
      <c r="F81" s="109"/>
      <c r="G81" s="110"/>
      <c r="H81" s="111"/>
      <c r="I81" s="112"/>
      <c r="J81" s="91" t="s">
        <v>66</v>
      </c>
      <c r="K81" s="92">
        <v>0.039</v>
      </c>
      <c r="L81" s="99">
        <f t="shared" ref="L81:M81" si="460">L78*$K$81</f>
        <v>1959.126</v>
      </c>
      <c r="M81" s="94">
        <f t="shared" si="460"/>
        <v>1959.13536</v>
      </c>
      <c r="N81" s="95">
        <f t="shared" si="429"/>
        <v>0.00936</v>
      </c>
      <c r="O81" s="96">
        <f t="shared" si="430"/>
        <v>0.000004777640642</v>
      </c>
      <c r="P81" s="99">
        <f t="shared" ref="P81:Q81" si="461">P78*$K$81</f>
        <v>1929.876</v>
      </c>
      <c r="Q81" s="94">
        <f t="shared" si="461"/>
        <v>1907.87142</v>
      </c>
      <c r="R81" s="95">
        <f t="shared" si="431"/>
        <v>-22.00458</v>
      </c>
      <c r="S81" s="98">
        <f t="shared" si="432"/>
        <v>-0.01140206936</v>
      </c>
      <c r="T81" s="99">
        <f t="shared" ref="T81:U81" si="462">T78*$K$81</f>
        <v>2223.32994</v>
      </c>
      <c r="U81" s="94">
        <f t="shared" si="462"/>
        <v>991.29342</v>
      </c>
      <c r="V81" s="95">
        <f t="shared" si="433"/>
        <v>-1232.03652</v>
      </c>
      <c r="W81" s="96">
        <f t="shared" si="434"/>
        <v>-0.5541402101</v>
      </c>
      <c r="X81" s="99">
        <f t="shared" ref="X81:Y81" si="463">X78*$K$81</f>
        <v>2223.32994</v>
      </c>
      <c r="Y81" s="94">
        <f t="shared" si="463"/>
        <v>1028.50917</v>
      </c>
      <c r="Z81" s="95">
        <f t="shared" si="435"/>
        <v>-1194.82077</v>
      </c>
      <c r="AA81" s="96">
        <f t="shared" si="436"/>
        <v>-0.5374014664</v>
      </c>
      <c r="AB81" s="99">
        <f t="shared" ref="AB81:AC81" si="464">AB78*$K$81</f>
        <v>3705.5499</v>
      </c>
      <c r="AC81" s="94">
        <f t="shared" si="464"/>
        <v>951.10119</v>
      </c>
      <c r="AD81" s="95">
        <f t="shared" si="437"/>
        <v>-2754.44871</v>
      </c>
      <c r="AE81" s="299">
        <f t="shared" si="438"/>
        <v>-0.7433306215</v>
      </c>
      <c r="AF81" s="300">
        <f t="shared" ref="AF81:AL81" si="465">AF78*$K$81</f>
        <v>5928.87984</v>
      </c>
      <c r="AG81" s="301">
        <f t="shared" si="465"/>
        <v>186.69222</v>
      </c>
      <c r="AH81" s="301">
        <f t="shared" si="465"/>
        <v>60.13449</v>
      </c>
      <c r="AI81" s="301">
        <f t="shared" si="465"/>
        <v>98.62203</v>
      </c>
      <c r="AJ81" s="301">
        <f t="shared" si="465"/>
        <v>0</v>
      </c>
      <c r="AK81" s="301">
        <f t="shared" si="465"/>
        <v>0</v>
      </c>
      <c r="AL81" s="302">
        <f t="shared" si="465"/>
        <v>345.44874</v>
      </c>
      <c r="AM81" s="311">
        <f t="shared" si="439"/>
        <v>-5583.4311</v>
      </c>
      <c r="AN81" s="96">
        <f t="shared" si="440"/>
        <v>-0.9417345689</v>
      </c>
      <c r="AO81" s="99">
        <f t="shared" ref="AO81:AP81" si="466">AO78*$K$81</f>
        <v>7411.0998</v>
      </c>
      <c r="AP81" s="94">
        <f t="shared" si="466"/>
        <v>0</v>
      </c>
      <c r="AQ81" s="95">
        <f t="shared" si="441"/>
        <v>-7411.0998</v>
      </c>
      <c r="AR81" s="96">
        <f t="shared" si="442"/>
        <v>-1</v>
      </c>
      <c r="AS81" s="99">
        <f t="shared" ref="AS81:AT81" si="467">AS78*$K$81</f>
        <v>11116.6497</v>
      </c>
      <c r="AT81" s="94">
        <f t="shared" si="467"/>
        <v>0</v>
      </c>
      <c r="AU81" s="95">
        <f t="shared" si="443"/>
        <v>-11116.6497</v>
      </c>
      <c r="AV81" s="96">
        <f t="shared" si="444"/>
        <v>-1</v>
      </c>
      <c r="AW81" s="99">
        <f t="shared" ref="AW81:AX81" si="468">AW78*$K$81</f>
        <v>11116.6497</v>
      </c>
      <c r="AX81" s="94">
        <f t="shared" si="468"/>
        <v>0</v>
      </c>
      <c r="AY81" s="95">
        <f t="shared" si="445"/>
        <v>-11116.6497</v>
      </c>
      <c r="AZ81" s="96">
        <f t="shared" si="446"/>
        <v>-1</v>
      </c>
      <c r="BA81" s="99">
        <f t="shared" ref="BA81:BB81" si="469">BA78*$K$81</f>
        <v>8893.31976</v>
      </c>
      <c r="BB81" s="94">
        <f t="shared" si="469"/>
        <v>0</v>
      </c>
      <c r="BC81" s="95">
        <f t="shared" si="447"/>
        <v>-8893.31976</v>
      </c>
      <c r="BD81" s="96">
        <f t="shared" si="448"/>
        <v>-1</v>
      </c>
      <c r="BE81" s="99">
        <f t="shared" ref="BE81:BF81" si="470">BE78*$K$81</f>
        <v>11857.75968</v>
      </c>
      <c r="BF81" s="94">
        <f t="shared" si="470"/>
        <v>0</v>
      </c>
      <c r="BG81" s="95">
        <f t="shared" si="449"/>
        <v>-11857.75968</v>
      </c>
      <c r="BH81" s="96">
        <f t="shared" si="450"/>
        <v>-1</v>
      </c>
      <c r="BI81" s="94">
        <f t="shared" ref="BI81:BJ81" si="471">BI78*$K$81</f>
        <v>9634.42974</v>
      </c>
      <c r="BJ81" s="94">
        <f t="shared" si="471"/>
        <v>0</v>
      </c>
      <c r="BK81" s="95">
        <f t="shared" si="451"/>
        <v>-9634.42974</v>
      </c>
      <c r="BL81" s="98">
        <f t="shared" si="452"/>
        <v>-1</v>
      </c>
      <c r="BM81" s="100">
        <f t="shared" ref="BM81:BN81" si="472">SUM(L81,P81,T81,X81,AB81,AF81,AO81,AS81,AW81,BA81,BE81,BI81)</f>
        <v>78000</v>
      </c>
      <c r="BN81" s="101">
        <f t="shared" si="472"/>
        <v>7024.60278</v>
      </c>
      <c r="BO81" s="102">
        <f t="shared" si="454"/>
        <v>-0.90994099</v>
      </c>
      <c r="BP81" s="103">
        <f>BP78*$K$81+8*199</f>
        <v>9214.7801</v>
      </c>
      <c r="BQ81" s="104">
        <f>BM81/BP81</f>
        <v>8.464662114</v>
      </c>
      <c r="BR81" s="3"/>
      <c r="BS81" s="3"/>
      <c r="BT81" s="3"/>
      <c r="BU81" s="3"/>
      <c r="BV81" s="3"/>
      <c r="BW81" s="3"/>
    </row>
    <row r="82" ht="15.75" customHeight="1">
      <c r="A82" s="1"/>
      <c r="B82" s="105"/>
      <c r="C82" s="106"/>
      <c r="D82" s="107"/>
      <c r="E82" s="144"/>
      <c r="F82" s="109"/>
      <c r="G82" s="110"/>
      <c r="H82" s="111"/>
      <c r="I82" s="112"/>
      <c r="J82" s="12"/>
      <c r="K82" s="148"/>
      <c r="L82" s="136"/>
      <c r="M82" s="136"/>
      <c r="N82" s="136"/>
      <c r="O82" s="136"/>
      <c r="P82" s="136"/>
      <c r="Q82" s="160"/>
      <c r="R82" s="136"/>
      <c r="S82" s="136"/>
      <c r="T82" s="136"/>
      <c r="U82" s="136"/>
      <c r="V82" s="136"/>
      <c r="W82" s="136"/>
      <c r="X82" s="137"/>
      <c r="Y82" s="14"/>
      <c r="Z82" s="15"/>
      <c r="AA82" s="3"/>
      <c r="AB82" s="3"/>
      <c r="AC82" s="3"/>
      <c r="AD82" s="3"/>
      <c r="AE82" s="3"/>
      <c r="AF82" s="3"/>
      <c r="AV82" s="138"/>
      <c r="AW82" s="25"/>
      <c r="AX82" s="139"/>
      <c r="AY82" s="25"/>
    </row>
    <row r="83" ht="15.75" customHeight="1">
      <c r="A83" s="1"/>
      <c r="B83" s="105"/>
      <c r="C83" s="106"/>
      <c r="D83" s="107"/>
      <c r="E83" s="144"/>
      <c r="F83" s="109"/>
      <c r="G83" s="110"/>
      <c r="H83" s="111"/>
      <c r="I83" s="112"/>
      <c r="J83" s="34" t="s">
        <v>87</v>
      </c>
      <c r="K83" s="35"/>
      <c r="L83" s="36" t="s">
        <v>10</v>
      </c>
      <c r="M83" s="37" t="s">
        <v>11</v>
      </c>
      <c r="N83" s="38" t="s">
        <v>12</v>
      </c>
      <c r="O83" s="39" t="s">
        <v>13</v>
      </c>
      <c r="P83" s="119" t="s">
        <v>14</v>
      </c>
      <c r="Q83" s="152" t="s">
        <v>15</v>
      </c>
      <c r="R83" s="38" t="s">
        <v>16</v>
      </c>
      <c r="S83" s="42" t="s">
        <v>17</v>
      </c>
      <c r="T83" s="43" t="s">
        <v>18</v>
      </c>
      <c r="U83" s="152" t="s">
        <v>19</v>
      </c>
      <c r="V83" s="38" t="s">
        <v>20</v>
      </c>
      <c r="W83" s="45" t="s">
        <v>21</v>
      </c>
      <c r="X83" s="44" t="s">
        <v>22</v>
      </c>
      <c r="Y83" s="152" t="s">
        <v>23</v>
      </c>
      <c r="Z83" s="38" t="s">
        <v>24</v>
      </c>
      <c r="AA83" s="45" t="s">
        <v>25</v>
      </c>
      <c r="AB83" s="43" t="s">
        <v>26</v>
      </c>
      <c r="AC83" s="152" t="s">
        <v>27</v>
      </c>
      <c r="AD83" s="38" t="s">
        <v>28</v>
      </c>
      <c r="AE83" s="45" t="s">
        <v>29</v>
      </c>
      <c r="AF83" s="44" t="s">
        <v>30</v>
      </c>
      <c r="AG83" s="261" t="s">
        <v>107</v>
      </c>
      <c r="AH83" s="262" t="s">
        <v>108</v>
      </c>
      <c r="AI83" s="262" t="s">
        <v>109</v>
      </c>
      <c r="AJ83" s="262" t="s">
        <v>110</v>
      </c>
      <c r="AK83" s="262" t="s">
        <v>111</v>
      </c>
      <c r="AL83" s="262" t="s">
        <v>31</v>
      </c>
      <c r="AM83" s="38" t="s">
        <v>32</v>
      </c>
      <c r="AN83" s="45" t="s">
        <v>33</v>
      </c>
      <c r="AO83" s="43" t="s">
        <v>34</v>
      </c>
      <c r="AP83" s="152" t="s">
        <v>35</v>
      </c>
      <c r="AQ83" s="38" t="s">
        <v>36</v>
      </c>
      <c r="AR83" s="45" t="s">
        <v>37</v>
      </c>
      <c r="AS83" s="44" t="s">
        <v>38</v>
      </c>
      <c r="AT83" s="152" t="s">
        <v>39</v>
      </c>
      <c r="AU83" s="38" t="s">
        <v>40</v>
      </c>
      <c r="AV83" s="45" t="s">
        <v>41</v>
      </c>
      <c r="AW83" s="43" t="s">
        <v>42</v>
      </c>
      <c r="AX83" s="152" t="s">
        <v>43</v>
      </c>
      <c r="AY83" s="38" t="s">
        <v>44</v>
      </c>
      <c r="AZ83" s="45" t="s">
        <v>45</v>
      </c>
      <c r="BA83" s="44" t="s">
        <v>46</v>
      </c>
      <c r="BB83" s="152" t="s">
        <v>47</v>
      </c>
      <c r="BC83" s="38" t="s">
        <v>48</v>
      </c>
      <c r="BD83" s="45" t="s">
        <v>49</v>
      </c>
      <c r="BE83" s="43" t="s">
        <v>50</v>
      </c>
      <c r="BF83" s="152" t="s">
        <v>51</v>
      </c>
      <c r="BG83" s="38" t="s">
        <v>52</v>
      </c>
      <c r="BH83" s="45" t="s">
        <v>53</v>
      </c>
      <c r="BI83" s="153" t="s">
        <v>54</v>
      </c>
      <c r="BJ83" s="152" t="s">
        <v>55</v>
      </c>
      <c r="BK83" s="38" t="s">
        <v>56</v>
      </c>
      <c r="BL83" s="42" t="s">
        <v>57</v>
      </c>
      <c r="BM83" s="46">
        <v>2026.0</v>
      </c>
      <c r="BN83" s="37" t="s">
        <v>58</v>
      </c>
      <c r="BO83" s="47" t="s">
        <v>59</v>
      </c>
      <c r="BP83" s="48">
        <v>2025.0</v>
      </c>
      <c r="BQ83" s="49"/>
      <c r="BR83" s="3"/>
      <c r="BS83" s="3"/>
      <c r="BT83" s="3"/>
      <c r="BU83" s="3"/>
      <c r="BV83" s="3"/>
      <c r="BW83" s="3"/>
    </row>
    <row r="84" ht="15.75" customHeight="1">
      <c r="A84" s="1"/>
      <c r="B84" s="105"/>
      <c r="C84" s="106"/>
      <c r="D84" s="107"/>
      <c r="E84" s="144"/>
      <c r="F84" s="109"/>
      <c r="G84" s="178"/>
      <c r="H84" s="179"/>
      <c r="I84" s="180"/>
      <c r="J84" s="263" t="s">
        <v>112</v>
      </c>
      <c r="K84" s="264"/>
      <c r="L84" s="265"/>
      <c r="M84" s="266"/>
      <c r="N84" s="267"/>
      <c r="O84" s="268"/>
      <c r="P84" s="265"/>
      <c r="Q84" s="307"/>
      <c r="R84" s="267"/>
      <c r="S84" s="270"/>
      <c r="T84" s="271"/>
      <c r="U84" s="272"/>
      <c r="V84" s="267"/>
      <c r="W84" s="268"/>
      <c r="X84" s="271"/>
      <c r="Y84" s="272"/>
      <c r="Z84" s="267"/>
      <c r="AA84" s="268"/>
      <c r="AB84" s="271"/>
      <c r="AC84" s="272"/>
      <c r="AD84" s="267"/>
      <c r="AE84" s="268"/>
      <c r="AF84" s="271"/>
      <c r="AG84" s="273">
        <f t="shared" ref="AG84:AK84" si="473">$AF$85/5</f>
        <v>0.012</v>
      </c>
      <c r="AH84" s="273">
        <f t="shared" si="473"/>
        <v>0.012</v>
      </c>
      <c r="AI84" s="273">
        <f t="shared" si="473"/>
        <v>0.012</v>
      </c>
      <c r="AJ84" s="273">
        <f t="shared" si="473"/>
        <v>0.012</v>
      </c>
      <c r="AK84" s="273">
        <f t="shared" si="473"/>
        <v>0.012</v>
      </c>
      <c r="AL84" s="273"/>
      <c r="AM84" s="267"/>
      <c r="AN84" s="268"/>
      <c r="AO84" s="271"/>
      <c r="AP84" s="272"/>
      <c r="AQ84" s="267"/>
      <c r="AR84" s="268"/>
      <c r="AS84" s="271"/>
      <c r="AT84" s="272"/>
      <c r="AU84" s="267"/>
      <c r="AV84" s="268"/>
      <c r="AW84" s="271"/>
      <c r="AX84" s="272"/>
      <c r="AY84" s="267"/>
      <c r="AZ84" s="268"/>
      <c r="BA84" s="271"/>
      <c r="BB84" s="272"/>
      <c r="BC84" s="267"/>
      <c r="BD84" s="268"/>
      <c r="BE84" s="271"/>
      <c r="BF84" s="272"/>
      <c r="BG84" s="267"/>
      <c r="BH84" s="268"/>
      <c r="BI84" s="308"/>
      <c r="BJ84" s="272"/>
      <c r="BK84" s="267"/>
      <c r="BL84" s="270"/>
      <c r="BM84" s="275"/>
      <c r="BN84" s="276"/>
      <c r="BO84" s="277"/>
      <c r="BP84" s="278"/>
      <c r="BQ84" s="64"/>
      <c r="BR84" s="3"/>
      <c r="BS84" s="3"/>
      <c r="BT84" s="3"/>
      <c r="BU84" s="3"/>
      <c r="BV84" s="3"/>
      <c r="BW84" s="3"/>
    </row>
    <row r="85" ht="15.75" customHeight="1">
      <c r="A85" s="1"/>
      <c r="B85" s="105">
        <v>12.0</v>
      </c>
      <c r="C85" s="106" t="s">
        <v>88</v>
      </c>
      <c r="D85" s="107"/>
      <c r="E85" s="144"/>
      <c r="F85" s="109"/>
      <c r="G85" s="178">
        <v>1.776575282001109E7</v>
      </c>
      <c r="H85" s="179">
        <v>181714.0</v>
      </c>
      <c r="I85" s="180">
        <v>97.76766138003175</v>
      </c>
      <c r="J85" s="50" t="s">
        <v>61</v>
      </c>
      <c r="K85" s="51"/>
      <c r="L85" s="52" t="s">
        <v>60</v>
      </c>
      <c r="M85" s="53" t="s">
        <v>60</v>
      </c>
      <c r="N85" s="54" t="s">
        <v>60</v>
      </c>
      <c r="O85" s="55" t="s">
        <v>62</v>
      </c>
      <c r="P85" s="52" t="s">
        <v>60</v>
      </c>
      <c r="Q85" s="154" t="s">
        <v>60</v>
      </c>
      <c r="R85" s="54" t="s">
        <v>60</v>
      </c>
      <c r="S85" s="57" t="s">
        <v>62</v>
      </c>
      <c r="T85" s="58">
        <v>0.025</v>
      </c>
      <c r="U85" s="59">
        <f>U86/(BM86-(L86 + P86))</f>
        <v>0.03731173259</v>
      </c>
      <c r="V85" s="54" t="s">
        <v>60</v>
      </c>
      <c r="W85" s="55" t="s">
        <v>62</v>
      </c>
      <c r="X85" s="58">
        <v>0.025</v>
      </c>
      <c r="Y85" s="59">
        <f>Y86/(BM86-(L86+P86))</f>
        <v>0.02815956264</v>
      </c>
      <c r="Z85" s="54" t="s">
        <v>60</v>
      </c>
      <c r="AA85" s="55" t="s">
        <v>62</v>
      </c>
      <c r="AB85" s="58">
        <v>0.04</v>
      </c>
      <c r="AC85" s="59">
        <f>AC86/(BM86-(L86+P86))</f>
        <v>0.01618314963</v>
      </c>
      <c r="AD85" s="54" t="s">
        <v>60</v>
      </c>
      <c r="AE85" s="55" t="s">
        <v>62</v>
      </c>
      <c r="AF85" s="58">
        <v>0.06</v>
      </c>
      <c r="AG85" s="61">
        <f t="shared" ref="AG85:AK85" si="474">AG86/($BM$86-($L$86+$P$86))</f>
        <v>0.004129045873</v>
      </c>
      <c r="AH85" s="61">
        <f t="shared" si="474"/>
        <v>0.006058864615</v>
      </c>
      <c r="AI85" s="61">
        <f t="shared" si="474"/>
        <v>0.006338555179</v>
      </c>
      <c r="AJ85" s="61">
        <f t="shared" si="474"/>
        <v>0</v>
      </c>
      <c r="AK85" s="61">
        <f t="shared" si="474"/>
        <v>0</v>
      </c>
      <c r="AL85" s="279">
        <f t="shared" ref="AL85:AL87" si="476">SUM(AG85:AK85)</f>
        <v>0.01652646567</v>
      </c>
      <c r="AM85" s="280">
        <f>AL85-AF85</f>
        <v>-0.04347353433</v>
      </c>
      <c r="AN85" s="55" t="s">
        <v>62</v>
      </c>
      <c r="AO85" s="58">
        <v>0.08</v>
      </c>
      <c r="AP85" s="59">
        <f>AP86/(BM86-(L86+P86))</f>
        <v>0</v>
      </c>
      <c r="AQ85" s="54" t="s">
        <v>60</v>
      </c>
      <c r="AR85" s="55" t="s">
        <v>62</v>
      </c>
      <c r="AS85" s="58">
        <v>0.13</v>
      </c>
      <c r="AT85" s="59">
        <f>AT86/(BM86-(L86+P86))</f>
        <v>0</v>
      </c>
      <c r="AU85" s="54" t="s">
        <v>60</v>
      </c>
      <c r="AV85" s="55" t="s">
        <v>62</v>
      </c>
      <c r="AW85" s="58">
        <v>0.13</v>
      </c>
      <c r="AX85" s="59">
        <f>AX86/(BM86-(L86+P86))</f>
        <v>0</v>
      </c>
      <c r="AY85" s="54" t="s">
        <v>60</v>
      </c>
      <c r="AZ85" s="55" t="s">
        <v>62</v>
      </c>
      <c r="BA85" s="58">
        <v>0.15</v>
      </c>
      <c r="BB85" s="59">
        <f>BB86/(BM86-(L86+P86))</f>
        <v>0</v>
      </c>
      <c r="BC85" s="54" t="s">
        <v>60</v>
      </c>
      <c r="BD85" s="55" t="s">
        <v>62</v>
      </c>
      <c r="BE85" s="58">
        <v>0.19</v>
      </c>
      <c r="BF85" s="59">
        <f>BF86/(BM86-(L86+P86))</f>
        <v>0</v>
      </c>
      <c r="BG85" s="54" t="s">
        <v>60</v>
      </c>
      <c r="BH85" s="55" t="s">
        <v>62</v>
      </c>
      <c r="BI85" s="155">
        <v>0.17</v>
      </c>
      <c r="BJ85" s="59">
        <f>BJ86/(BM86-(L86+P86))</f>
        <v>0</v>
      </c>
      <c r="BK85" s="54" t="s">
        <v>60</v>
      </c>
      <c r="BL85" s="57" t="s">
        <v>62</v>
      </c>
      <c r="BM85" s="60">
        <f t="shared" ref="BM85:BN85" si="475">SUM(T85,X85,AB85,AF85,AO85,AS85,AW85,BA85,BE85,BI85)</f>
        <v>1</v>
      </c>
      <c r="BN85" s="61">
        <f t="shared" si="475"/>
        <v>0.08578349074</v>
      </c>
      <c r="BO85" s="62"/>
      <c r="BP85" s="63" t="s">
        <v>60</v>
      </c>
      <c r="BQ85" s="64"/>
      <c r="BR85" s="3"/>
      <c r="BS85" s="3"/>
      <c r="BT85" s="3"/>
      <c r="BU85" s="3"/>
      <c r="BV85" s="3"/>
      <c r="BW85" s="3"/>
    </row>
    <row r="86" ht="15.75" customHeight="1">
      <c r="A86" s="1"/>
      <c r="B86" s="105"/>
      <c r="C86" s="106"/>
      <c r="D86" s="107"/>
      <c r="E86" s="144"/>
      <c r="F86" s="109"/>
      <c r="G86" s="110"/>
      <c r="H86" s="111"/>
      <c r="I86" s="112"/>
      <c r="J86" s="50" t="s">
        <v>63</v>
      </c>
      <c r="K86" s="51"/>
      <c r="L86" s="127">
        <v>59138.0</v>
      </c>
      <c r="M86" s="66">
        <v>59722.48</v>
      </c>
      <c r="N86" s="67">
        <f t="shared" ref="N86:N89" si="477">IFERROR(M86-L86,"-")</f>
        <v>584.48</v>
      </c>
      <c r="O86" s="68">
        <f t="shared" ref="O86:O89" si="478">IFERROR(M86/L86-1,"-")</f>
        <v>0.009883323751</v>
      </c>
      <c r="P86" s="127">
        <v>60563.0</v>
      </c>
      <c r="Q86" s="66">
        <v>58634.48</v>
      </c>
      <c r="R86" s="67">
        <f t="shared" ref="R86:R89" si="479">IFERROR(Q86-P86,"-")</f>
        <v>-1928.52</v>
      </c>
      <c r="S86" s="70">
        <f t="shared" ref="S86:S89" si="480">IFERROR(Q86/P86-1,"-")</f>
        <v>-0.0318432046</v>
      </c>
      <c r="T86" s="71">
        <f>($BM$86-($L$86+$P$86))*T85</f>
        <v>52007.475</v>
      </c>
      <c r="U86" s="66">
        <v>77619.56</v>
      </c>
      <c r="V86" s="67">
        <f t="shared" ref="V86:V89" si="481">IFERROR(U86-T86,"-")</f>
        <v>25612.085</v>
      </c>
      <c r="W86" s="68">
        <f t="shared" ref="W86:W89" si="482">IFERROR(U86/T86-1,"-")</f>
        <v>0.4924693037</v>
      </c>
      <c r="X86" s="71">
        <f>($BM$86-($L$86+$P$86))*X85</f>
        <v>52007.475</v>
      </c>
      <c r="Y86" s="66">
        <v>58580.31</v>
      </c>
      <c r="Z86" s="67">
        <f t="shared" ref="Z86:Z89" si="484">IFERROR(Y86-X86,"-")</f>
        <v>6572.835</v>
      </c>
      <c r="AA86" s="68">
        <f t="shared" ref="AA86:AA89" si="485">IFERROR(Y86/X86-1,"-")</f>
        <v>0.1263825056</v>
      </c>
      <c r="AB86" s="71">
        <f>($BM$86-($L$86+$P$86))*AB85</f>
        <v>83211.96</v>
      </c>
      <c r="AC86" s="66">
        <v>33665.79</v>
      </c>
      <c r="AD86" s="67">
        <f t="shared" ref="AD86:AD89" si="486">IFERROR(AC86-AB86,"-")</f>
        <v>-49546.17</v>
      </c>
      <c r="AE86" s="68">
        <f t="shared" ref="AE86:AE89" si="487">IFERROR(AC86/AB86-1,"-")</f>
        <v>-0.5954212592</v>
      </c>
      <c r="AF86" s="71">
        <f>($BM$86-($L$86+$P$86))*AF85</f>
        <v>124817.94</v>
      </c>
      <c r="AG86" s="73">
        <v>8589.65</v>
      </c>
      <c r="AH86" s="73">
        <v>12604.25</v>
      </c>
      <c r="AI86" s="73">
        <v>13186.09</v>
      </c>
      <c r="AJ86" s="73"/>
      <c r="AK86" s="73"/>
      <c r="AL86" s="283">
        <f t="shared" si="476"/>
        <v>34379.99</v>
      </c>
      <c r="AM86" s="67">
        <f t="shared" ref="AM86:AM89" si="488">IFERROR(AL86-AF86,"-")</f>
        <v>-90437.95</v>
      </c>
      <c r="AN86" s="68">
        <f t="shared" ref="AN86:AN89" si="489">IFERROR(AL86/AF86-1,"-")</f>
        <v>-0.7245589056</v>
      </c>
      <c r="AO86" s="71">
        <f>($BM$86-($L$86+$P$86))*AO85</f>
        <v>166423.92</v>
      </c>
      <c r="AP86" s="66">
        <v>0.0</v>
      </c>
      <c r="AQ86" s="67">
        <f t="shared" ref="AQ86:AQ89" si="490">IFERROR(AP86-AO86,"-")</f>
        <v>-166423.92</v>
      </c>
      <c r="AR86" s="68">
        <f t="shared" ref="AR86:AR89" si="491">IFERROR(AP86/AO86-1,"-")</f>
        <v>-1</v>
      </c>
      <c r="AS86" s="71">
        <f>($BM$86-($L$86+$P$86))*AS85</f>
        <v>270438.87</v>
      </c>
      <c r="AT86" s="66">
        <v>0.0</v>
      </c>
      <c r="AU86" s="67">
        <f t="shared" ref="AU86:AU89" si="492">IFERROR(AT86-AS86,"-")</f>
        <v>-270438.87</v>
      </c>
      <c r="AV86" s="68">
        <f t="shared" ref="AV86:AV89" si="493">IFERROR(AT86/AS86-1,"-")</f>
        <v>-1</v>
      </c>
      <c r="AW86" s="71">
        <f>($BM$86-($L$86+$P$86))*AW85</f>
        <v>270438.87</v>
      </c>
      <c r="AX86" s="66">
        <v>0.0</v>
      </c>
      <c r="AY86" s="67">
        <f t="shared" ref="AY86:AY89" si="494">IFERROR(AX86-AW86,"-")</f>
        <v>-270438.87</v>
      </c>
      <c r="AZ86" s="68">
        <f t="shared" ref="AZ86:AZ89" si="495">IFERROR(AX86/AW86-1,"-")</f>
        <v>-1</v>
      </c>
      <c r="BA86" s="71">
        <f>($BM$86-($L$86+$P$86))*BA85</f>
        <v>312044.85</v>
      </c>
      <c r="BB86" s="66">
        <v>0.0</v>
      </c>
      <c r="BC86" s="67">
        <f t="shared" ref="BC86:BC89" si="496">IFERROR(BB86-BA86,"-")</f>
        <v>-312044.85</v>
      </c>
      <c r="BD86" s="68">
        <f t="shared" ref="BD86:BD89" si="497">IFERROR(BB86/BA86-1,"-")</f>
        <v>-1</v>
      </c>
      <c r="BE86" s="71">
        <f>($BM$86-($L$86+$P$86))*BE85</f>
        <v>395256.81</v>
      </c>
      <c r="BF86" s="66">
        <v>0.0</v>
      </c>
      <c r="BG86" s="67">
        <f t="shared" ref="BG86:BG89" si="498">IFERROR(BF86-BE86,"-")</f>
        <v>-395256.81</v>
      </c>
      <c r="BH86" s="68">
        <f t="shared" ref="BH86:BH89" si="499">IFERROR(BF86/BE86-1,"-")</f>
        <v>-1</v>
      </c>
      <c r="BI86" s="66">
        <f>($BM$86-($L$86+$P$86))*BI85</f>
        <v>353650.83</v>
      </c>
      <c r="BJ86" s="66">
        <v>0.0</v>
      </c>
      <c r="BK86" s="67">
        <f t="shared" ref="BK86:BK89" si="500">IFERROR(BJ86-BI86,"-")</f>
        <v>-353650.83</v>
      </c>
      <c r="BL86" s="70">
        <f t="shared" ref="BL86:BL89" si="501">IFERROR(BJ86/BI86-1,"-")</f>
        <v>-1</v>
      </c>
      <c r="BM86" s="74">
        <v>2200000.0</v>
      </c>
      <c r="BN86" s="75">
        <f>SUM(M86,Q86,U86,Y86,AC86,AG86,AP86,AT86,AX86,BB86,BF86,BJ86)</f>
        <v>296812.27</v>
      </c>
      <c r="BO86" s="76">
        <f t="shared" ref="BO86:BO89" si="503">IFERROR(BN86/BM86-1,"-")</f>
        <v>-0.8650853318</v>
      </c>
      <c r="BP86" s="77">
        <v>294165.0</v>
      </c>
      <c r="BQ86" s="78">
        <f t="shared" ref="BQ86:BQ87" si="504">BM86/BP86</f>
        <v>7.478795914</v>
      </c>
      <c r="BR86" s="3"/>
      <c r="BS86" s="3"/>
      <c r="BT86" s="3"/>
      <c r="BU86" s="3"/>
      <c r="BV86" s="3"/>
      <c r="BW86" s="3"/>
    </row>
    <row r="87" ht="15.75" customHeight="1">
      <c r="A87" s="1"/>
      <c r="B87" s="105"/>
      <c r="C87" s="106"/>
      <c r="D87" s="107"/>
      <c r="E87" s="144"/>
      <c r="F87" s="109"/>
      <c r="G87" s="110"/>
      <c r="H87" s="111"/>
      <c r="I87" s="112"/>
      <c r="J87" s="50" t="s">
        <v>64</v>
      </c>
      <c r="K87" s="79"/>
      <c r="L87" s="129">
        <f>L86/$K$88</f>
        <v>2112.071429</v>
      </c>
      <c r="M87" s="81">
        <v>2023.0</v>
      </c>
      <c r="N87" s="82">
        <f t="shared" si="477"/>
        <v>-89.07142857</v>
      </c>
      <c r="O87" s="68">
        <f t="shared" si="478"/>
        <v>-0.04217254557</v>
      </c>
      <c r="P87" s="129">
        <f>P86/$K$88</f>
        <v>2162.964286</v>
      </c>
      <c r="Q87" s="81">
        <v>2126.0</v>
      </c>
      <c r="R87" s="82">
        <f t="shared" si="479"/>
        <v>-36.96428571</v>
      </c>
      <c r="S87" s="70">
        <f t="shared" si="480"/>
        <v>-0.01708964219</v>
      </c>
      <c r="T87" s="84">
        <f>T86/$K$88</f>
        <v>1857.409821</v>
      </c>
      <c r="U87" s="81">
        <v>2656.0</v>
      </c>
      <c r="V87" s="82">
        <f t="shared" si="481"/>
        <v>798.5901786</v>
      </c>
      <c r="W87" s="68">
        <f t="shared" si="482"/>
        <v>0.4299482911</v>
      </c>
      <c r="X87" s="84">
        <f t="shared" ref="X87:Y87" si="483">X86/$K$88</f>
        <v>1857.409821</v>
      </c>
      <c r="Y87" s="81">
        <f t="shared" si="483"/>
        <v>2092.153929</v>
      </c>
      <c r="Z87" s="82">
        <f t="shared" si="484"/>
        <v>234.7441071</v>
      </c>
      <c r="AA87" s="68">
        <f t="shared" si="485"/>
        <v>0.1263825056</v>
      </c>
      <c r="AB87" s="84">
        <f>AB86/$K$88</f>
        <v>2971.855714</v>
      </c>
      <c r="AC87" s="81">
        <v>2253.0</v>
      </c>
      <c r="AD87" s="82">
        <f t="shared" si="486"/>
        <v>-718.8557143</v>
      </c>
      <c r="AE87" s="68">
        <f t="shared" si="487"/>
        <v>-0.2418878248</v>
      </c>
      <c r="AF87" s="84">
        <f>AF86/$K$88</f>
        <v>4457.783571</v>
      </c>
      <c r="AG87" s="85">
        <v>567.0</v>
      </c>
      <c r="AH87" s="85">
        <v>599.0</v>
      </c>
      <c r="AI87" s="85">
        <v>554.0</v>
      </c>
      <c r="AJ87" s="85"/>
      <c r="AK87" s="85"/>
      <c r="AL87" s="286">
        <f t="shared" si="476"/>
        <v>1720</v>
      </c>
      <c r="AM87" s="82">
        <f t="shared" si="488"/>
        <v>-2737.783571</v>
      </c>
      <c r="AN87" s="68">
        <f t="shared" si="489"/>
        <v>-0.6141580289</v>
      </c>
      <c r="AO87" s="84">
        <f>AO86/$K$88</f>
        <v>5943.711429</v>
      </c>
      <c r="AP87" s="81">
        <v>0.0</v>
      </c>
      <c r="AQ87" s="82">
        <f t="shared" si="490"/>
        <v>-5943.711429</v>
      </c>
      <c r="AR87" s="68">
        <f t="shared" si="491"/>
        <v>-1</v>
      </c>
      <c r="AS87" s="84">
        <f>AS86/$K$88</f>
        <v>9658.531071</v>
      </c>
      <c r="AT87" s="81">
        <v>0.0</v>
      </c>
      <c r="AU87" s="82">
        <f t="shared" si="492"/>
        <v>-9658.531071</v>
      </c>
      <c r="AV87" s="68">
        <f t="shared" si="493"/>
        <v>-1</v>
      </c>
      <c r="AW87" s="84">
        <f>AW86/$K$88</f>
        <v>9658.531071</v>
      </c>
      <c r="AX87" s="81">
        <v>0.0</v>
      </c>
      <c r="AY87" s="82">
        <f t="shared" si="494"/>
        <v>-9658.531071</v>
      </c>
      <c r="AZ87" s="68">
        <f t="shared" si="495"/>
        <v>-1</v>
      </c>
      <c r="BA87" s="84">
        <f>BA86/$K$88</f>
        <v>11144.45893</v>
      </c>
      <c r="BB87" s="81">
        <v>0.0</v>
      </c>
      <c r="BC87" s="82">
        <f t="shared" si="496"/>
        <v>-11144.45893</v>
      </c>
      <c r="BD87" s="68">
        <f t="shared" si="497"/>
        <v>-1</v>
      </c>
      <c r="BE87" s="84">
        <f>BE86/$K$88</f>
        <v>14116.31464</v>
      </c>
      <c r="BF87" s="81">
        <v>0.0</v>
      </c>
      <c r="BG87" s="82">
        <f t="shared" si="498"/>
        <v>-14116.31464</v>
      </c>
      <c r="BH87" s="68">
        <f t="shared" si="499"/>
        <v>-1</v>
      </c>
      <c r="BI87" s="81">
        <f>BI86/$K$88</f>
        <v>12630.38679</v>
      </c>
      <c r="BJ87" s="81">
        <v>0.0</v>
      </c>
      <c r="BK87" s="82">
        <f t="shared" si="500"/>
        <v>-12630.38679</v>
      </c>
      <c r="BL87" s="70">
        <f t="shared" si="501"/>
        <v>-1</v>
      </c>
      <c r="BM87" s="156">
        <f t="shared" ref="BM87:BN87" si="502">SUM(L87,P87,T87,X87,AB87,AF87,AO87,AS87,AW87,BA87,BE87,BI87)</f>
        <v>78571.42857</v>
      </c>
      <c r="BN87" s="87">
        <f t="shared" si="502"/>
        <v>11717.15393</v>
      </c>
      <c r="BO87" s="76">
        <f t="shared" si="503"/>
        <v>-0.8508725864</v>
      </c>
      <c r="BP87" s="88">
        <v>3683.0</v>
      </c>
      <c r="BQ87" s="78">
        <f t="shared" si="504"/>
        <v>21.3335402</v>
      </c>
      <c r="BR87" s="3"/>
      <c r="BS87" s="3"/>
      <c r="BT87" s="3"/>
      <c r="BU87" s="3"/>
      <c r="BV87" s="3"/>
      <c r="BW87" s="3"/>
    </row>
    <row r="88" ht="15.75" customHeight="1">
      <c r="A88" s="1"/>
      <c r="B88" s="105"/>
      <c r="C88" s="106"/>
      <c r="D88" s="107"/>
      <c r="E88" s="144"/>
      <c r="F88" s="109"/>
      <c r="G88" s="110"/>
      <c r="H88" s="111"/>
      <c r="I88" s="112"/>
      <c r="J88" s="50" t="s">
        <v>65</v>
      </c>
      <c r="K88" s="79">
        <v>28.0</v>
      </c>
      <c r="L88" s="129">
        <f>L86/L87</f>
        <v>28</v>
      </c>
      <c r="M88" s="66">
        <f>IFERROR(M86/M87,"-")</f>
        <v>29.52173999</v>
      </c>
      <c r="N88" s="67">
        <f t="shared" si="477"/>
        <v>1.52173999</v>
      </c>
      <c r="O88" s="68">
        <f t="shared" si="478"/>
        <v>0.05434785679</v>
      </c>
      <c r="P88" s="65">
        <f t="shared" ref="P88:Q88" si="505">IFERROR(P86/P87,"-")</f>
        <v>28</v>
      </c>
      <c r="Q88" s="66">
        <f t="shared" si="505"/>
        <v>27.57971778</v>
      </c>
      <c r="R88" s="67">
        <f t="shared" si="479"/>
        <v>-0.4202822201</v>
      </c>
      <c r="S88" s="70">
        <f t="shared" si="480"/>
        <v>-0.01501007929</v>
      </c>
      <c r="T88" s="84">
        <f>T86/T87</f>
        <v>28</v>
      </c>
      <c r="U88" s="66">
        <f>IFERROR(U86/U87,"-")</f>
        <v>29.22423193</v>
      </c>
      <c r="V88" s="67">
        <f t="shared" si="481"/>
        <v>1.224231928</v>
      </c>
      <c r="W88" s="68">
        <f t="shared" si="482"/>
        <v>0.04372256885</v>
      </c>
      <c r="X88" s="71">
        <f t="shared" ref="X88:Y88" si="506">IFERROR(X86/X87,"-")</f>
        <v>28</v>
      </c>
      <c r="Y88" s="66">
        <f t="shared" si="506"/>
        <v>28</v>
      </c>
      <c r="Z88" s="67">
        <f t="shared" si="484"/>
        <v>0</v>
      </c>
      <c r="AA88" s="68">
        <f t="shared" si="485"/>
        <v>0</v>
      </c>
      <c r="AB88" s="84">
        <f>AB86/AB87</f>
        <v>28</v>
      </c>
      <c r="AC88" s="66">
        <f>IFERROR(AC86/AC87,"-")</f>
        <v>14.9426498</v>
      </c>
      <c r="AD88" s="67">
        <f t="shared" si="486"/>
        <v>-13.0573502</v>
      </c>
      <c r="AE88" s="68">
        <f t="shared" si="487"/>
        <v>-0.4663339357</v>
      </c>
      <c r="AF88" s="312">
        <f>AF86/AF87</f>
        <v>28</v>
      </c>
      <c r="AG88" s="296">
        <f t="shared" ref="AG88:AL88" si="507">IFERROR(AG86/AG87,"-")</f>
        <v>15.14929453</v>
      </c>
      <c r="AH88" s="296">
        <f t="shared" si="507"/>
        <v>21.04215359</v>
      </c>
      <c r="AI88" s="296">
        <f t="shared" si="507"/>
        <v>23.8016065</v>
      </c>
      <c r="AJ88" s="296" t="str">
        <f t="shared" si="507"/>
        <v>-</v>
      </c>
      <c r="AK88" s="296" t="str">
        <f t="shared" si="507"/>
        <v>-</v>
      </c>
      <c r="AL88" s="298">
        <f t="shared" si="507"/>
        <v>19.98836628</v>
      </c>
      <c r="AM88" s="67">
        <f t="shared" si="488"/>
        <v>-8.011633721</v>
      </c>
      <c r="AN88" s="68">
        <f t="shared" si="489"/>
        <v>-0.2861297757</v>
      </c>
      <c r="AO88" s="84">
        <f>AO86/AO87</f>
        <v>28</v>
      </c>
      <c r="AP88" s="66" t="str">
        <f>IFERROR(AP86/AP87,"-")</f>
        <v>-</v>
      </c>
      <c r="AQ88" s="67" t="str">
        <f t="shared" si="490"/>
        <v>-</v>
      </c>
      <c r="AR88" s="68" t="str">
        <f t="shared" si="491"/>
        <v>-</v>
      </c>
      <c r="AS88" s="84">
        <f>AS86/AS87</f>
        <v>28</v>
      </c>
      <c r="AT88" s="66" t="str">
        <f>IFERROR(AT86/AT87,"-")</f>
        <v>-</v>
      </c>
      <c r="AU88" s="67" t="str">
        <f t="shared" si="492"/>
        <v>-</v>
      </c>
      <c r="AV88" s="68" t="str">
        <f t="shared" si="493"/>
        <v>-</v>
      </c>
      <c r="AW88" s="84">
        <f>AW86/AW87</f>
        <v>28</v>
      </c>
      <c r="AX88" s="66" t="str">
        <f>IFERROR(AX86/AX87,"-")</f>
        <v>-</v>
      </c>
      <c r="AY88" s="67" t="str">
        <f t="shared" si="494"/>
        <v>-</v>
      </c>
      <c r="AZ88" s="68" t="str">
        <f t="shared" si="495"/>
        <v>-</v>
      </c>
      <c r="BA88" s="84">
        <f>BA86/BA87</f>
        <v>28</v>
      </c>
      <c r="BB88" s="66" t="str">
        <f>IFERROR(BB86/BB87,"-")</f>
        <v>-</v>
      </c>
      <c r="BC88" s="67" t="str">
        <f t="shared" si="496"/>
        <v>-</v>
      </c>
      <c r="BD88" s="68" t="str">
        <f t="shared" si="497"/>
        <v>-</v>
      </c>
      <c r="BE88" s="84">
        <f>BE86/BE87</f>
        <v>28</v>
      </c>
      <c r="BF88" s="66" t="str">
        <f>IFERROR(BF86/BF87,"-")</f>
        <v>-</v>
      </c>
      <c r="BG88" s="67" t="str">
        <f t="shared" si="498"/>
        <v>-</v>
      </c>
      <c r="BH88" s="68" t="str">
        <f t="shared" si="499"/>
        <v>-</v>
      </c>
      <c r="BI88" s="81">
        <f>BI86/BI87</f>
        <v>28</v>
      </c>
      <c r="BJ88" s="66" t="str">
        <f>IFERROR(BJ86/BJ87,"-")</f>
        <v>-</v>
      </c>
      <c r="BK88" s="67" t="str">
        <f t="shared" si="500"/>
        <v>-</v>
      </c>
      <c r="BL88" s="70" t="str">
        <f t="shared" si="501"/>
        <v>-</v>
      </c>
      <c r="BM88" s="89">
        <f t="shared" ref="BM88:BN88" si="508">BM86/BM87</f>
        <v>28</v>
      </c>
      <c r="BN88" s="90">
        <f t="shared" si="508"/>
        <v>25.33143047</v>
      </c>
      <c r="BO88" s="76">
        <f t="shared" si="503"/>
        <v>-0.09530605479</v>
      </c>
      <c r="BP88" s="88">
        <f>BP86/BP87</f>
        <v>79.87102905</v>
      </c>
      <c r="BQ88" s="78">
        <f>BM88/BP88-1</f>
        <v>-0.649434841</v>
      </c>
      <c r="BR88" s="3"/>
      <c r="BS88" s="3"/>
      <c r="BT88" s="3"/>
      <c r="BU88" s="3"/>
      <c r="BV88" s="3"/>
      <c r="BW88" s="3"/>
    </row>
    <row r="89" ht="15.75" customHeight="1">
      <c r="A89" s="1"/>
      <c r="B89" s="105"/>
      <c r="C89" s="106"/>
      <c r="D89" s="107"/>
      <c r="E89" s="144"/>
      <c r="F89" s="109"/>
      <c r="G89" s="110"/>
      <c r="H89" s="111"/>
      <c r="I89" s="112"/>
      <c r="J89" s="91" t="s">
        <v>66</v>
      </c>
      <c r="K89" s="92">
        <v>0.03</v>
      </c>
      <c r="L89" s="99">
        <f t="shared" ref="L89:M89" si="509">MIN(L86, 650000) * 0.03 +
 MAX(0, MIN(L86, 2500000) - 650000) * 0.025 +
 MAX(0, MIN(L86, 4500000) - 2500000) * 0.0225 +
 MAX(0, MIN(L86, 7500000) - 4500000) * 0.02 +
 MAX(0, MIN(L86, 11500000) - 7500000) * 0.015 +
 MAX(0, L86 - 11500000) * 0.01</f>
        <v>1774.14</v>
      </c>
      <c r="M89" s="94">
        <f t="shared" si="509"/>
        <v>1791.6744</v>
      </c>
      <c r="N89" s="95">
        <f t="shared" si="477"/>
        <v>17.5344</v>
      </c>
      <c r="O89" s="96">
        <f t="shared" si="478"/>
        <v>0.009883323751</v>
      </c>
      <c r="P89" s="99">
        <f t="shared" ref="P89:Q89" si="510">MIN(P86, 650000) * 0.03 +
 MAX(0, MIN(P86, 2500000) - 650000) * 0.025 +
 MAX(0, MIN(P86, 4500000) - 2500000) * 0.0225 +
 MAX(0, MIN(P86, 7500000) - 4500000) * 0.02 +
 MAX(0, MIN(P86, 11500000) - 7500000) * 0.015 +
 MAX(0, P86 - 11500000) * 0.01</f>
        <v>1816.89</v>
      </c>
      <c r="Q89" s="94">
        <f t="shared" si="510"/>
        <v>1759.0344</v>
      </c>
      <c r="R89" s="95">
        <f t="shared" si="479"/>
        <v>-57.8556</v>
      </c>
      <c r="S89" s="98">
        <f t="shared" si="480"/>
        <v>-0.0318432046</v>
      </c>
      <c r="T89" s="99">
        <f t="shared" ref="T89:U89" si="511">MIN(T86, 650000) * 0.03 +
 MAX(0, MIN(T86, 2500000) - 650000) * 0.025 +
 MAX(0, MIN(T86, 4500000) - 2500000) * 0.0225 +
 MAX(0, MIN(T86, 7500000) - 4500000) * 0.02 +
 MAX(0, MIN(T86, 11500000) - 7500000) * 0.015 +
 MAX(0, T86 - 11500000) * 0.01</f>
        <v>1560.22425</v>
      </c>
      <c r="U89" s="94">
        <f t="shared" si="511"/>
        <v>2328.5868</v>
      </c>
      <c r="V89" s="95">
        <f t="shared" si="481"/>
        <v>768.36255</v>
      </c>
      <c r="W89" s="96">
        <f t="shared" si="482"/>
        <v>0.4924693037</v>
      </c>
      <c r="X89" s="99">
        <f t="shared" ref="X89:Y89" si="512">MIN(X86, 650000) * 0.03 +
 MAX(0, MIN(X86, 2500000) - 650000) * 0.025 +
 MAX(0, MIN(X86, 4500000) - 2500000) * 0.0225 +
 MAX(0, MIN(X86, 7500000) - 4500000) * 0.02 +
 MAX(0, MIN(X86, 11500000) - 7500000) * 0.015 +
 MAX(0, X86 - 11500000) * 0.01</f>
        <v>1560.22425</v>
      </c>
      <c r="Y89" s="94">
        <f t="shared" si="512"/>
        <v>1757.4093</v>
      </c>
      <c r="Z89" s="95">
        <f t="shared" si="484"/>
        <v>197.18505</v>
      </c>
      <c r="AA89" s="96">
        <f t="shared" si="485"/>
        <v>0.1263825056</v>
      </c>
      <c r="AB89" s="99">
        <f t="shared" ref="AB89:AC89" si="513">MIN(AB86, 650000) * 0.03 +
 MAX(0, MIN(AB86, 2500000) - 650000) * 0.025 +
 MAX(0, MIN(AB86, 4500000) - 2500000) * 0.0225 +
 MAX(0, MIN(AB86, 7500000) - 4500000) * 0.02 +
 MAX(0, MIN(AB86, 11500000) - 7500000) * 0.015 +
 MAX(0, AB86 - 11500000) * 0.01</f>
        <v>2496.3588</v>
      </c>
      <c r="AC89" s="94">
        <f t="shared" si="513"/>
        <v>1009.9737</v>
      </c>
      <c r="AD89" s="95">
        <f t="shared" si="486"/>
        <v>-1486.3851</v>
      </c>
      <c r="AE89" s="299">
        <f t="shared" si="487"/>
        <v>-0.5954212592</v>
      </c>
      <c r="AF89" s="300">
        <f t="shared" ref="AF89:AL89" si="514">MIN(AF86, 650000) * 0.03 +
 MAX(0, MIN(AF86, 2500000) - 650000) * 0.025 +
 MAX(0, MIN(AF86, 4500000) - 2500000) * 0.0225 +
 MAX(0, MIN(AF86, 7500000) - 4500000) * 0.02 +
 MAX(0, MIN(AF86, 11500000) - 7500000) * 0.015 +
 MAX(0, AF86 - 11500000) * 0.01</f>
        <v>3744.5382</v>
      </c>
      <c r="AG89" s="301">
        <f t="shared" si="514"/>
        <v>257.6895</v>
      </c>
      <c r="AH89" s="301">
        <f t="shared" si="514"/>
        <v>378.1275</v>
      </c>
      <c r="AI89" s="301">
        <f t="shared" si="514"/>
        <v>395.5827</v>
      </c>
      <c r="AJ89" s="301">
        <f t="shared" si="514"/>
        <v>230750</v>
      </c>
      <c r="AK89" s="301">
        <f t="shared" si="514"/>
        <v>230750</v>
      </c>
      <c r="AL89" s="302">
        <f t="shared" si="514"/>
        <v>1031.3997</v>
      </c>
      <c r="AM89" s="311">
        <f t="shared" si="488"/>
        <v>-2713.1385</v>
      </c>
      <c r="AN89" s="96">
        <f t="shared" si="489"/>
        <v>-0.7245589056</v>
      </c>
      <c r="AO89" s="99">
        <f t="shared" ref="AO89:AP89" si="515">MIN(AO86, 650000) * 0.03 +
 MAX(0, MIN(AO86, 2500000) - 650000) * 0.025 +
 MAX(0, MIN(AO86, 4500000) - 2500000) * 0.0225 +
 MAX(0, MIN(AO86, 7500000) - 4500000) * 0.02 +
 MAX(0, MIN(AO86, 11500000) - 7500000) * 0.015 +
 MAX(0, AO86 - 11500000) * 0.01</f>
        <v>4992.7176</v>
      </c>
      <c r="AP89" s="94">
        <f t="shared" si="515"/>
        <v>0</v>
      </c>
      <c r="AQ89" s="95">
        <f t="shared" si="490"/>
        <v>-4992.7176</v>
      </c>
      <c r="AR89" s="96">
        <f t="shared" si="491"/>
        <v>-1</v>
      </c>
      <c r="AS89" s="99">
        <f t="shared" ref="AS89:AT89" si="516">MIN(AS86, 650000) * 0.03 +
 MAX(0, MIN(AS86, 2500000) - 650000) * 0.025 +
 MAX(0, MIN(AS86, 4500000) - 2500000) * 0.0225 +
 MAX(0, MIN(AS86, 7500000) - 4500000) * 0.02 +
 MAX(0, MIN(AS86, 11500000) - 7500000) * 0.015 +
 MAX(0, AS86 - 11500000) * 0.01</f>
        <v>8113.1661</v>
      </c>
      <c r="AT89" s="94">
        <f t="shared" si="516"/>
        <v>0</v>
      </c>
      <c r="AU89" s="95">
        <f t="shared" si="492"/>
        <v>-8113.1661</v>
      </c>
      <c r="AV89" s="96">
        <f t="shared" si="493"/>
        <v>-1</v>
      </c>
      <c r="AW89" s="99">
        <f t="shared" ref="AW89:AX89" si="517">MIN(AW86, 650000) * 0.03 +
 MAX(0, MIN(AW86, 2500000) - 650000) * 0.025 +
 MAX(0, MIN(AW86, 4500000) - 2500000) * 0.0225 +
 MAX(0, MIN(AW86, 7500000) - 4500000) * 0.02 +
 MAX(0, MIN(AW86, 11500000) - 7500000) * 0.015 +
 MAX(0, AW86 - 11500000) * 0.01</f>
        <v>8113.1661</v>
      </c>
      <c r="AX89" s="94">
        <f t="shared" si="517"/>
        <v>0</v>
      </c>
      <c r="AY89" s="95">
        <f t="shared" si="494"/>
        <v>-8113.1661</v>
      </c>
      <c r="AZ89" s="96">
        <f t="shared" si="495"/>
        <v>-1</v>
      </c>
      <c r="BA89" s="99">
        <f t="shared" ref="BA89:BB89" si="518">MIN(BA86, 650000) * 0.03 +
 MAX(0, MIN(BA86, 2500000) - 650000) * 0.025 +
 MAX(0, MIN(BA86, 4500000) - 2500000) * 0.0225 +
 MAX(0, MIN(BA86, 7500000) - 4500000) * 0.02 +
 MAX(0, MIN(BA86, 11500000) - 7500000) * 0.015 +
 MAX(0, BA86 - 11500000) * 0.01</f>
        <v>9361.3455</v>
      </c>
      <c r="BB89" s="94">
        <f t="shared" si="518"/>
        <v>0</v>
      </c>
      <c r="BC89" s="95">
        <f t="shared" si="496"/>
        <v>-9361.3455</v>
      </c>
      <c r="BD89" s="96">
        <f t="shared" si="497"/>
        <v>-1</v>
      </c>
      <c r="BE89" s="99">
        <f t="shared" ref="BE89:BF89" si="519">MIN(BE86, 650000) * 0.03 +
 MAX(0, MIN(BE86, 2500000) - 650000) * 0.025 +
 MAX(0, MIN(BE86, 4500000) - 2500000) * 0.0225 +
 MAX(0, MIN(BE86, 7500000) - 4500000) * 0.02 +
 MAX(0, MIN(BE86, 11500000) - 7500000) * 0.015 +
 MAX(0, BE86 - 11500000) * 0.01</f>
        <v>11857.7043</v>
      </c>
      <c r="BF89" s="94">
        <f t="shared" si="519"/>
        <v>0</v>
      </c>
      <c r="BG89" s="95">
        <f t="shared" si="498"/>
        <v>-11857.7043</v>
      </c>
      <c r="BH89" s="96">
        <f t="shared" si="499"/>
        <v>-1</v>
      </c>
      <c r="BI89" s="94">
        <f t="shared" ref="BI89:BJ89" si="520">MIN(BI86, 650000) * 0.03 +
 MAX(0, MIN(BI86, 2500000) - 650000) * 0.025 +
 MAX(0, MIN(BI86, 4500000) - 2500000) * 0.0225 +
 MAX(0, MIN(BI86, 7500000) - 4500000) * 0.02 +
 MAX(0, MIN(BI86, 11500000) - 7500000) * 0.015 +
 MAX(0, BI86 - 11500000) * 0.01</f>
        <v>10609.5249</v>
      </c>
      <c r="BJ89" s="94">
        <f t="shared" si="520"/>
        <v>0</v>
      </c>
      <c r="BK89" s="95">
        <f t="shared" si="500"/>
        <v>-10609.5249</v>
      </c>
      <c r="BL89" s="98">
        <f t="shared" si="501"/>
        <v>-1</v>
      </c>
      <c r="BM89" s="100">
        <f t="shared" ref="BM89:BN89" si="521">SUM(L89,P89,T89,X89,AB89,AF89,AO89,AS89,AW89,BA89,BE89,BI89)</f>
        <v>66000</v>
      </c>
      <c r="BN89" s="101">
        <f t="shared" si="521"/>
        <v>8904.3681</v>
      </c>
      <c r="BO89" s="102">
        <f t="shared" si="503"/>
        <v>-0.8650853318</v>
      </c>
      <c r="BP89" s="103">
        <f>BP86*0.03+10*299</f>
        <v>11814.95</v>
      </c>
      <c r="BQ89" s="104">
        <f>BM89/BP89</f>
        <v>5.58614298</v>
      </c>
      <c r="BR89" s="3"/>
      <c r="BS89" s="3"/>
      <c r="BT89" s="3"/>
      <c r="BU89" s="3"/>
      <c r="BV89" s="3"/>
      <c r="BW89" s="3"/>
    </row>
    <row r="90" ht="15.75" customHeight="1">
      <c r="A90" s="1"/>
      <c r="B90" s="105"/>
      <c r="C90" s="106"/>
      <c r="D90" s="107"/>
      <c r="E90" s="144"/>
      <c r="F90" s="109"/>
      <c r="G90" s="110"/>
      <c r="H90" s="111"/>
      <c r="I90" s="112"/>
      <c r="J90" s="148"/>
      <c r="K90" s="148"/>
      <c r="L90" s="136"/>
      <c r="M90" s="136"/>
      <c r="N90" s="136"/>
      <c r="P90" s="136"/>
      <c r="Q90" s="160"/>
      <c r="R90" s="136"/>
      <c r="S90" s="136"/>
      <c r="T90" s="136"/>
      <c r="U90" s="136"/>
      <c r="V90" s="136"/>
      <c r="W90" s="136"/>
      <c r="X90" s="137"/>
      <c r="Y90" s="14"/>
      <c r="Z90" s="15"/>
      <c r="AA90" s="3"/>
      <c r="AB90" s="3"/>
      <c r="AC90" s="3"/>
      <c r="AD90" s="3"/>
      <c r="AE90" s="3"/>
      <c r="AF90" s="3"/>
      <c r="AV90" s="138"/>
      <c r="AW90" s="25"/>
      <c r="AX90" s="139"/>
      <c r="AY90" s="25"/>
    </row>
    <row r="91" ht="15.75" customHeight="1">
      <c r="A91" s="1"/>
      <c r="B91" s="105"/>
      <c r="C91" s="106"/>
      <c r="D91" s="107"/>
      <c r="E91" s="144"/>
      <c r="F91" s="109"/>
      <c r="G91" s="110"/>
      <c r="H91" s="111"/>
      <c r="I91" s="112"/>
      <c r="J91" s="34" t="s">
        <v>89</v>
      </c>
      <c r="K91" s="35"/>
      <c r="L91" s="36" t="s">
        <v>10</v>
      </c>
      <c r="M91" s="37" t="s">
        <v>11</v>
      </c>
      <c r="N91" s="38" t="s">
        <v>12</v>
      </c>
      <c r="O91" s="39" t="s">
        <v>13</v>
      </c>
      <c r="P91" s="119" t="s">
        <v>14</v>
      </c>
      <c r="Q91" s="152" t="s">
        <v>15</v>
      </c>
      <c r="R91" s="38" t="s">
        <v>16</v>
      </c>
      <c r="S91" s="42" t="s">
        <v>17</v>
      </c>
      <c r="T91" s="43" t="s">
        <v>18</v>
      </c>
      <c r="U91" s="152" t="s">
        <v>90</v>
      </c>
      <c r="V91" s="38" t="s">
        <v>20</v>
      </c>
      <c r="W91" s="45" t="s">
        <v>91</v>
      </c>
      <c r="X91" s="44" t="s">
        <v>22</v>
      </c>
      <c r="Y91" s="152" t="s">
        <v>92</v>
      </c>
      <c r="Z91" s="38" t="s">
        <v>24</v>
      </c>
      <c r="AA91" s="45" t="s">
        <v>91</v>
      </c>
      <c r="AB91" s="43" t="s">
        <v>26</v>
      </c>
      <c r="AC91" s="152" t="s">
        <v>27</v>
      </c>
      <c r="AD91" s="38" t="s">
        <v>28</v>
      </c>
      <c r="AE91" s="45" t="s">
        <v>29</v>
      </c>
      <c r="AF91" s="44" t="s">
        <v>30</v>
      </c>
      <c r="AG91" s="261" t="s">
        <v>107</v>
      </c>
      <c r="AH91" s="262" t="s">
        <v>108</v>
      </c>
      <c r="AI91" s="262" t="s">
        <v>109</v>
      </c>
      <c r="AJ91" s="262" t="s">
        <v>110</v>
      </c>
      <c r="AK91" s="262" t="s">
        <v>111</v>
      </c>
      <c r="AL91" s="262" t="s">
        <v>31</v>
      </c>
      <c r="AM91" s="38" t="s">
        <v>32</v>
      </c>
      <c r="AN91" s="45" t="s">
        <v>33</v>
      </c>
      <c r="AO91" s="43" t="s">
        <v>34</v>
      </c>
      <c r="AP91" s="152" t="s">
        <v>35</v>
      </c>
      <c r="AQ91" s="38" t="s">
        <v>36</v>
      </c>
      <c r="AR91" s="45" t="s">
        <v>37</v>
      </c>
      <c r="AS91" s="44" t="s">
        <v>38</v>
      </c>
      <c r="AT91" s="152" t="s">
        <v>39</v>
      </c>
      <c r="AU91" s="38" t="s">
        <v>40</v>
      </c>
      <c r="AV91" s="45" t="s">
        <v>41</v>
      </c>
      <c r="AW91" s="43" t="s">
        <v>42</v>
      </c>
      <c r="AX91" s="152" t="s">
        <v>43</v>
      </c>
      <c r="AY91" s="38" t="s">
        <v>44</v>
      </c>
      <c r="AZ91" s="45" t="s">
        <v>45</v>
      </c>
      <c r="BA91" s="44" t="s">
        <v>46</v>
      </c>
      <c r="BB91" s="152" t="s">
        <v>47</v>
      </c>
      <c r="BC91" s="38" t="s">
        <v>48</v>
      </c>
      <c r="BD91" s="45" t="s">
        <v>49</v>
      </c>
      <c r="BE91" s="43" t="s">
        <v>50</v>
      </c>
      <c r="BF91" s="152" t="s">
        <v>51</v>
      </c>
      <c r="BG91" s="38" t="s">
        <v>52</v>
      </c>
      <c r="BH91" s="45" t="s">
        <v>53</v>
      </c>
      <c r="BI91" s="153" t="s">
        <v>54</v>
      </c>
      <c r="BJ91" s="152" t="s">
        <v>55</v>
      </c>
      <c r="BK91" s="38" t="s">
        <v>56</v>
      </c>
      <c r="BL91" s="42" t="s">
        <v>57</v>
      </c>
      <c r="BM91" s="46">
        <v>2026.0</v>
      </c>
      <c r="BN91" s="37" t="s">
        <v>58</v>
      </c>
      <c r="BO91" s="47" t="s">
        <v>59</v>
      </c>
      <c r="BP91" s="48">
        <v>2025.0</v>
      </c>
      <c r="BQ91" s="49"/>
      <c r="BR91" s="3"/>
      <c r="BS91" s="3"/>
      <c r="BT91" s="3"/>
      <c r="BU91" s="3"/>
      <c r="BV91" s="3"/>
      <c r="BW91" s="3"/>
    </row>
    <row r="92" ht="15.75" customHeight="1">
      <c r="A92" s="1"/>
      <c r="B92" s="105"/>
      <c r="C92" s="181"/>
      <c r="D92" s="182"/>
      <c r="E92" s="183"/>
      <c r="F92" s="184"/>
      <c r="G92" s="185"/>
      <c r="H92" s="185"/>
      <c r="I92" s="186"/>
      <c r="J92" s="263" t="s">
        <v>112</v>
      </c>
      <c r="K92" s="264"/>
      <c r="L92" s="265"/>
      <c r="M92" s="266"/>
      <c r="N92" s="267"/>
      <c r="O92" s="268"/>
      <c r="P92" s="265"/>
      <c r="Q92" s="307"/>
      <c r="R92" s="267"/>
      <c r="S92" s="270"/>
      <c r="T92" s="271"/>
      <c r="U92" s="272"/>
      <c r="V92" s="267"/>
      <c r="W92" s="268"/>
      <c r="X92" s="271"/>
      <c r="Y92" s="272"/>
      <c r="Z92" s="267"/>
      <c r="AA92" s="268"/>
      <c r="AB92" s="271"/>
      <c r="AC92" s="272"/>
      <c r="AD92" s="267"/>
      <c r="AE92" s="268"/>
      <c r="AF92" s="271"/>
      <c r="AG92" s="273">
        <f t="shared" ref="AG92:AK92" si="522">$AF$93/5</f>
        <v>0.016</v>
      </c>
      <c r="AH92" s="273">
        <f t="shared" si="522"/>
        <v>0.016</v>
      </c>
      <c r="AI92" s="273">
        <f t="shared" si="522"/>
        <v>0.016</v>
      </c>
      <c r="AJ92" s="273">
        <f t="shared" si="522"/>
        <v>0.016</v>
      </c>
      <c r="AK92" s="273">
        <f t="shared" si="522"/>
        <v>0.016</v>
      </c>
      <c r="AL92" s="273"/>
      <c r="AM92" s="267"/>
      <c r="AN92" s="268"/>
      <c r="AO92" s="271"/>
      <c r="AP92" s="272"/>
      <c r="AQ92" s="267"/>
      <c r="AR92" s="268"/>
      <c r="AS92" s="271"/>
      <c r="AT92" s="272"/>
      <c r="AU92" s="267"/>
      <c r="AV92" s="268"/>
      <c r="AW92" s="271"/>
      <c r="AX92" s="272"/>
      <c r="AY92" s="267"/>
      <c r="AZ92" s="268"/>
      <c r="BA92" s="271"/>
      <c r="BB92" s="272"/>
      <c r="BC92" s="267"/>
      <c r="BD92" s="268"/>
      <c r="BE92" s="271"/>
      <c r="BF92" s="272"/>
      <c r="BG92" s="267"/>
      <c r="BH92" s="268"/>
      <c r="BI92" s="308"/>
      <c r="BJ92" s="272"/>
      <c r="BK92" s="267"/>
      <c r="BL92" s="270"/>
      <c r="BM92" s="275"/>
      <c r="BN92" s="276"/>
      <c r="BO92" s="277"/>
      <c r="BP92" s="278"/>
      <c r="BQ92" s="64"/>
      <c r="BR92" s="3"/>
      <c r="BS92" s="3"/>
      <c r="BT92" s="3"/>
      <c r="BU92" s="3"/>
      <c r="BV92" s="3"/>
      <c r="BW92" s="3"/>
    </row>
    <row r="93" ht="15.75" customHeight="1">
      <c r="A93" s="1"/>
      <c r="B93" s="105">
        <v>13.0</v>
      </c>
      <c r="C93" s="181" t="s">
        <v>93</v>
      </c>
      <c r="D93" s="182"/>
      <c r="E93" s="183"/>
      <c r="F93" s="184"/>
      <c r="G93" s="185">
        <v>12323.000000000002</v>
      </c>
      <c r="H93" s="185">
        <v>52.0</v>
      </c>
      <c r="I93" s="186">
        <v>236.98076923076925</v>
      </c>
      <c r="J93" s="50" t="s">
        <v>61</v>
      </c>
      <c r="K93" s="51"/>
      <c r="L93" s="52" t="s">
        <v>60</v>
      </c>
      <c r="M93" s="53" t="s">
        <v>60</v>
      </c>
      <c r="N93" s="54" t="s">
        <v>60</v>
      </c>
      <c r="O93" s="55" t="s">
        <v>62</v>
      </c>
      <c r="P93" s="52" t="s">
        <v>60</v>
      </c>
      <c r="Q93" s="154" t="s">
        <v>60</v>
      </c>
      <c r="R93" s="54" t="s">
        <v>60</v>
      </c>
      <c r="S93" s="57" t="s">
        <v>62</v>
      </c>
      <c r="T93" s="58">
        <v>0.05</v>
      </c>
      <c r="U93" s="59">
        <f>U94/(BM94-(L94 + P94))</f>
        <v>0.08126317218</v>
      </c>
      <c r="V93" s="54" t="s">
        <v>60</v>
      </c>
      <c r="W93" s="55" t="s">
        <v>62</v>
      </c>
      <c r="X93" s="58">
        <v>0.06</v>
      </c>
      <c r="Y93" s="59">
        <f>Y94/(BM94-(L94+P94))</f>
        <v>0.08205400726</v>
      </c>
      <c r="Z93" s="54" t="s">
        <v>60</v>
      </c>
      <c r="AA93" s="55" t="s">
        <v>62</v>
      </c>
      <c r="AB93" s="58">
        <v>0.08</v>
      </c>
      <c r="AC93" s="59">
        <f>AC94/(BM94-(L94+P94))</f>
        <v>0.07602764852</v>
      </c>
      <c r="AD93" s="54" t="s">
        <v>60</v>
      </c>
      <c r="AE93" s="55" t="s">
        <v>62</v>
      </c>
      <c r="AF93" s="58">
        <v>0.08</v>
      </c>
      <c r="AG93" s="61">
        <f t="shared" ref="AG93:AK93" si="523">AG94/($BM$94-($L$94+$P$94))</f>
        <v>0.0172277151</v>
      </c>
      <c r="AH93" s="61">
        <f t="shared" si="523"/>
        <v>0.01568948687</v>
      </c>
      <c r="AI93" s="61">
        <f t="shared" si="523"/>
        <v>0.01485288421</v>
      </c>
      <c r="AJ93" s="61">
        <f t="shared" si="523"/>
        <v>0</v>
      </c>
      <c r="AK93" s="61">
        <f t="shared" si="523"/>
        <v>0</v>
      </c>
      <c r="AL93" s="279">
        <f t="shared" ref="AL93:AL95" si="525">SUM(AG93:AK93)</f>
        <v>0.04777008619</v>
      </c>
      <c r="AM93" s="280">
        <f>AL93-AF93</f>
        <v>-0.03222991381</v>
      </c>
      <c r="AN93" s="55" t="s">
        <v>62</v>
      </c>
      <c r="AO93" s="58">
        <v>0.08</v>
      </c>
      <c r="AP93" s="59">
        <f>AP94/(BM94-(L94+P94))</f>
        <v>0</v>
      </c>
      <c r="AQ93" s="54" t="s">
        <v>60</v>
      </c>
      <c r="AR93" s="55" t="s">
        <v>62</v>
      </c>
      <c r="AS93" s="58">
        <v>0.11</v>
      </c>
      <c r="AT93" s="59">
        <f>AT94/(BM94-(L94+P94))</f>
        <v>0</v>
      </c>
      <c r="AU93" s="54" t="s">
        <v>60</v>
      </c>
      <c r="AV93" s="55" t="s">
        <v>62</v>
      </c>
      <c r="AW93" s="58">
        <v>0.14</v>
      </c>
      <c r="AX93" s="59">
        <f>AX94/(BM94-(L94+P94))</f>
        <v>0</v>
      </c>
      <c r="AY93" s="54" t="s">
        <v>60</v>
      </c>
      <c r="AZ93" s="55" t="s">
        <v>62</v>
      </c>
      <c r="BA93" s="58">
        <v>0.14</v>
      </c>
      <c r="BB93" s="59">
        <f>BB94/(BM94-(L94+P94))</f>
        <v>0</v>
      </c>
      <c r="BC93" s="54" t="s">
        <v>60</v>
      </c>
      <c r="BD93" s="55" t="s">
        <v>62</v>
      </c>
      <c r="BE93" s="58">
        <v>0.14</v>
      </c>
      <c r="BF93" s="59">
        <f>BF94/(BM94-(L94+P94))</f>
        <v>0</v>
      </c>
      <c r="BG93" s="54" t="s">
        <v>60</v>
      </c>
      <c r="BH93" s="55" t="s">
        <v>62</v>
      </c>
      <c r="BI93" s="155">
        <v>0.12</v>
      </c>
      <c r="BJ93" s="59">
        <f>BJ94/(BM94-(L94+P94))</f>
        <v>0</v>
      </c>
      <c r="BK93" s="54" t="s">
        <v>60</v>
      </c>
      <c r="BL93" s="57" t="s">
        <v>62</v>
      </c>
      <c r="BM93" s="60">
        <f t="shared" ref="BM93:BN93" si="524">SUM(T93,X93,AB93,AF93,AO93,AS93,AW93,BA93,BE93,BI93)</f>
        <v>1</v>
      </c>
      <c r="BN93" s="61">
        <f t="shared" si="524"/>
        <v>0.2565725431</v>
      </c>
      <c r="BO93" s="62"/>
      <c r="BP93" s="63" t="s">
        <v>60</v>
      </c>
      <c r="BQ93" s="64"/>
      <c r="BR93" s="3"/>
      <c r="BS93" s="3"/>
      <c r="BT93" s="3"/>
      <c r="BU93" s="3"/>
      <c r="BV93" s="3"/>
      <c r="BW93" s="3"/>
    </row>
    <row r="94" ht="15.75" customHeight="1">
      <c r="A94" s="1"/>
      <c r="B94" s="105"/>
      <c r="C94" s="106"/>
      <c r="D94" s="107"/>
      <c r="E94" s="144"/>
      <c r="F94" s="109"/>
      <c r="G94" s="110"/>
      <c r="H94" s="111"/>
      <c r="I94" s="112"/>
      <c r="J94" s="50" t="s">
        <v>63</v>
      </c>
      <c r="K94" s="51"/>
      <c r="L94" s="127">
        <v>1433664.0</v>
      </c>
      <c r="M94" s="66">
        <v>1461184.12</v>
      </c>
      <c r="N94" s="67">
        <f t="shared" ref="N94:N97" si="526">IFERROR(M94-L94,"-")</f>
        <v>27520.12</v>
      </c>
      <c r="O94" s="68">
        <f t="shared" ref="O94:O97" si="527">IFERROR(M94/L94-1,"-")</f>
        <v>0.01919565533</v>
      </c>
      <c r="P94" s="127">
        <v>1276587.0</v>
      </c>
      <c r="Q94" s="66">
        <v>1334379.05</v>
      </c>
      <c r="R94" s="67">
        <f t="shared" ref="R94:R97" si="528">IFERROR(Q94-P94,"-")</f>
        <v>57792.05</v>
      </c>
      <c r="S94" s="70">
        <f t="shared" ref="S94:S97" si="529">IFERROR(Q94/P94-1,"-")</f>
        <v>0.04527074927</v>
      </c>
      <c r="T94" s="71">
        <f>($BM$94-($L$94+$P$94))*T93</f>
        <v>864487.45</v>
      </c>
      <c r="U94" s="66">
        <v>1405019.85</v>
      </c>
      <c r="V94" s="67">
        <f t="shared" ref="V94:V97" si="530">IFERROR(U94-T94,"-")</f>
        <v>540532.4</v>
      </c>
      <c r="W94" s="68">
        <f t="shared" ref="W94:W97" si="531">IFERROR(U94/T94-1,"-")</f>
        <v>0.6252634437</v>
      </c>
      <c r="X94" s="71">
        <f>($BM$94-($L$94+$P$94))*X93</f>
        <v>1037384.94</v>
      </c>
      <c r="Y94" s="66">
        <v>1418693.19</v>
      </c>
      <c r="Z94" s="67">
        <f t="shared" ref="Z94:Z97" si="532">IFERROR(Y94-X94,"-")</f>
        <v>381308.25</v>
      </c>
      <c r="AA94" s="68">
        <f t="shared" ref="AA94:AA97" si="533">IFERROR(Y94/X94-1,"-")</f>
        <v>0.3675667877</v>
      </c>
      <c r="AB94" s="71">
        <f>($BM$94-($L$94+$P$94))*AB93</f>
        <v>1383179.92</v>
      </c>
      <c r="AC94" s="66">
        <v>1314498.96</v>
      </c>
      <c r="AD94" s="67">
        <f t="shared" ref="AD94:AD97" si="534">IFERROR(AC94-AB94,"-")</f>
        <v>-68680.96</v>
      </c>
      <c r="AE94" s="68">
        <f t="shared" ref="AE94:AE97" si="535">IFERROR(AC94/AB94-1,"-")</f>
        <v>-0.04965439348</v>
      </c>
      <c r="AF94" s="71">
        <f>($BM$94-($L$94+$P$94))*AF93</f>
        <v>1383179.92</v>
      </c>
      <c r="AG94" s="73">
        <v>297862.87</v>
      </c>
      <c r="AH94" s="73">
        <v>271267.29</v>
      </c>
      <c r="AI94" s="73">
        <v>256802.64</v>
      </c>
      <c r="AJ94" s="73"/>
      <c r="AK94" s="73"/>
      <c r="AL94" s="283">
        <f t="shared" si="525"/>
        <v>825932.8</v>
      </c>
      <c r="AM94" s="67">
        <f t="shared" ref="AM94:AM97" si="536">IFERROR(AL94-AF94,"-")</f>
        <v>-557247.12</v>
      </c>
      <c r="AN94" s="68">
        <f t="shared" ref="AN94:AN97" si="537">IFERROR(AL94/AF94-1,"-")</f>
        <v>-0.4028739226</v>
      </c>
      <c r="AO94" s="71">
        <f>($BM$94-($L$94+$P$94))*AO93</f>
        <v>1383179.92</v>
      </c>
      <c r="AP94" s="66">
        <v>0.0</v>
      </c>
      <c r="AQ94" s="67">
        <f t="shared" ref="AQ94:AQ97" si="538">IFERROR(AP94-AO94,"-")</f>
        <v>-1383179.92</v>
      </c>
      <c r="AR94" s="68">
        <f t="shared" ref="AR94:AR97" si="539">IFERROR(AP94/AO94-1,"-")</f>
        <v>-1</v>
      </c>
      <c r="AS94" s="71">
        <f>($BM$94-($L$94+$P$94))*AS93</f>
        <v>1901872.39</v>
      </c>
      <c r="AT94" s="66">
        <v>0.0</v>
      </c>
      <c r="AU94" s="67">
        <f t="shared" ref="AU94:AU97" si="540">IFERROR(AT94-AS94,"-")</f>
        <v>-1901872.39</v>
      </c>
      <c r="AV94" s="68">
        <f t="shared" ref="AV94:AV97" si="541">IFERROR(AT94/AS94-1,"-")</f>
        <v>-1</v>
      </c>
      <c r="AW94" s="71">
        <f>($BM$94-($L$94+$P$94))*AW93</f>
        <v>2420564.86</v>
      </c>
      <c r="AX94" s="66">
        <v>0.0</v>
      </c>
      <c r="AY94" s="67">
        <f t="shared" ref="AY94:AY97" si="542">IFERROR(AX94-AW94,"-")</f>
        <v>-2420564.86</v>
      </c>
      <c r="AZ94" s="68">
        <f t="shared" ref="AZ94:AZ97" si="543">IFERROR(AX94/AW94-1,"-")</f>
        <v>-1</v>
      </c>
      <c r="BA94" s="71">
        <f>($BM$94-($L$94+$P$94))*BA93</f>
        <v>2420564.86</v>
      </c>
      <c r="BB94" s="66">
        <v>0.0</v>
      </c>
      <c r="BC94" s="67">
        <f t="shared" ref="BC94:BC97" si="544">IFERROR(BB94-BA94,"-")</f>
        <v>-2420564.86</v>
      </c>
      <c r="BD94" s="68">
        <f t="shared" ref="BD94:BD97" si="545">IFERROR(BB94/BA94-1,"-")</f>
        <v>-1</v>
      </c>
      <c r="BE94" s="71">
        <f>($BM$94-($L$94+$P$94))*BE93</f>
        <v>2420564.86</v>
      </c>
      <c r="BF94" s="66">
        <v>0.0</v>
      </c>
      <c r="BG94" s="67">
        <f t="shared" ref="BG94:BG97" si="546">IFERROR(BF94-BE94,"-")</f>
        <v>-2420564.86</v>
      </c>
      <c r="BH94" s="68">
        <f t="shared" ref="BH94:BH97" si="547">IFERROR(BF94/BE94-1,"-")</f>
        <v>-1</v>
      </c>
      <c r="BI94" s="66">
        <f>($BM$94-($L$94+$P$94))*BI93</f>
        <v>2074769.88</v>
      </c>
      <c r="BJ94" s="66">
        <v>0.0</v>
      </c>
      <c r="BK94" s="67">
        <f t="shared" ref="BK94:BK97" si="548">IFERROR(BJ94-BI94,"-")</f>
        <v>-2074769.88</v>
      </c>
      <c r="BL94" s="70">
        <f t="shared" ref="BL94:BL97" si="549">IFERROR(BJ94/BI94-1,"-")</f>
        <v>-1</v>
      </c>
      <c r="BM94" s="74">
        <v>2.0E7</v>
      </c>
      <c r="BN94" s="75">
        <f>SUM(M94,Q94,U94,Y94,AC94,AG94,AP94,AT94,AX94,BB94,BF94,BJ94)</f>
        <v>7231638.04</v>
      </c>
      <c r="BO94" s="76">
        <f t="shared" ref="BO94:BO97" si="551">IFERROR(BN94/BM94-1,"-")</f>
        <v>-0.638418098</v>
      </c>
      <c r="BP94" s="187">
        <v>1.7765623E7</v>
      </c>
      <c r="BQ94" s="78">
        <f t="shared" ref="BQ94:BQ95" si="552">BM94/BP94</f>
        <v>1.125769696</v>
      </c>
      <c r="BR94" s="3"/>
      <c r="BS94" s="3"/>
      <c r="BT94" s="3"/>
      <c r="BU94" s="3"/>
      <c r="BV94" s="3"/>
      <c r="BW94" s="3"/>
    </row>
    <row r="95" ht="15.75" customHeight="1">
      <c r="A95" s="1"/>
      <c r="B95" s="105"/>
      <c r="C95" s="106"/>
      <c r="D95" s="107"/>
      <c r="E95" s="144"/>
      <c r="F95" s="109"/>
      <c r="G95" s="110"/>
      <c r="H95" s="111"/>
      <c r="I95" s="112"/>
      <c r="J95" s="50" t="s">
        <v>64</v>
      </c>
      <c r="K95" s="79"/>
      <c r="L95" s="129">
        <f>L94/$K$96</f>
        <v>14336.64</v>
      </c>
      <c r="M95" s="81">
        <v>13489.0</v>
      </c>
      <c r="N95" s="82">
        <f t="shared" si="526"/>
        <v>-847.64</v>
      </c>
      <c r="O95" s="68">
        <f t="shared" si="527"/>
        <v>-0.05912403464</v>
      </c>
      <c r="P95" s="129">
        <f>P94/$K$96</f>
        <v>12765.87</v>
      </c>
      <c r="Q95" s="81">
        <v>12517.0</v>
      </c>
      <c r="R95" s="82">
        <f t="shared" si="528"/>
        <v>-248.87</v>
      </c>
      <c r="S95" s="70">
        <f t="shared" si="529"/>
        <v>-0.01949495021</v>
      </c>
      <c r="T95" s="84">
        <f>T94/$K$96</f>
        <v>8644.8745</v>
      </c>
      <c r="U95" s="81">
        <v>13451.0</v>
      </c>
      <c r="V95" s="82">
        <f t="shared" si="530"/>
        <v>4806.1255</v>
      </c>
      <c r="W95" s="68">
        <f t="shared" si="531"/>
        <v>0.5559508701</v>
      </c>
      <c r="X95" s="84">
        <f>X94/$K$96</f>
        <v>10373.8494</v>
      </c>
      <c r="Y95" s="81">
        <v>13118.0</v>
      </c>
      <c r="Z95" s="82">
        <f t="shared" si="532"/>
        <v>2744.1506</v>
      </c>
      <c r="AA95" s="68">
        <f t="shared" si="533"/>
        <v>0.2645257796</v>
      </c>
      <c r="AB95" s="84">
        <f>AB94/$K$96</f>
        <v>13831.7992</v>
      </c>
      <c r="AC95" s="81">
        <v>11622.0</v>
      </c>
      <c r="AD95" s="82">
        <f t="shared" si="534"/>
        <v>-2209.7992</v>
      </c>
      <c r="AE95" s="68">
        <f t="shared" si="535"/>
        <v>-0.1597622383</v>
      </c>
      <c r="AF95" s="84">
        <f>AF94/$K$96</f>
        <v>13831.7992</v>
      </c>
      <c r="AG95" s="85">
        <v>2560.0</v>
      </c>
      <c r="AH95" s="85">
        <v>2319.0</v>
      </c>
      <c r="AI95" s="85">
        <v>2209.0</v>
      </c>
      <c r="AJ95" s="85"/>
      <c r="AK95" s="85"/>
      <c r="AL95" s="286">
        <f t="shared" si="525"/>
        <v>7088</v>
      </c>
      <c r="AM95" s="82">
        <f t="shared" si="536"/>
        <v>-6743.7992</v>
      </c>
      <c r="AN95" s="68">
        <f t="shared" si="537"/>
        <v>-0.4875576274</v>
      </c>
      <c r="AO95" s="84">
        <f>AO94/$K$96</f>
        <v>13831.7992</v>
      </c>
      <c r="AP95" s="81">
        <v>0.0</v>
      </c>
      <c r="AQ95" s="82">
        <f t="shared" si="538"/>
        <v>-13831.7992</v>
      </c>
      <c r="AR95" s="68">
        <f t="shared" si="539"/>
        <v>-1</v>
      </c>
      <c r="AS95" s="84">
        <f>AS94/$K$96</f>
        <v>19018.7239</v>
      </c>
      <c r="AT95" s="81">
        <v>0.0</v>
      </c>
      <c r="AU95" s="82">
        <f t="shared" si="540"/>
        <v>-19018.7239</v>
      </c>
      <c r="AV95" s="68">
        <f t="shared" si="541"/>
        <v>-1</v>
      </c>
      <c r="AW95" s="84">
        <f>AW94/$K$96</f>
        <v>24205.6486</v>
      </c>
      <c r="AX95" s="81">
        <v>0.0</v>
      </c>
      <c r="AY95" s="82">
        <f t="shared" si="542"/>
        <v>-24205.6486</v>
      </c>
      <c r="AZ95" s="68">
        <f t="shared" si="543"/>
        <v>-1</v>
      </c>
      <c r="BA95" s="84">
        <f>BA94/$K$96</f>
        <v>24205.6486</v>
      </c>
      <c r="BB95" s="81">
        <v>0.0</v>
      </c>
      <c r="BC95" s="82">
        <f t="shared" si="544"/>
        <v>-24205.6486</v>
      </c>
      <c r="BD95" s="68">
        <f t="shared" si="545"/>
        <v>-1</v>
      </c>
      <c r="BE95" s="84">
        <f>BE94/$K$96</f>
        <v>24205.6486</v>
      </c>
      <c r="BF95" s="81">
        <v>0.0</v>
      </c>
      <c r="BG95" s="82">
        <f t="shared" si="546"/>
        <v>-24205.6486</v>
      </c>
      <c r="BH95" s="68">
        <f t="shared" si="547"/>
        <v>-1</v>
      </c>
      <c r="BI95" s="81">
        <f>BI94/$K$96</f>
        <v>20747.6988</v>
      </c>
      <c r="BJ95" s="81">
        <v>0.0</v>
      </c>
      <c r="BK95" s="82">
        <f t="shared" si="548"/>
        <v>-20747.6988</v>
      </c>
      <c r="BL95" s="70">
        <f t="shared" si="549"/>
        <v>-1</v>
      </c>
      <c r="BM95" s="156">
        <f t="shared" ref="BM95:BN95" si="550">SUM(L95,P95,T95,X95,AB95,AF95,AO95,AS95,AW95,BA95,BE95,BI95)</f>
        <v>200000</v>
      </c>
      <c r="BN95" s="87">
        <f t="shared" si="550"/>
        <v>66757</v>
      </c>
      <c r="BO95" s="76">
        <f t="shared" si="551"/>
        <v>-0.666215</v>
      </c>
      <c r="BP95" s="88">
        <v>181712.0</v>
      </c>
      <c r="BQ95" s="78">
        <f t="shared" si="552"/>
        <v>1.100642775</v>
      </c>
      <c r="BR95" s="3"/>
      <c r="BS95" s="3"/>
      <c r="BT95" s="3"/>
      <c r="BU95" s="3"/>
      <c r="BV95" s="3"/>
      <c r="BW95" s="3"/>
    </row>
    <row r="96" ht="15.75" customHeight="1">
      <c r="A96" s="1"/>
      <c r="B96" s="105"/>
      <c r="C96" s="106"/>
      <c r="D96" s="107"/>
      <c r="E96" s="144"/>
      <c r="F96" s="109"/>
      <c r="G96" s="110"/>
      <c r="H96" s="111"/>
      <c r="I96" s="112"/>
      <c r="J96" s="50" t="s">
        <v>65</v>
      </c>
      <c r="K96" s="79">
        <v>100.0</v>
      </c>
      <c r="L96" s="129">
        <f>L94/L95</f>
        <v>100</v>
      </c>
      <c r="M96" s="66">
        <f>IFERROR(M94/M95,"-")</f>
        <v>108.3241248</v>
      </c>
      <c r="N96" s="67">
        <f t="shared" si="526"/>
        <v>8.324124842</v>
      </c>
      <c r="O96" s="68">
        <f t="shared" si="527"/>
        <v>0.08324124842</v>
      </c>
      <c r="P96" s="65">
        <f t="shared" ref="P96:Q96" si="553">IFERROR(P94/P95,"-")</f>
        <v>100</v>
      </c>
      <c r="Q96" s="66">
        <f t="shared" si="553"/>
        <v>106.6053407</v>
      </c>
      <c r="R96" s="67">
        <f t="shared" si="528"/>
        <v>6.605340737</v>
      </c>
      <c r="S96" s="70">
        <f t="shared" si="529"/>
        <v>0.06605340737</v>
      </c>
      <c r="T96" s="84">
        <f>T94/T95</f>
        <v>100</v>
      </c>
      <c r="U96" s="66">
        <f>IFERROR(U94/U95,"-")</f>
        <v>104.4546762</v>
      </c>
      <c r="V96" s="67">
        <f t="shared" si="530"/>
        <v>4.454676232</v>
      </c>
      <c r="W96" s="68">
        <f t="shared" si="531"/>
        <v>0.04454676232</v>
      </c>
      <c r="X96" s="71">
        <f t="shared" ref="X96:Y96" si="554">IFERROR(X94/X95,"-")</f>
        <v>100</v>
      </c>
      <c r="Y96" s="66">
        <f t="shared" si="554"/>
        <v>108.148589</v>
      </c>
      <c r="Z96" s="67">
        <f t="shared" si="532"/>
        <v>8.148588962</v>
      </c>
      <c r="AA96" s="68">
        <f t="shared" si="533"/>
        <v>0.08148588962</v>
      </c>
      <c r="AB96" s="84">
        <f>AB94/AB95</f>
        <v>100</v>
      </c>
      <c r="AC96" s="66">
        <f>IFERROR(AC94/AC95,"-")</f>
        <v>113.1043676</v>
      </c>
      <c r="AD96" s="67">
        <f t="shared" si="534"/>
        <v>13.10436758</v>
      </c>
      <c r="AE96" s="68">
        <f t="shared" si="535"/>
        <v>0.1310436758</v>
      </c>
      <c r="AF96" s="312">
        <f>AF94/AF95</f>
        <v>100</v>
      </c>
      <c r="AG96" s="296">
        <f t="shared" ref="AG96:AL96" si="555">IFERROR(AG94/AG95,"-")</f>
        <v>116.3526836</v>
      </c>
      <c r="AH96" s="296">
        <f t="shared" si="555"/>
        <v>116.9759767</v>
      </c>
      <c r="AI96" s="296">
        <f t="shared" si="555"/>
        <v>116.2528927</v>
      </c>
      <c r="AJ96" s="296" t="str">
        <f t="shared" si="555"/>
        <v>-</v>
      </c>
      <c r="AK96" s="296" t="str">
        <f t="shared" si="555"/>
        <v>-</v>
      </c>
      <c r="AL96" s="298">
        <f t="shared" si="555"/>
        <v>116.5255079</v>
      </c>
      <c r="AM96" s="67">
        <f t="shared" si="536"/>
        <v>16.5255079</v>
      </c>
      <c r="AN96" s="68">
        <f t="shared" si="537"/>
        <v>0.165255079</v>
      </c>
      <c r="AO96" s="84">
        <f>AO94/AO95</f>
        <v>100</v>
      </c>
      <c r="AP96" s="66" t="str">
        <f>IFERROR(AP94/AP95,"-")</f>
        <v>-</v>
      </c>
      <c r="AQ96" s="67" t="str">
        <f t="shared" si="538"/>
        <v>-</v>
      </c>
      <c r="AR96" s="68" t="str">
        <f t="shared" si="539"/>
        <v>-</v>
      </c>
      <c r="AS96" s="84">
        <f>AS94/AS95</f>
        <v>100</v>
      </c>
      <c r="AT96" s="66" t="str">
        <f>IFERROR(AT94/AT95,"-")</f>
        <v>-</v>
      </c>
      <c r="AU96" s="67" t="str">
        <f t="shared" si="540"/>
        <v>-</v>
      </c>
      <c r="AV96" s="68" t="str">
        <f t="shared" si="541"/>
        <v>-</v>
      </c>
      <c r="AW96" s="84">
        <f>AW94/AW95</f>
        <v>100</v>
      </c>
      <c r="AX96" s="66" t="str">
        <f>IFERROR(AX94/AX95,"-")</f>
        <v>-</v>
      </c>
      <c r="AY96" s="67" t="str">
        <f t="shared" si="542"/>
        <v>-</v>
      </c>
      <c r="AZ96" s="68" t="str">
        <f t="shared" si="543"/>
        <v>-</v>
      </c>
      <c r="BA96" s="84">
        <f>BA94/BA95</f>
        <v>100</v>
      </c>
      <c r="BB96" s="66" t="str">
        <f>IFERROR(BB94/BB95,"-")</f>
        <v>-</v>
      </c>
      <c r="BC96" s="67" t="str">
        <f t="shared" si="544"/>
        <v>-</v>
      </c>
      <c r="BD96" s="68" t="str">
        <f t="shared" si="545"/>
        <v>-</v>
      </c>
      <c r="BE96" s="84">
        <f>BE94/BE95</f>
        <v>100</v>
      </c>
      <c r="BF96" s="66" t="str">
        <f>IFERROR(BF94/BF95,"-")</f>
        <v>-</v>
      </c>
      <c r="BG96" s="67" t="str">
        <f t="shared" si="546"/>
        <v>-</v>
      </c>
      <c r="BH96" s="68" t="str">
        <f t="shared" si="547"/>
        <v>-</v>
      </c>
      <c r="BI96" s="81">
        <f>BI94/BI95</f>
        <v>100</v>
      </c>
      <c r="BJ96" s="66" t="str">
        <f>IFERROR(BJ94/BJ95,"-")</f>
        <v>-</v>
      </c>
      <c r="BK96" s="67" t="str">
        <f t="shared" si="548"/>
        <v>-</v>
      </c>
      <c r="BL96" s="70" t="str">
        <f t="shared" si="549"/>
        <v>-</v>
      </c>
      <c r="BM96" s="89">
        <f t="shared" ref="BM96:BN96" si="556">BM94/BM95</f>
        <v>100</v>
      </c>
      <c r="BN96" s="90">
        <f t="shared" si="556"/>
        <v>108.3277864</v>
      </c>
      <c r="BO96" s="76">
        <f t="shared" si="551"/>
        <v>0.08327786449</v>
      </c>
      <c r="BP96" s="88">
        <f>BP94/BP95</f>
        <v>97.76802303</v>
      </c>
      <c r="BQ96" s="78">
        <f>BM96/BP96-1</f>
        <v>0.0228293148</v>
      </c>
      <c r="BR96" s="3"/>
      <c r="BS96" s="3"/>
      <c r="BT96" s="3"/>
      <c r="BU96" s="3"/>
      <c r="BV96" s="3"/>
      <c r="BW96" s="3"/>
    </row>
    <row r="97" ht="15.75" customHeight="1">
      <c r="A97" s="1"/>
      <c r="B97" s="105"/>
      <c r="C97" s="106"/>
      <c r="D97" s="107"/>
      <c r="E97" s="144"/>
      <c r="F97" s="109"/>
      <c r="G97" s="110"/>
      <c r="H97" s="111"/>
      <c r="I97" s="112"/>
      <c r="J97" s="91" t="s">
        <v>66</v>
      </c>
      <c r="K97" s="92">
        <v>0.06</v>
      </c>
      <c r="L97" s="99">
        <v>150000.0</v>
      </c>
      <c r="M97" s="94">
        <v>150000.0</v>
      </c>
      <c r="N97" s="95">
        <f t="shared" si="526"/>
        <v>0</v>
      </c>
      <c r="O97" s="96">
        <f t="shared" si="527"/>
        <v>0</v>
      </c>
      <c r="P97" s="99">
        <v>150000.0</v>
      </c>
      <c r="Q97" s="94">
        <v>150000.0</v>
      </c>
      <c r="R97" s="95">
        <f t="shared" si="528"/>
        <v>0</v>
      </c>
      <c r="S97" s="98">
        <f t="shared" si="529"/>
        <v>0</v>
      </c>
      <c r="T97" s="99">
        <v>150000.0</v>
      </c>
      <c r="U97" s="94">
        <v>150000.0</v>
      </c>
      <c r="V97" s="95">
        <f t="shared" si="530"/>
        <v>0</v>
      </c>
      <c r="W97" s="96">
        <f t="shared" si="531"/>
        <v>0</v>
      </c>
      <c r="X97" s="99">
        <v>91000.0</v>
      </c>
      <c r="Y97" s="94">
        <v>91000.0</v>
      </c>
      <c r="Z97" s="95">
        <f t="shared" si="532"/>
        <v>0</v>
      </c>
      <c r="AA97" s="96">
        <f t="shared" si="533"/>
        <v>0</v>
      </c>
      <c r="AB97" s="99">
        <v>91000.0</v>
      </c>
      <c r="AC97" s="94">
        <v>91000.0</v>
      </c>
      <c r="AD97" s="95">
        <f t="shared" si="534"/>
        <v>0</v>
      </c>
      <c r="AE97" s="299">
        <f t="shared" si="535"/>
        <v>0</v>
      </c>
      <c r="AF97" s="300">
        <v>91000.0</v>
      </c>
      <c r="AG97" s="301">
        <v>91000.0</v>
      </c>
      <c r="AH97" s="301">
        <v>91000.0</v>
      </c>
      <c r="AI97" s="301">
        <v>91000.0</v>
      </c>
      <c r="AJ97" s="301">
        <v>91000.0</v>
      </c>
      <c r="AK97" s="301">
        <v>91000.0</v>
      </c>
      <c r="AL97" s="302">
        <v>91000.0</v>
      </c>
      <c r="AM97" s="311">
        <f t="shared" si="536"/>
        <v>0</v>
      </c>
      <c r="AN97" s="96">
        <f t="shared" si="537"/>
        <v>0</v>
      </c>
      <c r="AO97" s="99">
        <v>91000.0</v>
      </c>
      <c r="AP97" s="94">
        <v>91000.0</v>
      </c>
      <c r="AQ97" s="95">
        <f t="shared" si="538"/>
        <v>0</v>
      </c>
      <c r="AR97" s="96">
        <f t="shared" si="539"/>
        <v>0</v>
      </c>
      <c r="AS97" s="99">
        <v>91000.0</v>
      </c>
      <c r="AT97" s="94">
        <v>91000.0</v>
      </c>
      <c r="AU97" s="95">
        <f t="shared" si="540"/>
        <v>0</v>
      </c>
      <c r="AV97" s="96">
        <f t="shared" si="541"/>
        <v>0</v>
      </c>
      <c r="AW97" s="99">
        <v>91000.0</v>
      </c>
      <c r="AX97" s="94">
        <v>91000.0</v>
      </c>
      <c r="AY97" s="95">
        <f t="shared" si="542"/>
        <v>0</v>
      </c>
      <c r="AZ97" s="96">
        <f t="shared" si="543"/>
        <v>0</v>
      </c>
      <c r="BA97" s="99">
        <v>91000.0</v>
      </c>
      <c r="BB97" s="94">
        <v>91000.0</v>
      </c>
      <c r="BC97" s="95">
        <f t="shared" si="544"/>
        <v>0</v>
      </c>
      <c r="BD97" s="96">
        <f t="shared" si="545"/>
        <v>0</v>
      </c>
      <c r="BE97" s="99">
        <v>91000.0</v>
      </c>
      <c r="BF97" s="94">
        <v>91000.0</v>
      </c>
      <c r="BG97" s="95">
        <f t="shared" si="546"/>
        <v>0</v>
      </c>
      <c r="BH97" s="96">
        <f t="shared" si="547"/>
        <v>0</v>
      </c>
      <c r="BI97" s="94">
        <v>91000.0</v>
      </c>
      <c r="BJ97" s="94">
        <v>91000.0</v>
      </c>
      <c r="BK97" s="95">
        <f t="shared" si="548"/>
        <v>0</v>
      </c>
      <c r="BL97" s="98">
        <f t="shared" si="549"/>
        <v>0</v>
      </c>
      <c r="BM97" s="100">
        <f t="shared" ref="BM97:BN97" si="557">SUM(L97,P97,T97,X97,AB97,AF97,AO97,AS97,AW97,BA97,BE97,BI97)</f>
        <v>1269000</v>
      </c>
      <c r="BN97" s="101">
        <f t="shared" si="557"/>
        <v>1269000</v>
      </c>
      <c r="BO97" s="102">
        <f t="shared" si="551"/>
        <v>0</v>
      </c>
      <c r="BP97" s="103"/>
      <c r="BQ97" s="104"/>
      <c r="BR97" s="3"/>
      <c r="BS97" s="3"/>
      <c r="BT97" s="3"/>
      <c r="BU97" s="3"/>
      <c r="BV97" s="3"/>
      <c r="BW97" s="3"/>
    </row>
    <row r="98" ht="15.75" customHeight="1">
      <c r="A98" s="1"/>
      <c r="B98" s="105"/>
      <c r="C98" s="106"/>
      <c r="D98" s="107"/>
      <c r="E98" s="144"/>
      <c r="F98" s="109"/>
      <c r="G98" s="110"/>
      <c r="H98" s="111"/>
      <c r="I98" s="112"/>
      <c r="J98" s="3"/>
      <c r="K98" s="188"/>
      <c r="L98" s="3"/>
      <c r="M98" s="3"/>
      <c r="N98" s="3"/>
      <c r="P98" s="3"/>
      <c r="Q98" s="160"/>
      <c r="R98" s="3"/>
      <c r="S98" s="3"/>
      <c r="T98" s="3"/>
      <c r="U98" s="3"/>
      <c r="V98" s="3"/>
      <c r="W98" s="3"/>
      <c r="X98" s="3"/>
      <c r="Y98" s="3"/>
      <c r="Z98" s="3"/>
      <c r="AA98" s="3"/>
      <c r="AB98" s="3"/>
      <c r="AC98" s="3"/>
      <c r="AD98" s="3"/>
      <c r="AE98" s="3"/>
      <c r="AF98" s="3"/>
      <c r="AV98" s="138"/>
      <c r="AW98" s="25"/>
      <c r="AX98" s="139"/>
      <c r="AY98" s="25"/>
    </row>
    <row r="99" ht="15.75" customHeight="1">
      <c r="A99" s="1"/>
      <c r="B99" s="105"/>
      <c r="C99" s="106"/>
      <c r="D99" s="107"/>
      <c r="E99" s="144"/>
      <c r="F99" s="109"/>
      <c r="G99" s="110"/>
      <c r="H99" s="111"/>
      <c r="I99" s="112"/>
      <c r="J99" s="34" t="s">
        <v>93</v>
      </c>
      <c r="K99" s="35"/>
      <c r="L99" s="36" t="s">
        <v>10</v>
      </c>
      <c r="M99" s="37" t="s">
        <v>11</v>
      </c>
      <c r="N99" s="38" t="s">
        <v>12</v>
      </c>
      <c r="O99" s="39" t="s">
        <v>13</v>
      </c>
      <c r="P99" s="119" t="s">
        <v>14</v>
      </c>
      <c r="Q99" s="152" t="s">
        <v>15</v>
      </c>
      <c r="R99" s="38" t="s">
        <v>16</v>
      </c>
      <c r="S99" s="42" t="s">
        <v>17</v>
      </c>
      <c r="T99" s="36" t="s">
        <v>18</v>
      </c>
      <c r="U99" s="152" t="s">
        <v>90</v>
      </c>
      <c r="V99" s="38" t="s">
        <v>20</v>
      </c>
      <c r="W99" s="45" t="s">
        <v>91</v>
      </c>
      <c r="X99" s="119" t="s">
        <v>22</v>
      </c>
      <c r="Y99" s="152" t="s">
        <v>92</v>
      </c>
      <c r="Z99" s="38" t="s">
        <v>24</v>
      </c>
      <c r="AA99" s="45" t="s">
        <v>91</v>
      </c>
      <c r="AB99" s="43" t="s">
        <v>26</v>
      </c>
      <c r="AC99" s="152" t="s">
        <v>27</v>
      </c>
      <c r="AD99" s="38" t="s">
        <v>28</v>
      </c>
      <c r="AE99" s="45" t="s">
        <v>29</v>
      </c>
      <c r="AF99" s="44" t="s">
        <v>30</v>
      </c>
      <c r="AG99" s="261" t="s">
        <v>107</v>
      </c>
      <c r="AH99" s="262" t="s">
        <v>108</v>
      </c>
      <c r="AI99" s="262" t="s">
        <v>109</v>
      </c>
      <c r="AJ99" s="262" t="s">
        <v>110</v>
      </c>
      <c r="AK99" s="262" t="s">
        <v>111</v>
      </c>
      <c r="AL99" s="262" t="s">
        <v>31</v>
      </c>
      <c r="AM99" s="38" t="s">
        <v>32</v>
      </c>
      <c r="AN99" s="45" t="s">
        <v>33</v>
      </c>
      <c r="AO99" s="43" t="s">
        <v>34</v>
      </c>
      <c r="AP99" s="152" t="s">
        <v>35</v>
      </c>
      <c r="AQ99" s="38" t="s">
        <v>36</v>
      </c>
      <c r="AR99" s="45" t="s">
        <v>37</v>
      </c>
      <c r="AS99" s="44" t="s">
        <v>38</v>
      </c>
      <c r="AT99" s="152" t="s">
        <v>39</v>
      </c>
      <c r="AU99" s="38" t="s">
        <v>40</v>
      </c>
      <c r="AV99" s="45" t="s">
        <v>41</v>
      </c>
      <c r="AW99" s="43" t="s">
        <v>42</v>
      </c>
      <c r="AX99" s="152" t="s">
        <v>43</v>
      </c>
      <c r="AY99" s="38" t="s">
        <v>44</v>
      </c>
      <c r="AZ99" s="45" t="s">
        <v>45</v>
      </c>
      <c r="BA99" s="44" t="s">
        <v>46</v>
      </c>
      <c r="BB99" s="152" t="s">
        <v>47</v>
      </c>
      <c r="BC99" s="38" t="s">
        <v>48</v>
      </c>
      <c r="BD99" s="45" t="s">
        <v>49</v>
      </c>
      <c r="BE99" s="43" t="s">
        <v>50</v>
      </c>
      <c r="BF99" s="152" t="s">
        <v>51</v>
      </c>
      <c r="BG99" s="38" t="s">
        <v>52</v>
      </c>
      <c r="BH99" s="45" t="s">
        <v>53</v>
      </c>
      <c r="BI99" s="153" t="s">
        <v>54</v>
      </c>
      <c r="BJ99" s="152" t="s">
        <v>55</v>
      </c>
      <c r="BK99" s="38" t="s">
        <v>56</v>
      </c>
      <c r="BL99" s="42" t="s">
        <v>57</v>
      </c>
      <c r="BM99" s="46">
        <v>2026.0</v>
      </c>
      <c r="BN99" s="37" t="s">
        <v>58</v>
      </c>
      <c r="BO99" s="47" t="s">
        <v>59</v>
      </c>
      <c r="BP99" s="48">
        <v>2025.0</v>
      </c>
      <c r="BQ99" s="49"/>
      <c r="BR99" s="136"/>
      <c r="BS99" s="136"/>
      <c r="BT99" s="136"/>
      <c r="BU99" s="136"/>
      <c r="BV99" s="3"/>
      <c r="BW99" s="3"/>
    </row>
    <row r="100" ht="15.75" customHeight="1">
      <c r="A100" s="1"/>
      <c r="B100" s="105"/>
      <c r="C100" s="181"/>
      <c r="D100" s="182"/>
      <c r="E100" s="183"/>
      <c r="F100" s="184"/>
      <c r="G100" s="185"/>
      <c r="H100" s="185"/>
      <c r="I100" s="186"/>
      <c r="J100" s="263" t="s">
        <v>112</v>
      </c>
      <c r="K100" s="264"/>
      <c r="L100" s="265"/>
      <c r="M100" s="266"/>
      <c r="N100" s="267"/>
      <c r="O100" s="268"/>
      <c r="P100" s="265"/>
      <c r="Q100" s="307"/>
      <c r="R100" s="267"/>
      <c r="S100" s="270"/>
      <c r="T100" s="265"/>
      <c r="U100" s="272"/>
      <c r="V100" s="267"/>
      <c r="W100" s="268"/>
      <c r="X100" s="265"/>
      <c r="Y100" s="272"/>
      <c r="Z100" s="267"/>
      <c r="AA100" s="268"/>
      <c r="AB100" s="271"/>
      <c r="AC100" s="272"/>
      <c r="AD100" s="267"/>
      <c r="AE100" s="268"/>
      <c r="AF100" s="271"/>
      <c r="AG100" s="273">
        <f t="shared" ref="AG100:AK100" si="558">$AF$101/5</f>
        <v>0.016</v>
      </c>
      <c r="AH100" s="273">
        <f t="shared" si="558"/>
        <v>0.016</v>
      </c>
      <c r="AI100" s="273">
        <f t="shared" si="558"/>
        <v>0.016</v>
      </c>
      <c r="AJ100" s="273">
        <f t="shared" si="558"/>
        <v>0.016</v>
      </c>
      <c r="AK100" s="273">
        <f t="shared" si="558"/>
        <v>0.016</v>
      </c>
      <c r="AL100" s="273"/>
      <c r="AM100" s="267"/>
      <c r="AN100" s="268"/>
      <c r="AO100" s="271"/>
      <c r="AP100" s="272"/>
      <c r="AQ100" s="267"/>
      <c r="AR100" s="268"/>
      <c r="AS100" s="271"/>
      <c r="AT100" s="272"/>
      <c r="AU100" s="267"/>
      <c r="AV100" s="268"/>
      <c r="AW100" s="271"/>
      <c r="AX100" s="272"/>
      <c r="AY100" s="267"/>
      <c r="AZ100" s="268"/>
      <c r="BA100" s="271"/>
      <c r="BB100" s="272"/>
      <c r="BC100" s="267"/>
      <c r="BD100" s="268"/>
      <c r="BE100" s="271"/>
      <c r="BF100" s="272"/>
      <c r="BG100" s="267"/>
      <c r="BH100" s="268"/>
      <c r="BI100" s="308"/>
      <c r="BJ100" s="272"/>
      <c r="BK100" s="267"/>
      <c r="BL100" s="270"/>
      <c r="BM100" s="275"/>
      <c r="BN100" s="276"/>
      <c r="BO100" s="277"/>
      <c r="BP100" s="278"/>
      <c r="BQ100" s="64"/>
      <c r="BR100" s="3"/>
      <c r="BS100" s="3"/>
      <c r="BT100" s="3"/>
      <c r="BU100" s="3"/>
      <c r="BV100" s="3"/>
      <c r="BW100" s="3"/>
    </row>
    <row r="101" ht="15.75" customHeight="1">
      <c r="A101" s="1"/>
      <c r="B101" s="105">
        <v>14.0</v>
      </c>
      <c r="C101" s="181" t="s">
        <v>94</v>
      </c>
      <c r="D101" s="182">
        <f>200000*12</f>
        <v>2400000</v>
      </c>
      <c r="E101" s="183">
        <v>50.0</v>
      </c>
      <c r="F101" s="184">
        <f>E101*D101</f>
        <v>120000000</v>
      </c>
      <c r="G101" s="185" t="s">
        <v>60</v>
      </c>
      <c r="H101" s="185" t="s">
        <v>60</v>
      </c>
      <c r="I101" s="186" t="s">
        <v>60</v>
      </c>
      <c r="J101" s="50" t="s">
        <v>61</v>
      </c>
      <c r="K101" s="51"/>
      <c r="L101" s="52" t="s">
        <v>60</v>
      </c>
      <c r="M101" s="53" t="s">
        <v>60</v>
      </c>
      <c r="N101" s="54" t="s">
        <v>60</v>
      </c>
      <c r="O101" s="55" t="s">
        <v>62</v>
      </c>
      <c r="P101" s="52" t="s">
        <v>60</v>
      </c>
      <c r="Q101" s="154" t="s">
        <v>60</v>
      </c>
      <c r="R101" s="54" t="s">
        <v>60</v>
      </c>
      <c r="S101" s="57" t="s">
        <v>62</v>
      </c>
      <c r="T101" s="52" t="s">
        <v>60</v>
      </c>
      <c r="U101" s="59" t="s">
        <v>60</v>
      </c>
      <c r="V101" s="54" t="s">
        <v>60</v>
      </c>
      <c r="W101" s="55" t="s">
        <v>62</v>
      </c>
      <c r="X101" s="52" t="s">
        <v>60</v>
      </c>
      <c r="Y101" s="59" t="s">
        <v>60</v>
      </c>
      <c r="Z101" s="54" t="s">
        <v>60</v>
      </c>
      <c r="AA101" s="55" t="s">
        <v>62</v>
      </c>
      <c r="AB101" s="58">
        <v>0.07</v>
      </c>
      <c r="AC101" s="59">
        <f>AC102/(BM102-(L102+P102+T102+X102))</f>
        <v>0</v>
      </c>
      <c r="AD101" s="54" t="s">
        <v>60</v>
      </c>
      <c r="AE101" s="55" t="s">
        <v>62</v>
      </c>
      <c r="AF101" s="58">
        <v>0.08</v>
      </c>
      <c r="AG101" s="61">
        <f t="shared" ref="AG101:AK101" si="559">AG102/($BM$102-($L$102+$P$102+$T$102+$X$102))</f>
        <v>0</v>
      </c>
      <c r="AH101" s="61">
        <f t="shared" si="559"/>
        <v>0</v>
      </c>
      <c r="AI101" s="61">
        <f t="shared" si="559"/>
        <v>0</v>
      </c>
      <c r="AJ101" s="61">
        <f t="shared" si="559"/>
        <v>0</v>
      </c>
      <c r="AK101" s="61">
        <f t="shared" si="559"/>
        <v>0</v>
      </c>
      <c r="AL101" s="279">
        <f t="shared" ref="AL101:AL103" si="561">SUM(AG101:AK101)</f>
        <v>0</v>
      </c>
      <c r="AM101" s="280">
        <f>AL101-AF101</f>
        <v>-0.08</v>
      </c>
      <c r="AN101" s="55" t="s">
        <v>62</v>
      </c>
      <c r="AO101" s="58">
        <v>0.09</v>
      </c>
      <c r="AP101" s="59">
        <f>AP102/(BM102-(L102+P102+T102+X102))</f>
        <v>0</v>
      </c>
      <c r="AQ101" s="54" t="s">
        <v>60</v>
      </c>
      <c r="AR101" s="55" t="s">
        <v>62</v>
      </c>
      <c r="AS101" s="58">
        <v>0.1</v>
      </c>
      <c r="AT101" s="59">
        <f>AT102/(BM102-(L102+P102+T102+X102))</f>
        <v>0</v>
      </c>
      <c r="AU101" s="54" t="s">
        <v>60</v>
      </c>
      <c r="AV101" s="55" t="s">
        <v>62</v>
      </c>
      <c r="AW101" s="58">
        <v>0.11</v>
      </c>
      <c r="AX101" s="59">
        <f>AX102/(BM102-(L102+P102+T102+X102))</f>
        <v>0</v>
      </c>
      <c r="AY101" s="54" t="s">
        <v>60</v>
      </c>
      <c r="AZ101" s="55" t="s">
        <v>62</v>
      </c>
      <c r="BA101" s="58">
        <v>0.13</v>
      </c>
      <c r="BB101" s="59">
        <f>BB102/(BM102-(L102+P102+T102+X102))</f>
        <v>0</v>
      </c>
      <c r="BC101" s="54" t="s">
        <v>60</v>
      </c>
      <c r="BD101" s="55" t="s">
        <v>62</v>
      </c>
      <c r="BE101" s="58">
        <v>0.15</v>
      </c>
      <c r="BF101" s="59">
        <f>BF102/(BM102-(L102+P102+T102+X102))</f>
        <v>0</v>
      </c>
      <c r="BG101" s="54" t="s">
        <v>60</v>
      </c>
      <c r="BH101" s="55" t="s">
        <v>62</v>
      </c>
      <c r="BI101" s="155">
        <v>0.27</v>
      </c>
      <c r="BJ101" s="59">
        <f>BJ102/(BM102-(L102+P102+T102+X102))</f>
        <v>0</v>
      </c>
      <c r="BK101" s="54" t="s">
        <v>60</v>
      </c>
      <c r="BL101" s="57" t="s">
        <v>62</v>
      </c>
      <c r="BM101" s="60">
        <f t="shared" ref="BM101:BN101" si="560">SUM(AB101,AF101,AO101,AS101,AW101,BA101,BE101,BI101)</f>
        <v>1</v>
      </c>
      <c r="BN101" s="61">
        <f t="shared" si="560"/>
        <v>0</v>
      </c>
      <c r="BO101" s="62"/>
      <c r="BP101" s="63" t="s">
        <v>60</v>
      </c>
      <c r="BQ101" s="64"/>
      <c r="BR101" s="3"/>
      <c r="BS101" s="3"/>
      <c r="BT101" s="3"/>
      <c r="BU101" s="3"/>
      <c r="BV101" s="3"/>
      <c r="BW101" s="3"/>
    </row>
    <row r="102" ht="15.75" customHeight="1">
      <c r="A102" s="1"/>
      <c r="B102" s="105"/>
      <c r="C102" s="106"/>
      <c r="D102" s="107"/>
      <c r="E102" s="144"/>
      <c r="F102" s="109"/>
      <c r="G102" s="110"/>
      <c r="H102" s="111"/>
      <c r="I102" s="112"/>
      <c r="J102" s="50" t="s">
        <v>63</v>
      </c>
      <c r="K102" s="51"/>
      <c r="L102" s="127">
        <v>0.0</v>
      </c>
      <c r="M102" s="66">
        <v>0.0</v>
      </c>
      <c r="N102" s="67">
        <f t="shared" ref="N102:N105" si="562">IFERROR(M102-L102,"-")</f>
        <v>0</v>
      </c>
      <c r="O102" s="68" t="str">
        <f t="shared" ref="O102:O105" si="563">IFERROR(M102/L102-1,"-")</f>
        <v>-</v>
      </c>
      <c r="P102" s="127">
        <v>0.0</v>
      </c>
      <c r="Q102" s="66">
        <v>0.0</v>
      </c>
      <c r="R102" s="67">
        <f t="shared" ref="R102:R105" si="564">IFERROR(Q102-P102,"-")</f>
        <v>0</v>
      </c>
      <c r="S102" s="70" t="str">
        <f t="shared" ref="S102:S105" si="565">IFERROR(Q102/P102-1,"-")</f>
        <v>-</v>
      </c>
      <c r="T102" s="65">
        <v>0.0</v>
      </c>
      <c r="U102" s="66">
        <v>0.0</v>
      </c>
      <c r="V102" s="67">
        <f t="shared" ref="V102:V105" si="566">IFERROR(U102-T102,"-")</f>
        <v>0</v>
      </c>
      <c r="W102" s="68" t="str">
        <f t="shared" ref="W102:W105" si="567">IFERROR(U102/T102-1,"-")</f>
        <v>-</v>
      </c>
      <c r="X102" s="65">
        <v>0.0</v>
      </c>
      <c r="Y102" s="66">
        <v>0.0</v>
      </c>
      <c r="Z102" s="67">
        <f t="shared" ref="Z102:Z105" si="568">IFERROR(Y102-X102,"-")</f>
        <v>0</v>
      </c>
      <c r="AA102" s="68" t="str">
        <f t="shared" ref="AA102:AA105" si="569">IFERROR(Y102/X102-1,"-")</f>
        <v>-</v>
      </c>
      <c r="AB102" s="71">
        <f>($BM$102-($L$102+$P$102))*AB101</f>
        <v>2450</v>
      </c>
      <c r="AC102" s="66">
        <v>0.0</v>
      </c>
      <c r="AD102" s="67">
        <f t="shared" ref="AD102:AD105" si="570">IFERROR(AC102-AB102,"-")</f>
        <v>-2450</v>
      </c>
      <c r="AE102" s="68">
        <f t="shared" ref="AE102:AE105" si="571">IFERROR(AC102/AB102-1,"-")</f>
        <v>-1</v>
      </c>
      <c r="AF102" s="71">
        <f>($BM$102-($L$102+$P$102))*AF101</f>
        <v>2800</v>
      </c>
      <c r="AG102" s="66">
        <v>0.0</v>
      </c>
      <c r="AH102" s="66">
        <v>0.0</v>
      </c>
      <c r="AI102" s="66">
        <v>0.0</v>
      </c>
      <c r="AJ102" s="66">
        <v>0.0</v>
      </c>
      <c r="AK102" s="66">
        <v>0.0</v>
      </c>
      <c r="AL102" s="283">
        <f t="shared" si="561"/>
        <v>0</v>
      </c>
      <c r="AM102" s="67">
        <f t="shared" ref="AM102:AM105" si="572">IFERROR(AL102-AF102,"-")</f>
        <v>-2800</v>
      </c>
      <c r="AN102" s="68">
        <f t="shared" ref="AN102:AN105" si="573">IFERROR(AL102/AF102-1,"-")</f>
        <v>-1</v>
      </c>
      <c r="AO102" s="71">
        <f>($BM$102-($L$102+$P$102))*AO101</f>
        <v>3150</v>
      </c>
      <c r="AP102" s="66">
        <v>0.0</v>
      </c>
      <c r="AQ102" s="67">
        <f t="shared" ref="AQ102:AQ105" si="574">IFERROR(AP102-AO102,"-")</f>
        <v>-3150</v>
      </c>
      <c r="AR102" s="68">
        <f t="shared" ref="AR102:AR105" si="575">IFERROR(AP102/AO102-1,"-")</f>
        <v>-1</v>
      </c>
      <c r="AS102" s="71">
        <f>($BM$102-($L$102+$P$102))*AS101</f>
        <v>3500</v>
      </c>
      <c r="AT102" s="66">
        <v>0.0</v>
      </c>
      <c r="AU102" s="67">
        <f t="shared" ref="AU102:AU105" si="576">IFERROR(AT102-AS102,"-")</f>
        <v>-3500</v>
      </c>
      <c r="AV102" s="68">
        <f t="shared" ref="AV102:AV105" si="577">IFERROR(AT102/AS102-1,"-")</f>
        <v>-1</v>
      </c>
      <c r="AW102" s="71">
        <f>($BM$102-($L$102+$P$102))*AW101</f>
        <v>3850</v>
      </c>
      <c r="AX102" s="66">
        <v>0.0</v>
      </c>
      <c r="AY102" s="67">
        <f t="shared" ref="AY102:AY105" si="578">IFERROR(AX102-AW102,"-")</f>
        <v>-3850</v>
      </c>
      <c r="AZ102" s="68">
        <f t="shared" ref="AZ102:AZ105" si="579">IFERROR(AX102/AW102-1,"-")</f>
        <v>-1</v>
      </c>
      <c r="BA102" s="71">
        <f>($BM$102-($L$102+$P$102))*BA101</f>
        <v>4550</v>
      </c>
      <c r="BB102" s="66">
        <v>0.0</v>
      </c>
      <c r="BC102" s="67">
        <f t="shared" ref="BC102:BC105" si="580">IFERROR(BB102-BA102,"-")</f>
        <v>-4550</v>
      </c>
      <c r="BD102" s="68">
        <f t="shared" ref="BD102:BD105" si="581">IFERROR(BB102/BA102-1,"-")</f>
        <v>-1</v>
      </c>
      <c r="BE102" s="71">
        <f>($BM$102-($L$102+$P$102))*BE101</f>
        <v>5250</v>
      </c>
      <c r="BF102" s="66">
        <v>0.0</v>
      </c>
      <c r="BG102" s="67">
        <f t="shared" ref="BG102:BG105" si="582">IFERROR(BF102-BE102,"-")</f>
        <v>-5250</v>
      </c>
      <c r="BH102" s="68">
        <f t="shared" ref="BH102:BH105" si="583">IFERROR(BF102/BE102-1,"-")</f>
        <v>-1</v>
      </c>
      <c r="BI102" s="66">
        <f>($BM$102-($L$102+$P$102))*BI101</f>
        <v>9450</v>
      </c>
      <c r="BJ102" s="66">
        <v>0.0</v>
      </c>
      <c r="BK102" s="67">
        <f t="shared" ref="BK102:BK105" si="584">IFERROR(BJ102-BI102,"-")</f>
        <v>-9450</v>
      </c>
      <c r="BL102" s="70">
        <f t="shared" ref="BL102:BL105" si="585">IFERROR(BJ102/BI102-1,"-")</f>
        <v>-1</v>
      </c>
      <c r="BM102" s="74">
        <v>35000.0</v>
      </c>
      <c r="BN102" s="75">
        <f>SUM(M102,Q102,U102,Y102,AC102,AG102,AP102,AT102,AX102,BB102,BF102,BJ102)</f>
        <v>0</v>
      </c>
      <c r="BO102" s="76">
        <f t="shared" ref="BO102:BO105" si="587">IFERROR(BN102/BM102-1,"-")</f>
        <v>-1</v>
      </c>
      <c r="BP102" s="77" t="s">
        <v>60</v>
      </c>
      <c r="BQ102" s="78" t="str">
        <f t="shared" ref="BQ102:BQ103" si="588">IFERROR((BM102/BP102),"-")</f>
        <v>-</v>
      </c>
      <c r="BR102" s="3"/>
      <c r="BS102" s="3"/>
      <c r="BT102" s="3"/>
      <c r="BU102" s="3"/>
      <c r="BV102" s="3"/>
      <c r="BW102" s="3"/>
    </row>
    <row r="103" ht="15.75" customHeight="1">
      <c r="A103" s="1"/>
      <c r="B103" s="105"/>
      <c r="C103" s="106"/>
      <c r="D103" s="107"/>
      <c r="E103" s="144"/>
      <c r="F103" s="109"/>
      <c r="G103" s="110"/>
      <c r="H103" s="111"/>
      <c r="I103" s="112"/>
      <c r="J103" s="50" t="s">
        <v>64</v>
      </c>
      <c r="K103" s="79"/>
      <c r="L103" s="80">
        <f>L102/$K$104</f>
        <v>0</v>
      </c>
      <c r="M103" s="81">
        <v>0.0</v>
      </c>
      <c r="N103" s="82">
        <f t="shared" si="562"/>
        <v>0</v>
      </c>
      <c r="O103" s="68" t="str">
        <f t="shared" si="563"/>
        <v>-</v>
      </c>
      <c r="P103" s="80">
        <v>0.0</v>
      </c>
      <c r="Q103" s="81">
        <v>0.0</v>
      </c>
      <c r="R103" s="82">
        <f t="shared" si="564"/>
        <v>0</v>
      </c>
      <c r="S103" s="70" t="str">
        <f t="shared" si="565"/>
        <v>-</v>
      </c>
      <c r="T103" s="80">
        <f>T102/$K$104</f>
        <v>0</v>
      </c>
      <c r="U103" s="81">
        <v>0.0</v>
      </c>
      <c r="V103" s="82">
        <f t="shared" si="566"/>
        <v>0</v>
      </c>
      <c r="W103" s="68" t="str">
        <f t="shared" si="567"/>
        <v>-</v>
      </c>
      <c r="X103" s="80">
        <f>X102/$K$104</f>
        <v>0</v>
      </c>
      <c r="Y103" s="81">
        <v>0.0</v>
      </c>
      <c r="Z103" s="82">
        <f t="shared" si="568"/>
        <v>0</v>
      </c>
      <c r="AA103" s="68" t="str">
        <f t="shared" si="569"/>
        <v>-</v>
      </c>
      <c r="AB103" s="84">
        <f>AB102/$K$104</f>
        <v>21.30434783</v>
      </c>
      <c r="AC103" s="81">
        <v>0.0</v>
      </c>
      <c r="AD103" s="82">
        <f t="shared" si="570"/>
        <v>-21.30434783</v>
      </c>
      <c r="AE103" s="68">
        <f t="shared" si="571"/>
        <v>-1</v>
      </c>
      <c r="AF103" s="84">
        <f>AF102/$K$104</f>
        <v>24.34782609</v>
      </c>
      <c r="AG103" s="81">
        <v>0.0</v>
      </c>
      <c r="AH103" s="81">
        <v>0.0</v>
      </c>
      <c r="AI103" s="81">
        <v>0.0</v>
      </c>
      <c r="AJ103" s="81">
        <v>0.0</v>
      </c>
      <c r="AK103" s="81">
        <v>0.0</v>
      </c>
      <c r="AL103" s="286">
        <f t="shared" si="561"/>
        <v>0</v>
      </c>
      <c r="AM103" s="82">
        <f t="shared" si="572"/>
        <v>-24.34782609</v>
      </c>
      <c r="AN103" s="68">
        <f t="shared" si="573"/>
        <v>-1</v>
      </c>
      <c r="AO103" s="84">
        <f>AO102/$K$104</f>
        <v>27.39130435</v>
      </c>
      <c r="AP103" s="81">
        <v>0.0</v>
      </c>
      <c r="AQ103" s="82">
        <f t="shared" si="574"/>
        <v>-27.39130435</v>
      </c>
      <c r="AR103" s="68">
        <f t="shared" si="575"/>
        <v>-1</v>
      </c>
      <c r="AS103" s="84">
        <f>AS102/$K$104</f>
        <v>30.43478261</v>
      </c>
      <c r="AT103" s="81">
        <v>0.0</v>
      </c>
      <c r="AU103" s="82">
        <f t="shared" si="576"/>
        <v>-30.43478261</v>
      </c>
      <c r="AV103" s="68">
        <f t="shared" si="577"/>
        <v>-1</v>
      </c>
      <c r="AW103" s="84">
        <f>AW102/$K$104</f>
        <v>33.47826087</v>
      </c>
      <c r="AX103" s="81">
        <v>0.0</v>
      </c>
      <c r="AY103" s="82">
        <f t="shared" si="578"/>
        <v>-33.47826087</v>
      </c>
      <c r="AZ103" s="68">
        <f t="shared" si="579"/>
        <v>-1</v>
      </c>
      <c r="BA103" s="84">
        <f>BA102/$K$104</f>
        <v>39.56521739</v>
      </c>
      <c r="BB103" s="81">
        <v>0.0</v>
      </c>
      <c r="BC103" s="82">
        <f t="shared" si="580"/>
        <v>-39.56521739</v>
      </c>
      <c r="BD103" s="68">
        <f t="shared" si="581"/>
        <v>-1</v>
      </c>
      <c r="BE103" s="84">
        <f>BE102/$K$104</f>
        <v>45.65217391</v>
      </c>
      <c r="BF103" s="81">
        <v>0.0</v>
      </c>
      <c r="BG103" s="82">
        <f t="shared" si="582"/>
        <v>-45.65217391</v>
      </c>
      <c r="BH103" s="68">
        <f t="shared" si="583"/>
        <v>-1</v>
      </c>
      <c r="BI103" s="81">
        <f>BI102/$K$104</f>
        <v>82.17391304</v>
      </c>
      <c r="BJ103" s="81">
        <v>0.0</v>
      </c>
      <c r="BK103" s="82">
        <f t="shared" si="584"/>
        <v>-82.17391304</v>
      </c>
      <c r="BL103" s="70">
        <f t="shared" si="585"/>
        <v>-1</v>
      </c>
      <c r="BM103" s="156">
        <f t="shared" ref="BM103:BN103" si="586">SUM(L103,P103,T103,X103,AB103,AF103,AO103,AS103,AW103,BA103,BE103,BI103)</f>
        <v>304.3478261</v>
      </c>
      <c r="BN103" s="87">
        <f t="shared" si="586"/>
        <v>0</v>
      </c>
      <c r="BO103" s="76">
        <f t="shared" si="587"/>
        <v>-1</v>
      </c>
      <c r="BP103" s="88" t="s">
        <v>60</v>
      </c>
      <c r="BQ103" s="78" t="str">
        <f t="shared" si="588"/>
        <v>-</v>
      </c>
      <c r="BR103" s="3"/>
      <c r="BS103" s="3"/>
      <c r="BT103" s="3"/>
      <c r="BU103" s="3"/>
      <c r="BV103" s="3"/>
      <c r="BW103" s="3"/>
    </row>
    <row r="104" ht="15.75" customHeight="1">
      <c r="A104" s="1"/>
      <c r="B104" s="105"/>
      <c r="C104" s="106"/>
      <c r="D104" s="107"/>
      <c r="E104" s="144"/>
      <c r="F104" s="109"/>
      <c r="G104" s="110"/>
      <c r="H104" s="111"/>
      <c r="I104" s="112"/>
      <c r="J104" s="50" t="s">
        <v>65</v>
      </c>
      <c r="K104" s="79">
        <v>115.0</v>
      </c>
      <c r="L104" s="65" t="str">
        <f t="shared" ref="L104:M104" si="589">IFERROR(L102/L103,"-")</f>
        <v>-</v>
      </c>
      <c r="M104" s="66" t="str">
        <f t="shared" si="589"/>
        <v>-</v>
      </c>
      <c r="N104" s="67" t="str">
        <f t="shared" si="562"/>
        <v>-</v>
      </c>
      <c r="O104" s="68" t="str">
        <f t="shared" si="563"/>
        <v>-</v>
      </c>
      <c r="P104" s="65" t="str">
        <f t="shared" ref="P104:Q104" si="590">IFERROR(P102/P103,"-")</f>
        <v>-</v>
      </c>
      <c r="Q104" s="66" t="str">
        <f t="shared" si="590"/>
        <v>-</v>
      </c>
      <c r="R104" s="67" t="str">
        <f t="shared" si="564"/>
        <v>-</v>
      </c>
      <c r="S104" s="70" t="str">
        <f t="shared" si="565"/>
        <v>-</v>
      </c>
      <c r="T104" s="65" t="str">
        <f t="shared" ref="T104:U104" si="591">IFERROR(T102/T103,"-")</f>
        <v>-</v>
      </c>
      <c r="U104" s="66" t="str">
        <f t="shared" si="591"/>
        <v>-</v>
      </c>
      <c r="V104" s="67" t="str">
        <f t="shared" si="566"/>
        <v>-</v>
      </c>
      <c r="W104" s="68" t="str">
        <f t="shared" si="567"/>
        <v>-</v>
      </c>
      <c r="X104" s="65" t="str">
        <f t="shared" ref="X104:Y104" si="592">IFERROR(X102/X103,"-")</f>
        <v>-</v>
      </c>
      <c r="Y104" s="66" t="str">
        <f t="shared" si="592"/>
        <v>-</v>
      </c>
      <c r="Z104" s="67" t="str">
        <f t="shared" si="568"/>
        <v>-</v>
      </c>
      <c r="AA104" s="68" t="str">
        <f t="shared" si="569"/>
        <v>-</v>
      </c>
      <c r="AB104" s="84">
        <f>AB102/AB103</f>
        <v>115</v>
      </c>
      <c r="AC104" s="66" t="str">
        <f>IFERROR(AC102/AC103,"-")</f>
        <v>-</v>
      </c>
      <c r="AD104" s="67" t="str">
        <f t="shared" si="570"/>
        <v>-</v>
      </c>
      <c r="AE104" s="68" t="str">
        <f t="shared" si="571"/>
        <v>-</v>
      </c>
      <c r="AF104" s="312">
        <f>AF102/AF103</f>
        <v>115</v>
      </c>
      <c r="AG104" s="296" t="str">
        <f t="shared" ref="AG104:AL104" si="593">IFERROR(AG102/AG103,"-")</f>
        <v>-</v>
      </c>
      <c r="AH104" s="296" t="str">
        <f t="shared" si="593"/>
        <v>-</v>
      </c>
      <c r="AI104" s="296" t="str">
        <f t="shared" si="593"/>
        <v>-</v>
      </c>
      <c r="AJ104" s="296" t="str">
        <f t="shared" si="593"/>
        <v>-</v>
      </c>
      <c r="AK104" s="296" t="str">
        <f t="shared" si="593"/>
        <v>-</v>
      </c>
      <c r="AL104" s="298" t="str">
        <f t="shared" si="593"/>
        <v>-</v>
      </c>
      <c r="AM104" s="67" t="str">
        <f t="shared" si="572"/>
        <v>-</v>
      </c>
      <c r="AN104" s="68" t="str">
        <f t="shared" si="573"/>
        <v>-</v>
      </c>
      <c r="AO104" s="84">
        <f>AO102/AO103</f>
        <v>115</v>
      </c>
      <c r="AP104" s="66" t="str">
        <f>IFERROR(AP102/AP103,"-")</f>
        <v>-</v>
      </c>
      <c r="AQ104" s="67" t="str">
        <f t="shared" si="574"/>
        <v>-</v>
      </c>
      <c r="AR104" s="68" t="str">
        <f t="shared" si="575"/>
        <v>-</v>
      </c>
      <c r="AS104" s="84">
        <f>AS102/AS103</f>
        <v>115</v>
      </c>
      <c r="AT104" s="66" t="str">
        <f>IFERROR(AT102/AT103,"-")</f>
        <v>-</v>
      </c>
      <c r="AU104" s="67" t="str">
        <f t="shared" si="576"/>
        <v>-</v>
      </c>
      <c r="AV104" s="68" t="str">
        <f t="shared" si="577"/>
        <v>-</v>
      </c>
      <c r="AW104" s="84">
        <f>AW102/AW103</f>
        <v>115</v>
      </c>
      <c r="AX104" s="66" t="str">
        <f>IFERROR(AX102/AX103,"-")</f>
        <v>-</v>
      </c>
      <c r="AY104" s="67" t="str">
        <f t="shared" si="578"/>
        <v>-</v>
      </c>
      <c r="AZ104" s="68" t="str">
        <f t="shared" si="579"/>
        <v>-</v>
      </c>
      <c r="BA104" s="84">
        <f>BA102/BA103</f>
        <v>115</v>
      </c>
      <c r="BB104" s="66" t="str">
        <f>IFERROR(BB102/BB103,"-")</f>
        <v>-</v>
      </c>
      <c r="BC104" s="67" t="str">
        <f t="shared" si="580"/>
        <v>-</v>
      </c>
      <c r="BD104" s="68" t="str">
        <f t="shared" si="581"/>
        <v>-</v>
      </c>
      <c r="BE104" s="84">
        <f>BE102/BE103</f>
        <v>115</v>
      </c>
      <c r="BF104" s="66" t="str">
        <f>IFERROR(BF102/BF103,"-")</f>
        <v>-</v>
      </c>
      <c r="BG104" s="67" t="str">
        <f t="shared" si="582"/>
        <v>-</v>
      </c>
      <c r="BH104" s="68" t="str">
        <f t="shared" si="583"/>
        <v>-</v>
      </c>
      <c r="BI104" s="81">
        <f>BI102/BI103</f>
        <v>115</v>
      </c>
      <c r="BJ104" s="66" t="str">
        <f>IFERROR(BJ102/BJ103,"-")</f>
        <v>-</v>
      </c>
      <c r="BK104" s="67" t="str">
        <f t="shared" si="584"/>
        <v>-</v>
      </c>
      <c r="BL104" s="70" t="str">
        <f t="shared" si="585"/>
        <v>-</v>
      </c>
      <c r="BM104" s="89">
        <f>BM102/BM103</f>
        <v>115</v>
      </c>
      <c r="BN104" s="66" t="str">
        <f>IFERROR(BN102/BN103,"-")</f>
        <v>-</v>
      </c>
      <c r="BO104" s="76" t="str">
        <f t="shared" si="587"/>
        <v>-</v>
      </c>
      <c r="BP104" s="88"/>
      <c r="BQ104" s="78"/>
      <c r="BR104" s="3"/>
      <c r="BS104" s="3"/>
      <c r="BT104" s="3"/>
      <c r="BU104" s="3"/>
      <c r="BV104" s="3"/>
      <c r="BW104" s="3"/>
    </row>
    <row r="105" ht="15.75" customHeight="1">
      <c r="A105" s="1"/>
      <c r="B105" s="105"/>
      <c r="C105" s="106"/>
      <c r="D105" s="107"/>
      <c r="E105" s="144"/>
      <c r="F105" s="109"/>
      <c r="G105" s="110"/>
      <c r="H105" s="111"/>
      <c r="I105" s="112"/>
      <c r="J105" s="91" t="s">
        <v>66</v>
      </c>
      <c r="K105" s="189">
        <v>199.0</v>
      </c>
      <c r="L105" s="99">
        <f>$K$105*1</f>
        <v>199</v>
      </c>
      <c r="M105" s="94">
        <f>L105*1</f>
        <v>199</v>
      </c>
      <c r="N105" s="95">
        <f t="shared" si="562"/>
        <v>0</v>
      </c>
      <c r="O105" s="96">
        <f t="shared" si="563"/>
        <v>0</v>
      </c>
      <c r="P105" s="99">
        <f t="shared" ref="P105:Q105" si="594">L105*1</f>
        <v>199</v>
      </c>
      <c r="Q105" s="94">
        <f t="shared" si="594"/>
        <v>199</v>
      </c>
      <c r="R105" s="95">
        <f t="shared" si="564"/>
        <v>0</v>
      </c>
      <c r="S105" s="98">
        <f t="shared" si="565"/>
        <v>0</v>
      </c>
      <c r="T105" s="99">
        <f t="shared" ref="T105:U105" si="595">P105*1</f>
        <v>199</v>
      </c>
      <c r="U105" s="94">
        <f t="shared" si="595"/>
        <v>199</v>
      </c>
      <c r="V105" s="95">
        <f t="shared" si="566"/>
        <v>0</v>
      </c>
      <c r="W105" s="96">
        <f t="shared" si="567"/>
        <v>0</v>
      </c>
      <c r="X105" s="99">
        <f t="shared" ref="X105:Y105" si="596">T105*1</f>
        <v>199</v>
      </c>
      <c r="Y105" s="94">
        <f t="shared" si="596"/>
        <v>199</v>
      </c>
      <c r="Z105" s="95">
        <f t="shared" si="568"/>
        <v>0</v>
      </c>
      <c r="AA105" s="96">
        <f t="shared" si="569"/>
        <v>0</v>
      </c>
      <c r="AB105" s="99">
        <f t="shared" ref="AB105:AC105" si="597">X105*1</f>
        <v>199</v>
      </c>
      <c r="AC105" s="94">
        <f t="shared" si="597"/>
        <v>199</v>
      </c>
      <c r="AD105" s="95">
        <f t="shared" si="570"/>
        <v>0</v>
      </c>
      <c r="AE105" s="299">
        <f t="shared" si="571"/>
        <v>0</v>
      </c>
      <c r="AF105" s="300">
        <f t="shared" ref="AF105:AK105" si="598">$K$105*1</f>
        <v>199</v>
      </c>
      <c r="AG105" s="301">
        <f t="shared" si="598"/>
        <v>199</v>
      </c>
      <c r="AH105" s="301">
        <f t="shared" si="598"/>
        <v>199</v>
      </c>
      <c r="AI105" s="301">
        <f t="shared" si="598"/>
        <v>199</v>
      </c>
      <c r="AJ105" s="301">
        <f t="shared" si="598"/>
        <v>199</v>
      </c>
      <c r="AK105" s="301">
        <f t="shared" si="598"/>
        <v>199</v>
      </c>
      <c r="AL105" s="302">
        <f>AH105*1</f>
        <v>199</v>
      </c>
      <c r="AM105" s="311">
        <f t="shared" si="572"/>
        <v>0</v>
      </c>
      <c r="AN105" s="96">
        <f t="shared" si="573"/>
        <v>0</v>
      </c>
      <c r="AO105" s="99">
        <f t="shared" ref="AO105:AP105" si="599">AF105*1</f>
        <v>199</v>
      </c>
      <c r="AP105" s="94">
        <f t="shared" si="599"/>
        <v>199</v>
      </c>
      <c r="AQ105" s="95">
        <f t="shared" si="574"/>
        <v>0</v>
      </c>
      <c r="AR105" s="96">
        <f t="shared" si="575"/>
        <v>0</v>
      </c>
      <c r="AS105" s="99">
        <f t="shared" ref="AS105:AT105" si="600">AO105*1</f>
        <v>199</v>
      </c>
      <c r="AT105" s="94">
        <f t="shared" si="600"/>
        <v>199</v>
      </c>
      <c r="AU105" s="95">
        <f t="shared" si="576"/>
        <v>0</v>
      </c>
      <c r="AV105" s="96">
        <f t="shared" si="577"/>
        <v>0</v>
      </c>
      <c r="AW105" s="99">
        <f t="shared" ref="AW105:AX105" si="601">AS105*1</f>
        <v>199</v>
      </c>
      <c r="AX105" s="94">
        <f t="shared" si="601"/>
        <v>199</v>
      </c>
      <c r="AY105" s="95">
        <f t="shared" si="578"/>
        <v>0</v>
      </c>
      <c r="AZ105" s="96">
        <f t="shared" si="579"/>
        <v>0</v>
      </c>
      <c r="BA105" s="99">
        <f t="shared" ref="BA105:BB105" si="602">AW105*1</f>
        <v>199</v>
      </c>
      <c r="BB105" s="94">
        <f t="shared" si="602"/>
        <v>199</v>
      </c>
      <c r="BC105" s="95">
        <f t="shared" si="580"/>
        <v>0</v>
      </c>
      <c r="BD105" s="96">
        <f t="shared" si="581"/>
        <v>0</v>
      </c>
      <c r="BE105" s="99">
        <f>BA105*1</f>
        <v>199</v>
      </c>
      <c r="BF105" s="94">
        <f>BA105*1</f>
        <v>199</v>
      </c>
      <c r="BG105" s="95">
        <f t="shared" si="582"/>
        <v>0</v>
      </c>
      <c r="BH105" s="96">
        <f t="shared" si="583"/>
        <v>0</v>
      </c>
      <c r="BI105" s="94">
        <f t="shared" ref="BI105:BJ105" si="603">BE105*1</f>
        <v>199</v>
      </c>
      <c r="BJ105" s="94">
        <f t="shared" si="603"/>
        <v>199</v>
      </c>
      <c r="BK105" s="95">
        <f t="shared" si="584"/>
        <v>0</v>
      </c>
      <c r="BL105" s="98">
        <f t="shared" si="585"/>
        <v>0</v>
      </c>
      <c r="BM105" s="100">
        <f t="shared" ref="BM105:BN105" si="604">SUM(L105,P105,T105,X105,AB105,AF105,AO105,AS105,AW105,BA105,BE105,BI105)</f>
        <v>2388</v>
      </c>
      <c r="BN105" s="101">
        <f t="shared" si="604"/>
        <v>2388</v>
      </c>
      <c r="BO105" s="102">
        <f t="shared" si="587"/>
        <v>0</v>
      </c>
      <c r="BP105" s="103" t="s">
        <v>60</v>
      </c>
      <c r="BQ105" s="104" t="str">
        <f>IFERROR((BM105/BP105),"-")</f>
        <v>-</v>
      </c>
      <c r="BR105" s="3"/>
      <c r="BS105" s="3"/>
      <c r="BT105" s="3"/>
      <c r="BU105" s="3"/>
      <c r="BV105" s="3"/>
      <c r="BW105" s="3"/>
    </row>
    <row r="106" ht="15.75" customHeight="1">
      <c r="A106" s="1"/>
      <c r="B106" s="105"/>
      <c r="C106" s="106"/>
      <c r="D106" s="107"/>
      <c r="E106" s="144"/>
      <c r="F106" s="109"/>
      <c r="G106" s="110"/>
      <c r="H106" s="111"/>
      <c r="I106" s="112"/>
      <c r="J106" s="8"/>
      <c r="K106" s="9"/>
      <c r="L106" s="172"/>
      <c r="M106" s="172"/>
      <c r="N106" s="172"/>
      <c r="O106" s="172"/>
      <c r="P106" s="172"/>
      <c r="Q106" s="23"/>
      <c r="R106" s="172">
        <v>15.0</v>
      </c>
      <c r="S106" s="172">
        <v>25.0</v>
      </c>
      <c r="T106" s="172"/>
      <c r="U106" s="172"/>
      <c r="V106" s="172"/>
      <c r="W106" s="172"/>
      <c r="X106" s="172"/>
      <c r="Y106" s="172"/>
      <c r="Z106" s="172"/>
      <c r="AA106" s="3"/>
      <c r="AB106" s="3"/>
      <c r="AC106" s="3"/>
      <c r="AD106" s="3"/>
      <c r="AE106" s="3"/>
      <c r="AF106" s="3"/>
      <c r="AV106" s="138"/>
      <c r="AW106" s="25"/>
      <c r="AX106" s="139"/>
      <c r="AY106" s="25"/>
    </row>
    <row r="107" ht="15.75" customHeight="1">
      <c r="A107" s="1"/>
      <c r="B107" s="105"/>
      <c r="C107" s="106"/>
      <c r="D107" s="107"/>
      <c r="E107" s="144"/>
      <c r="F107" s="109"/>
      <c r="G107" s="110"/>
      <c r="H107" s="111"/>
      <c r="I107" s="112"/>
      <c r="J107" s="34" t="s">
        <v>95</v>
      </c>
      <c r="K107" s="35"/>
      <c r="L107" s="36" t="s">
        <v>10</v>
      </c>
      <c r="M107" s="37" t="s">
        <v>11</v>
      </c>
      <c r="N107" s="38" t="s">
        <v>12</v>
      </c>
      <c r="O107" s="39" t="s">
        <v>13</v>
      </c>
      <c r="P107" s="119" t="s">
        <v>14</v>
      </c>
      <c r="Q107" s="152" t="s">
        <v>15</v>
      </c>
      <c r="R107" s="38" t="s">
        <v>16</v>
      </c>
      <c r="S107" s="42" t="s">
        <v>17</v>
      </c>
      <c r="T107" s="36" t="s">
        <v>18</v>
      </c>
      <c r="U107" s="152" t="s">
        <v>90</v>
      </c>
      <c r="V107" s="38" t="s">
        <v>20</v>
      </c>
      <c r="W107" s="45" t="s">
        <v>91</v>
      </c>
      <c r="X107" s="119" t="s">
        <v>22</v>
      </c>
      <c r="Y107" s="152" t="s">
        <v>92</v>
      </c>
      <c r="Z107" s="38" t="s">
        <v>24</v>
      </c>
      <c r="AA107" s="45" t="s">
        <v>91</v>
      </c>
      <c r="AB107" s="36" t="s">
        <v>26</v>
      </c>
      <c r="AC107" s="152" t="s">
        <v>27</v>
      </c>
      <c r="AD107" s="38" t="s">
        <v>28</v>
      </c>
      <c r="AE107" s="45" t="s">
        <v>29</v>
      </c>
      <c r="AF107" s="44" t="s">
        <v>30</v>
      </c>
      <c r="AG107" s="261" t="s">
        <v>107</v>
      </c>
      <c r="AH107" s="262" t="s">
        <v>108</v>
      </c>
      <c r="AI107" s="262" t="s">
        <v>109</v>
      </c>
      <c r="AJ107" s="262" t="s">
        <v>110</v>
      </c>
      <c r="AK107" s="262" t="s">
        <v>111</v>
      </c>
      <c r="AL107" s="262" t="s">
        <v>31</v>
      </c>
      <c r="AM107" s="38" t="s">
        <v>32</v>
      </c>
      <c r="AN107" s="45" t="s">
        <v>33</v>
      </c>
      <c r="AO107" s="43" t="s">
        <v>34</v>
      </c>
      <c r="AP107" s="152" t="s">
        <v>35</v>
      </c>
      <c r="AQ107" s="38" t="s">
        <v>36</v>
      </c>
      <c r="AR107" s="45" t="s">
        <v>37</v>
      </c>
      <c r="AS107" s="44" t="s">
        <v>38</v>
      </c>
      <c r="AT107" s="152" t="s">
        <v>39</v>
      </c>
      <c r="AU107" s="38" t="s">
        <v>40</v>
      </c>
      <c r="AV107" s="45" t="s">
        <v>41</v>
      </c>
      <c r="AW107" s="43" t="s">
        <v>42</v>
      </c>
      <c r="AX107" s="152" t="s">
        <v>43</v>
      </c>
      <c r="AY107" s="38" t="s">
        <v>44</v>
      </c>
      <c r="AZ107" s="45" t="s">
        <v>45</v>
      </c>
      <c r="BA107" s="44" t="s">
        <v>46</v>
      </c>
      <c r="BB107" s="152" t="s">
        <v>47</v>
      </c>
      <c r="BC107" s="38" t="s">
        <v>48</v>
      </c>
      <c r="BD107" s="45" t="s">
        <v>49</v>
      </c>
      <c r="BE107" s="43" t="s">
        <v>50</v>
      </c>
      <c r="BF107" s="152" t="s">
        <v>51</v>
      </c>
      <c r="BG107" s="38" t="s">
        <v>52</v>
      </c>
      <c r="BH107" s="45" t="s">
        <v>53</v>
      </c>
      <c r="BI107" s="153" t="s">
        <v>54</v>
      </c>
      <c r="BJ107" s="152" t="s">
        <v>55</v>
      </c>
      <c r="BK107" s="38" t="s">
        <v>56</v>
      </c>
      <c r="BL107" s="42" t="s">
        <v>57</v>
      </c>
      <c r="BM107" s="46">
        <v>2026.0</v>
      </c>
      <c r="BN107" s="37" t="s">
        <v>58</v>
      </c>
      <c r="BO107" s="47" t="s">
        <v>59</v>
      </c>
      <c r="BP107" s="48">
        <v>2025.0</v>
      </c>
      <c r="BQ107" s="49"/>
      <c r="BR107" s="136"/>
      <c r="BS107" s="136"/>
      <c r="BT107" s="136"/>
      <c r="BU107" s="136"/>
      <c r="BV107" s="136"/>
      <c r="BW107" s="136"/>
    </row>
    <row r="108" ht="15.75" customHeight="1">
      <c r="A108" s="1"/>
      <c r="B108" s="105"/>
      <c r="C108" s="106"/>
      <c r="D108" s="107"/>
      <c r="E108" s="144"/>
      <c r="F108" s="109"/>
      <c r="G108" s="110"/>
      <c r="H108" s="111"/>
      <c r="I108" s="112"/>
      <c r="J108" s="263" t="s">
        <v>112</v>
      </c>
      <c r="K108" s="264"/>
      <c r="L108" s="265"/>
      <c r="M108" s="266"/>
      <c r="N108" s="267"/>
      <c r="O108" s="268"/>
      <c r="P108" s="265"/>
      <c r="Q108" s="307"/>
      <c r="R108" s="267"/>
      <c r="S108" s="270"/>
      <c r="T108" s="265"/>
      <c r="U108" s="272"/>
      <c r="V108" s="267"/>
      <c r="W108" s="268"/>
      <c r="X108" s="265"/>
      <c r="Y108" s="272"/>
      <c r="Z108" s="267"/>
      <c r="AA108" s="268"/>
      <c r="AB108" s="265"/>
      <c r="AC108" s="272"/>
      <c r="AD108" s="267"/>
      <c r="AE108" s="268"/>
      <c r="AF108" s="271"/>
      <c r="AG108" s="273">
        <f t="shared" ref="AG108:AK108" si="605">$AF$109/5</f>
        <v>0.004</v>
      </c>
      <c r="AH108" s="273">
        <f t="shared" si="605"/>
        <v>0.004</v>
      </c>
      <c r="AI108" s="273">
        <f t="shared" si="605"/>
        <v>0.004</v>
      </c>
      <c r="AJ108" s="273">
        <f t="shared" si="605"/>
        <v>0.004</v>
      </c>
      <c r="AK108" s="273">
        <f t="shared" si="605"/>
        <v>0.004</v>
      </c>
      <c r="AL108" s="273"/>
      <c r="AM108" s="267"/>
      <c r="AN108" s="268"/>
      <c r="AO108" s="271"/>
      <c r="AP108" s="272"/>
      <c r="AQ108" s="267"/>
      <c r="AR108" s="268"/>
      <c r="AS108" s="271"/>
      <c r="AT108" s="272"/>
      <c r="AU108" s="267"/>
      <c r="AV108" s="268"/>
      <c r="AW108" s="271"/>
      <c r="AX108" s="272"/>
      <c r="AY108" s="267"/>
      <c r="AZ108" s="268"/>
      <c r="BA108" s="271"/>
      <c r="BB108" s="272"/>
      <c r="BC108" s="267"/>
      <c r="BD108" s="268"/>
      <c r="BE108" s="271"/>
      <c r="BF108" s="272"/>
      <c r="BG108" s="267"/>
      <c r="BH108" s="268"/>
      <c r="BI108" s="308"/>
      <c r="BJ108" s="272"/>
      <c r="BK108" s="267"/>
      <c r="BL108" s="270"/>
      <c r="BM108" s="275"/>
      <c r="BN108" s="276"/>
      <c r="BO108" s="277"/>
      <c r="BP108" s="278"/>
      <c r="BQ108" s="64"/>
      <c r="BR108" s="3"/>
      <c r="BS108" s="3"/>
      <c r="BT108" s="3"/>
      <c r="BU108" s="3"/>
      <c r="BV108" s="3"/>
      <c r="BW108" s="3"/>
    </row>
    <row r="109" ht="15.75" customHeight="1">
      <c r="A109" s="1"/>
      <c r="B109" s="105">
        <v>15.0</v>
      </c>
      <c r="C109" s="106" t="s">
        <v>96</v>
      </c>
      <c r="D109" s="107">
        <f>3500*4*12</f>
        <v>168000</v>
      </c>
      <c r="E109" s="144">
        <v>40.0</v>
      </c>
      <c r="F109" s="109">
        <f>E109*D109</f>
        <v>6720000</v>
      </c>
      <c r="G109" s="110">
        <v>9704.999999999982</v>
      </c>
      <c r="H109" s="111">
        <v>519.0</v>
      </c>
      <c r="I109" s="112">
        <v>18.699421965317885</v>
      </c>
      <c r="J109" s="50" t="s">
        <v>61</v>
      </c>
      <c r="K109" s="51"/>
      <c r="L109" s="52" t="s">
        <v>60</v>
      </c>
      <c r="M109" s="53" t="s">
        <v>60</v>
      </c>
      <c r="N109" s="54" t="s">
        <v>60</v>
      </c>
      <c r="O109" s="55" t="s">
        <v>62</v>
      </c>
      <c r="P109" s="52" t="s">
        <v>60</v>
      </c>
      <c r="Q109" s="154" t="s">
        <v>60</v>
      </c>
      <c r="R109" s="54" t="s">
        <v>60</v>
      </c>
      <c r="S109" s="57" t="s">
        <v>62</v>
      </c>
      <c r="T109" s="52" t="s">
        <v>60</v>
      </c>
      <c r="U109" s="59" t="s">
        <v>60</v>
      </c>
      <c r="V109" s="54" t="s">
        <v>60</v>
      </c>
      <c r="W109" s="55" t="s">
        <v>62</v>
      </c>
      <c r="X109" s="52" t="s">
        <v>60</v>
      </c>
      <c r="Y109" s="59" t="s">
        <v>60</v>
      </c>
      <c r="Z109" s="54" t="s">
        <v>60</v>
      </c>
      <c r="AA109" s="55" t="s">
        <v>62</v>
      </c>
      <c r="AB109" s="52" t="s">
        <v>60</v>
      </c>
      <c r="AC109" s="59" t="s">
        <v>60</v>
      </c>
      <c r="AD109" s="54" t="s">
        <v>60</v>
      </c>
      <c r="AE109" s="55" t="s">
        <v>62</v>
      </c>
      <c r="AF109" s="58">
        <v>0.02</v>
      </c>
      <c r="AG109" s="61">
        <f t="shared" ref="AG109:AK109" si="606">AG110/($BM$110-($L$110+$P$110+$T$110+$X$110+$AB$110))</f>
        <v>0</v>
      </c>
      <c r="AH109" s="61">
        <f t="shared" si="606"/>
        <v>0</v>
      </c>
      <c r="AI109" s="61">
        <f t="shared" si="606"/>
        <v>0</v>
      </c>
      <c r="AJ109" s="61">
        <f t="shared" si="606"/>
        <v>0</v>
      </c>
      <c r="AK109" s="61">
        <f t="shared" si="606"/>
        <v>0</v>
      </c>
      <c r="AL109" s="279">
        <f t="shared" ref="AL109:AL111" si="608">SUM(AG109:AK109)</f>
        <v>0</v>
      </c>
      <c r="AM109" s="280">
        <f>AL109-AF109</f>
        <v>-0.02</v>
      </c>
      <c r="AN109" s="55" t="s">
        <v>62</v>
      </c>
      <c r="AO109" s="58">
        <v>0.03</v>
      </c>
      <c r="AP109" s="59">
        <f>AP110/(BM110-(L110+P110+T110+X110+AB110))</f>
        <v>0</v>
      </c>
      <c r="AQ109" s="54" t="s">
        <v>60</v>
      </c>
      <c r="AR109" s="55" t="s">
        <v>62</v>
      </c>
      <c r="AS109" s="58">
        <v>0.05</v>
      </c>
      <c r="AT109" s="59">
        <f>AT110/(BM110-(L110+P110+T110+X110+AB110))</f>
        <v>0</v>
      </c>
      <c r="AU109" s="54" t="s">
        <v>60</v>
      </c>
      <c r="AV109" s="55" t="s">
        <v>62</v>
      </c>
      <c r="AW109" s="58">
        <v>0.2</v>
      </c>
      <c r="AX109" s="59">
        <f>AX110/(BM110-(L110+P110+T110+X110+AB110))</f>
        <v>0</v>
      </c>
      <c r="AY109" s="54" t="s">
        <v>60</v>
      </c>
      <c r="AZ109" s="55" t="s">
        <v>62</v>
      </c>
      <c r="BA109" s="58">
        <v>0.2</v>
      </c>
      <c r="BB109" s="59">
        <f>BB110/(BM110-(L110+P110+T110+X110+AB110))</f>
        <v>0</v>
      </c>
      <c r="BC109" s="54" t="s">
        <v>60</v>
      </c>
      <c r="BD109" s="55" t="s">
        <v>62</v>
      </c>
      <c r="BE109" s="58">
        <v>0.25</v>
      </c>
      <c r="BF109" s="59">
        <f>BF110/(BM110-(L110+P110+T110+X110+AB110))</f>
        <v>0</v>
      </c>
      <c r="BG109" s="54" t="s">
        <v>60</v>
      </c>
      <c r="BH109" s="55" t="s">
        <v>62</v>
      </c>
      <c r="BI109" s="155">
        <v>0.25</v>
      </c>
      <c r="BJ109" s="59">
        <f>BJ110/(BM110-(L110+P110+T110+X110++AB110))</f>
        <v>0</v>
      </c>
      <c r="BK109" s="54" t="s">
        <v>60</v>
      </c>
      <c r="BL109" s="57" t="s">
        <v>62</v>
      </c>
      <c r="BM109" s="60">
        <f t="shared" ref="BM109:BN109" si="607">SUM(AF109,AO109,AS109,AW109,BA109,BE109,BI109)</f>
        <v>1</v>
      </c>
      <c r="BN109" s="61">
        <f t="shared" si="607"/>
        <v>0</v>
      </c>
      <c r="BO109" s="62"/>
      <c r="BP109" s="63" t="s">
        <v>60</v>
      </c>
      <c r="BQ109" s="64"/>
      <c r="BR109" s="3"/>
      <c r="BS109" s="3"/>
      <c r="BT109" s="3"/>
      <c r="BU109" s="3"/>
      <c r="BV109" s="3"/>
      <c r="BW109" s="3"/>
    </row>
    <row r="110" ht="15.75" customHeight="1">
      <c r="A110" s="1"/>
      <c r="B110" s="105"/>
      <c r="C110" s="106"/>
      <c r="D110" s="107"/>
      <c r="E110" s="144"/>
      <c r="F110" s="109"/>
      <c r="G110" s="110"/>
      <c r="H110" s="111"/>
      <c r="I110" s="112"/>
      <c r="J110" s="50" t="s">
        <v>63</v>
      </c>
      <c r="K110" s="51"/>
      <c r="L110" s="127">
        <v>0.0</v>
      </c>
      <c r="M110" s="66">
        <v>0.0</v>
      </c>
      <c r="N110" s="67">
        <f t="shared" ref="N110:N113" si="609">IFERROR(M110-L110,"-")</f>
        <v>0</v>
      </c>
      <c r="O110" s="68" t="str">
        <f t="shared" ref="O110:O113" si="610">IFERROR(M110/L110-1,"-")</f>
        <v>-</v>
      </c>
      <c r="P110" s="127">
        <v>0.0</v>
      </c>
      <c r="Q110" s="66">
        <v>0.0</v>
      </c>
      <c r="R110" s="67">
        <f t="shared" ref="R110:R113" si="611">IFERROR(Q110-P110,"-")</f>
        <v>0</v>
      </c>
      <c r="S110" s="70" t="str">
        <f t="shared" ref="S110:S113" si="612">IFERROR(Q110/P110-1,"-")</f>
        <v>-</v>
      </c>
      <c r="T110" s="65">
        <v>0.0</v>
      </c>
      <c r="U110" s="66">
        <v>3.99</v>
      </c>
      <c r="V110" s="67">
        <f t="shared" ref="V110:V113" si="613">IFERROR(U110-T110,"-")</f>
        <v>3.99</v>
      </c>
      <c r="W110" s="68" t="str">
        <f t="shared" ref="W110:W113" si="614">IFERROR(U110/T110-1,"-")</f>
        <v>-</v>
      </c>
      <c r="X110" s="65">
        <v>0.0</v>
      </c>
      <c r="Y110" s="66">
        <v>3332.19</v>
      </c>
      <c r="Z110" s="67">
        <f t="shared" ref="Z110:Z113" si="615">IFERROR(Y110-X110,"-")</f>
        <v>3332.19</v>
      </c>
      <c r="AA110" s="68" t="str">
        <f t="shared" ref="AA110:AA113" si="616">IFERROR(Y110/X110-1,"-")</f>
        <v>-</v>
      </c>
      <c r="AB110" s="65">
        <v>0.0</v>
      </c>
      <c r="AC110" s="66">
        <v>24.95</v>
      </c>
      <c r="AD110" s="67">
        <f t="shared" ref="AD110:AD113" si="617">IFERROR(AC110-AB110,"-")</f>
        <v>24.95</v>
      </c>
      <c r="AE110" s="68" t="str">
        <f t="shared" ref="AE110:AE113" si="618">IFERROR(AC110/AB110-1,"-")</f>
        <v>-</v>
      </c>
      <c r="AF110" s="71">
        <f>($BM$110-($L$110+$P$110))*AF109</f>
        <v>14000</v>
      </c>
      <c r="AG110" s="66">
        <v>0.0</v>
      </c>
      <c r="AH110" s="66">
        <v>0.0</v>
      </c>
      <c r="AI110" s="66">
        <v>0.0</v>
      </c>
      <c r="AJ110" s="66">
        <v>0.0</v>
      </c>
      <c r="AK110" s="66">
        <v>0.0</v>
      </c>
      <c r="AL110" s="283">
        <f t="shared" si="608"/>
        <v>0</v>
      </c>
      <c r="AM110" s="67">
        <f t="shared" ref="AM110:AM113" si="619">IFERROR(AL110-AF110,"-")</f>
        <v>-14000</v>
      </c>
      <c r="AN110" s="68">
        <f t="shared" ref="AN110:AN113" si="620">IFERROR(AL110/AF110-1,"-")</f>
        <v>-1</v>
      </c>
      <c r="AO110" s="71">
        <f>($BM$110-($L$110+$P$110))*AO109</f>
        <v>21000</v>
      </c>
      <c r="AP110" s="66">
        <v>0.0</v>
      </c>
      <c r="AQ110" s="67">
        <f t="shared" ref="AQ110:AQ113" si="621">IFERROR(AP110-AO110,"-")</f>
        <v>-21000</v>
      </c>
      <c r="AR110" s="68">
        <f t="shared" ref="AR110:AR113" si="622">IFERROR(AP110/AO110-1,"-")</f>
        <v>-1</v>
      </c>
      <c r="AS110" s="71">
        <f>($BM$110-($L$110+$P$110))*AS109</f>
        <v>35000</v>
      </c>
      <c r="AT110" s="66">
        <v>0.0</v>
      </c>
      <c r="AU110" s="67">
        <f t="shared" ref="AU110:AU113" si="623">IFERROR(AT110-AS110,"-")</f>
        <v>-35000</v>
      </c>
      <c r="AV110" s="68">
        <f t="shared" ref="AV110:AV113" si="624">IFERROR(AT110/AS110-1,"-")</f>
        <v>-1</v>
      </c>
      <c r="AW110" s="71">
        <f>($BM$110-($L$110+$P$110))*AW109</f>
        <v>140000</v>
      </c>
      <c r="AX110" s="66">
        <v>0.0</v>
      </c>
      <c r="AY110" s="67">
        <f t="shared" ref="AY110:AY113" si="625">IFERROR(AX110-AW110,"-")</f>
        <v>-140000</v>
      </c>
      <c r="AZ110" s="68">
        <f t="shared" ref="AZ110:AZ113" si="626">IFERROR(AX110/AW110-1,"-")</f>
        <v>-1</v>
      </c>
      <c r="BA110" s="71">
        <f>($BM$110-($L$110+$P$110))*BA109</f>
        <v>140000</v>
      </c>
      <c r="BB110" s="66">
        <v>0.0</v>
      </c>
      <c r="BC110" s="67">
        <f t="shared" ref="BC110:BC113" si="627">IFERROR(BB110-BA110,"-")</f>
        <v>-140000</v>
      </c>
      <c r="BD110" s="68">
        <f t="shared" ref="BD110:BD113" si="628">IFERROR(BB110/BA110-1,"-")</f>
        <v>-1</v>
      </c>
      <c r="BE110" s="71">
        <f>($BM$110-($L$110+$P$110))*BE109</f>
        <v>175000</v>
      </c>
      <c r="BF110" s="66">
        <v>0.0</v>
      </c>
      <c r="BG110" s="67">
        <f t="shared" ref="BG110:BG113" si="629">IFERROR(BF110-BE110,"-")</f>
        <v>-175000</v>
      </c>
      <c r="BH110" s="68">
        <f t="shared" ref="BH110:BH113" si="630">IFERROR(BF110/BE110-1,"-")</f>
        <v>-1</v>
      </c>
      <c r="BI110" s="66">
        <f>($BM$110-($L$110+$P$110))*BI109</f>
        <v>175000</v>
      </c>
      <c r="BJ110" s="66">
        <v>0.0</v>
      </c>
      <c r="BK110" s="67">
        <f t="shared" ref="BK110:BK113" si="631">IFERROR(BJ110-BI110,"-")</f>
        <v>-175000</v>
      </c>
      <c r="BL110" s="70">
        <f t="shared" ref="BL110:BL113" si="632">IFERROR(BJ110/BI110-1,"-")</f>
        <v>-1</v>
      </c>
      <c r="BM110" s="74">
        <v>700000.0</v>
      </c>
      <c r="BN110" s="75">
        <f>SUM(M110,Q110,U110,Y110,AC110,AG110,AP110,AT110,AX110,BB110,BF110,BJ110)</f>
        <v>3361.13</v>
      </c>
      <c r="BO110" s="76">
        <f t="shared" ref="BO110:BO113" si="634">IFERROR(BN110/BM110-1,"-")</f>
        <v>-0.9951983857</v>
      </c>
      <c r="BP110" s="77">
        <v>0.0</v>
      </c>
      <c r="BQ110" s="78" t="str">
        <f t="shared" ref="BQ110:BQ111" si="635">IFERROR((BM110/BP110),"-")</f>
        <v>-</v>
      </c>
      <c r="BR110" s="3"/>
      <c r="BS110" s="3"/>
      <c r="BT110" s="3"/>
      <c r="BU110" s="3"/>
      <c r="BV110" s="3"/>
      <c r="BW110" s="3"/>
    </row>
    <row r="111" ht="15.75" customHeight="1">
      <c r="A111" s="1"/>
      <c r="B111" s="105"/>
      <c r="C111" s="106"/>
      <c r="D111" s="107"/>
      <c r="E111" s="144"/>
      <c r="F111" s="109"/>
      <c r="G111" s="110"/>
      <c r="H111" s="111"/>
      <c r="I111" s="112"/>
      <c r="J111" s="50" t="s">
        <v>64</v>
      </c>
      <c r="K111" s="79"/>
      <c r="L111" s="129">
        <f>L110/$K$112</f>
        <v>0</v>
      </c>
      <c r="M111" s="81">
        <v>0.0</v>
      </c>
      <c r="N111" s="82">
        <f t="shared" si="609"/>
        <v>0</v>
      </c>
      <c r="O111" s="68" t="str">
        <f t="shared" si="610"/>
        <v>-</v>
      </c>
      <c r="P111" s="129">
        <f>P110/$K$112</f>
        <v>0</v>
      </c>
      <c r="Q111" s="81">
        <v>0.0</v>
      </c>
      <c r="R111" s="82">
        <f t="shared" si="611"/>
        <v>0</v>
      </c>
      <c r="S111" s="70" t="str">
        <f t="shared" si="612"/>
        <v>-</v>
      </c>
      <c r="T111" s="129">
        <v>0.0</v>
      </c>
      <c r="U111" s="81">
        <v>1.0</v>
      </c>
      <c r="V111" s="82">
        <f t="shared" si="613"/>
        <v>1</v>
      </c>
      <c r="W111" s="68" t="str">
        <f t="shared" si="614"/>
        <v>-</v>
      </c>
      <c r="X111" s="129">
        <f>X110/$K$112</f>
        <v>0</v>
      </c>
      <c r="Y111" s="81">
        <v>462.0</v>
      </c>
      <c r="Z111" s="82">
        <f t="shared" si="615"/>
        <v>462</v>
      </c>
      <c r="AA111" s="68" t="str">
        <f t="shared" si="616"/>
        <v>-</v>
      </c>
      <c r="AB111" s="129">
        <f>AB110/$K$112</f>
        <v>0</v>
      </c>
      <c r="AC111" s="81">
        <v>5.0</v>
      </c>
      <c r="AD111" s="82">
        <f t="shared" si="617"/>
        <v>5</v>
      </c>
      <c r="AE111" s="68" t="str">
        <f t="shared" si="618"/>
        <v>-</v>
      </c>
      <c r="AF111" s="84">
        <f>AF110/$K$112</f>
        <v>280</v>
      </c>
      <c r="AG111" s="81">
        <v>0.0</v>
      </c>
      <c r="AH111" s="81">
        <v>0.0</v>
      </c>
      <c r="AI111" s="81">
        <v>0.0</v>
      </c>
      <c r="AJ111" s="81">
        <v>0.0</v>
      </c>
      <c r="AK111" s="81">
        <v>0.0</v>
      </c>
      <c r="AL111" s="286">
        <f t="shared" si="608"/>
        <v>0</v>
      </c>
      <c r="AM111" s="82">
        <f t="shared" si="619"/>
        <v>-280</v>
      </c>
      <c r="AN111" s="68">
        <f t="shared" si="620"/>
        <v>-1</v>
      </c>
      <c r="AO111" s="84">
        <f>AO110/$K$112</f>
        <v>420</v>
      </c>
      <c r="AP111" s="81">
        <v>0.0</v>
      </c>
      <c r="AQ111" s="82">
        <f t="shared" si="621"/>
        <v>-420</v>
      </c>
      <c r="AR111" s="68">
        <f t="shared" si="622"/>
        <v>-1</v>
      </c>
      <c r="AS111" s="84">
        <f>AS110/$K$112</f>
        <v>700</v>
      </c>
      <c r="AT111" s="81">
        <v>0.0</v>
      </c>
      <c r="AU111" s="82">
        <f t="shared" si="623"/>
        <v>-700</v>
      </c>
      <c r="AV111" s="68">
        <f t="shared" si="624"/>
        <v>-1</v>
      </c>
      <c r="AW111" s="84">
        <f>AW110/$K$112</f>
        <v>2800</v>
      </c>
      <c r="AX111" s="81">
        <v>0.0</v>
      </c>
      <c r="AY111" s="82">
        <f t="shared" si="625"/>
        <v>-2800</v>
      </c>
      <c r="AZ111" s="68">
        <f t="shared" si="626"/>
        <v>-1</v>
      </c>
      <c r="BA111" s="84">
        <f>BA110/$K$112</f>
        <v>2800</v>
      </c>
      <c r="BB111" s="81">
        <v>0.0</v>
      </c>
      <c r="BC111" s="82">
        <f t="shared" si="627"/>
        <v>-2800</v>
      </c>
      <c r="BD111" s="68">
        <f t="shared" si="628"/>
        <v>-1</v>
      </c>
      <c r="BE111" s="84">
        <f>BE110/$K$112</f>
        <v>3500</v>
      </c>
      <c r="BF111" s="81">
        <v>0.0</v>
      </c>
      <c r="BG111" s="82">
        <f t="shared" si="629"/>
        <v>-3500</v>
      </c>
      <c r="BH111" s="68">
        <f t="shared" si="630"/>
        <v>-1</v>
      </c>
      <c r="BI111" s="81">
        <f>BI110/$K$112</f>
        <v>3500</v>
      </c>
      <c r="BJ111" s="81">
        <v>0.0</v>
      </c>
      <c r="BK111" s="82">
        <f t="shared" si="631"/>
        <v>-3500</v>
      </c>
      <c r="BL111" s="70">
        <f t="shared" si="632"/>
        <v>-1</v>
      </c>
      <c r="BM111" s="156">
        <f t="shared" ref="BM111:BN111" si="633">SUM(L111,P111,T111,X111,AB111,AF111,AO111,AS111,AW111,BA111,BE111,BI111)</f>
        <v>14000</v>
      </c>
      <c r="BN111" s="87">
        <f t="shared" si="633"/>
        <v>468</v>
      </c>
      <c r="BO111" s="76">
        <f t="shared" si="634"/>
        <v>-0.9665714286</v>
      </c>
      <c r="BP111" s="88">
        <v>0.0</v>
      </c>
      <c r="BQ111" s="78" t="str">
        <f t="shared" si="635"/>
        <v>-</v>
      </c>
      <c r="BR111" s="3"/>
      <c r="BS111" s="3"/>
      <c r="BT111" s="3"/>
      <c r="BU111" s="3"/>
      <c r="BV111" s="3"/>
      <c r="BW111" s="3"/>
    </row>
    <row r="112" ht="15.75" customHeight="1">
      <c r="A112" s="1"/>
      <c r="B112" s="105"/>
      <c r="C112" s="106"/>
      <c r="D112" s="107"/>
      <c r="E112" s="144"/>
      <c r="F112" s="109"/>
      <c r="G112" s="110"/>
      <c r="H112" s="111"/>
      <c r="I112" s="112"/>
      <c r="J112" s="50" t="s">
        <v>65</v>
      </c>
      <c r="K112" s="79">
        <v>50.0</v>
      </c>
      <c r="L112" s="65" t="str">
        <f t="shared" ref="L112:M112" si="636">IFERROR(L110/L111,"-")</f>
        <v>-</v>
      </c>
      <c r="M112" s="66" t="str">
        <f t="shared" si="636"/>
        <v>-</v>
      </c>
      <c r="N112" s="67" t="str">
        <f t="shared" si="609"/>
        <v>-</v>
      </c>
      <c r="O112" s="68" t="str">
        <f t="shared" si="610"/>
        <v>-</v>
      </c>
      <c r="P112" s="65" t="str">
        <f t="shared" ref="P112:Q112" si="637">IFERROR(P110/P111,"-")</f>
        <v>-</v>
      </c>
      <c r="Q112" s="66" t="str">
        <f t="shared" si="637"/>
        <v>-</v>
      </c>
      <c r="R112" s="67" t="str">
        <f t="shared" si="611"/>
        <v>-</v>
      </c>
      <c r="S112" s="70" t="str">
        <f t="shared" si="612"/>
        <v>-</v>
      </c>
      <c r="T112" s="65" t="str">
        <f t="shared" ref="T112:U112" si="638">IFERROR(T110/T111,"-")</f>
        <v>-</v>
      </c>
      <c r="U112" s="66">
        <f t="shared" si="638"/>
        <v>3.99</v>
      </c>
      <c r="V112" s="67" t="str">
        <f t="shared" si="613"/>
        <v>-</v>
      </c>
      <c r="W112" s="68" t="str">
        <f t="shared" si="614"/>
        <v>-</v>
      </c>
      <c r="X112" s="65" t="str">
        <f t="shared" ref="X112:Y112" si="639">IFERROR(X110/X111,"-")</f>
        <v>-</v>
      </c>
      <c r="Y112" s="66">
        <f t="shared" si="639"/>
        <v>7.212532468</v>
      </c>
      <c r="Z112" s="67" t="str">
        <f t="shared" si="615"/>
        <v>-</v>
      </c>
      <c r="AA112" s="68" t="str">
        <f t="shared" si="616"/>
        <v>-</v>
      </c>
      <c r="AB112" s="65" t="str">
        <f t="shared" ref="AB112:AC112" si="640">IFERROR(AB110/AB111,"-")</f>
        <v>-</v>
      </c>
      <c r="AC112" s="66">
        <f t="shared" si="640"/>
        <v>4.99</v>
      </c>
      <c r="AD112" s="67" t="str">
        <f t="shared" si="617"/>
        <v>-</v>
      </c>
      <c r="AE112" s="68" t="str">
        <f t="shared" si="618"/>
        <v>-</v>
      </c>
      <c r="AF112" s="312">
        <f>AF110/AF111</f>
        <v>50</v>
      </c>
      <c r="AG112" s="296" t="str">
        <f>IFERROR(AG110/AG111,"-")</f>
        <v>-</v>
      </c>
      <c r="AH112" s="319"/>
      <c r="AI112" s="319"/>
      <c r="AJ112" s="319"/>
      <c r="AK112" s="319"/>
      <c r="AL112" s="298" t="str">
        <f>IFERROR(AL110/AL111,"-")</f>
        <v>-</v>
      </c>
      <c r="AM112" s="67" t="str">
        <f t="shared" si="619"/>
        <v>-</v>
      </c>
      <c r="AN112" s="68" t="str">
        <f t="shared" si="620"/>
        <v>-</v>
      </c>
      <c r="AO112" s="84">
        <f>AO110/AO111</f>
        <v>50</v>
      </c>
      <c r="AP112" s="66" t="str">
        <f>IFERROR(AP110/AP111,"-")</f>
        <v>-</v>
      </c>
      <c r="AQ112" s="67" t="str">
        <f t="shared" si="621"/>
        <v>-</v>
      </c>
      <c r="AR112" s="68" t="str">
        <f t="shared" si="622"/>
        <v>-</v>
      </c>
      <c r="AS112" s="84">
        <f>AS110/AS111</f>
        <v>50</v>
      </c>
      <c r="AT112" s="66" t="str">
        <f>IFERROR(AT110/AT111,"-")</f>
        <v>-</v>
      </c>
      <c r="AU112" s="67" t="str">
        <f t="shared" si="623"/>
        <v>-</v>
      </c>
      <c r="AV112" s="68" t="str">
        <f t="shared" si="624"/>
        <v>-</v>
      </c>
      <c r="AW112" s="84">
        <f>AW110/AW111</f>
        <v>50</v>
      </c>
      <c r="AX112" s="66" t="str">
        <f>IFERROR(AX110/AX111,"-")</f>
        <v>-</v>
      </c>
      <c r="AY112" s="67" t="str">
        <f t="shared" si="625"/>
        <v>-</v>
      </c>
      <c r="AZ112" s="68" t="str">
        <f t="shared" si="626"/>
        <v>-</v>
      </c>
      <c r="BA112" s="84">
        <f>BA110/BA111</f>
        <v>50</v>
      </c>
      <c r="BB112" s="66" t="str">
        <f>IFERROR(BB110/BB111,"-")</f>
        <v>-</v>
      </c>
      <c r="BC112" s="67" t="str">
        <f t="shared" si="627"/>
        <v>-</v>
      </c>
      <c r="BD112" s="68" t="str">
        <f t="shared" si="628"/>
        <v>-</v>
      </c>
      <c r="BE112" s="84">
        <f>BE110/BE111</f>
        <v>50</v>
      </c>
      <c r="BF112" s="66" t="str">
        <f>IFERROR(BF110/BF111,"-")</f>
        <v>-</v>
      </c>
      <c r="BG112" s="67" t="str">
        <f t="shared" si="629"/>
        <v>-</v>
      </c>
      <c r="BH112" s="68" t="str">
        <f t="shared" si="630"/>
        <v>-</v>
      </c>
      <c r="BI112" s="81">
        <f>BI110/BI111</f>
        <v>50</v>
      </c>
      <c r="BJ112" s="66" t="str">
        <f>IFERROR(BJ110/BJ111,"-")</f>
        <v>-</v>
      </c>
      <c r="BK112" s="67" t="str">
        <f t="shared" si="631"/>
        <v>-</v>
      </c>
      <c r="BL112" s="70" t="str">
        <f t="shared" si="632"/>
        <v>-</v>
      </c>
      <c r="BM112" s="89">
        <f t="shared" ref="BM112:BN112" si="641">BM110/BM111</f>
        <v>50</v>
      </c>
      <c r="BN112" s="90">
        <f t="shared" si="641"/>
        <v>7.181901709</v>
      </c>
      <c r="BO112" s="76">
        <f t="shared" si="634"/>
        <v>-0.8563619658</v>
      </c>
      <c r="BP112" s="88"/>
      <c r="BQ112" s="78"/>
      <c r="BR112" s="3"/>
      <c r="BS112" s="3"/>
      <c r="BT112" s="3"/>
      <c r="BU112" s="3"/>
      <c r="BV112" s="3"/>
      <c r="BW112" s="3"/>
    </row>
    <row r="113" ht="15.75" customHeight="1">
      <c r="A113" s="1"/>
      <c r="B113" s="105"/>
      <c r="C113" s="106"/>
      <c r="D113" s="107"/>
      <c r="E113" s="144"/>
      <c r="F113" s="109"/>
      <c r="G113" s="110"/>
      <c r="H113" s="111"/>
      <c r="I113" s="112"/>
      <c r="J113" s="91" t="s">
        <v>66</v>
      </c>
      <c r="K113" s="92">
        <v>0.02</v>
      </c>
      <c r="L113" s="99">
        <f t="shared" ref="L113:M113" si="642">IF(L111=0, 0, (L110/L111) * (
  MIN(L111, 50000) * 0.02 +
  MAX(0, MIN(L111, 100000) - 50000) * 0.015 +
  MAX(0, L111 - 100000) * 0.01
))</f>
        <v>0</v>
      </c>
      <c r="M113" s="94">
        <f t="shared" si="642"/>
        <v>0</v>
      </c>
      <c r="N113" s="95">
        <f t="shared" si="609"/>
        <v>0</v>
      </c>
      <c r="O113" s="96" t="str">
        <f t="shared" si="610"/>
        <v>-</v>
      </c>
      <c r="P113" s="99">
        <f t="shared" ref="P113:Q113" si="643">IF(P111=0, 0, (P110/P111) * (
  MIN(P111, 50000) * 0.02 +
  MAX(0, MIN(P111, 100000) - 50000) * 0.015 +
  MAX(0, P111 - 100000) * 0.01
))</f>
        <v>0</v>
      </c>
      <c r="Q113" s="94">
        <f t="shared" si="643"/>
        <v>0</v>
      </c>
      <c r="R113" s="95">
        <f t="shared" si="611"/>
        <v>0</v>
      </c>
      <c r="S113" s="98" t="str">
        <f t="shared" si="612"/>
        <v>-</v>
      </c>
      <c r="T113" s="99">
        <f t="shared" ref="T113:U113" si="644">IF(T111=0, 0, (T110/T111) * (
  MIN(T111, 50000) * 0.02 +
  MAX(0, MIN(T111, 100000) - 50000) * 0.015 +
  MAX(0, T111 - 100000) * 0.01
))</f>
        <v>0</v>
      </c>
      <c r="U113" s="94">
        <f t="shared" si="644"/>
        <v>0.0798</v>
      </c>
      <c r="V113" s="95">
        <f t="shared" si="613"/>
        <v>0.0798</v>
      </c>
      <c r="W113" s="96" t="str">
        <f t="shared" si="614"/>
        <v>-</v>
      </c>
      <c r="X113" s="99">
        <f t="shared" ref="X113:Y113" si="645">IF(X111=0, 0, (X110/X111) * (
  MIN(X111, 50000) * 0.02 +
  MAX(0, MIN(X111, 100000) - 50000) * 0.015 +
  MAX(0, X111 - 100000) * 0.01
))</f>
        <v>0</v>
      </c>
      <c r="Y113" s="94">
        <f t="shared" si="645"/>
        <v>66.6438</v>
      </c>
      <c r="Z113" s="95">
        <f t="shared" si="615"/>
        <v>66.6438</v>
      </c>
      <c r="AA113" s="96" t="str">
        <f t="shared" si="616"/>
        <v>-</v>
      </c>
      <c r="AB113" s="99">
        <f t="shared" ref="AB113:AC113" si="646">IF(AB111=0, 0, (AB110/AB111) * (
  MIN(AB111, 50000) * 0.02 +
  MAX(0, MIN(AB111, 100000) - 50000) * 0.015 +
  MAX(0, AB111 - 100000) * 0.01
))</f>
        <v>0</v>
      </c>
      <c r="AC113" s="94">
        <f t="shared" si="646"/>
        <v>0.499</v>
      </c>
      <c r="AD113" s="95">
        <f t="shared" si="617"/>
        <v>0.499</v>
      </c>
      <c r="AE113" s="299" t="str">
        <f t="shared" si="618"/>
        <v>-</v>
      </c>
      <c r="AF113" s="300">
        <f t="shared" ref="AF113:AL113" si="647">IF(AF111=0, 0, (AF110/AF111) * (
  MIN(AF111, 50000) * 0.02 +
  MAX(0, MIN(AF111, 100000) - 50000) * 0.015 +
  MAX(0, AF111 - 100000) * 0.01
))</f>
        <v>280</v>
      </c>
      <c r="AG113" s="301">
        <f t="shared" si="647"/>
        <v>0</v>
      </c>
      <c r="AH113" s="301">
        <f t="shared" si="647"/>
        <v>0</v>
      </c>
      <c r="AI113" s="301">
        <f t="shared" si="647"/>
        <v>0</v>
      </c>
      <c r="AJ113" s="301">
        <f t="shared" si="647"/>
        <v>0</v>
      </c>
      <c r="AK113" s="301">
        <f t="shared" si="647"/>
        <v>0</v>
      </c>
      <c r="AL113" s="302">
        <f t="shared" si="647"/>
        <v>0</v>
      </c>
      <c r="AM113" s="311">
        <f t="shared" si="619"/>
        <v>-280</v>
      </c>
      <c r="AN113" s="96">
        <f t="shared" si="620"/>
        <v>-1</v>
      </c>
      <c r="AO113" s="99">
        <f t="shared" ref="AO113:AP113" si="648">IF(AO111=0, 0, (AO110/AO111) * (
  MIN(AO111, 50000) * 0.02 +
  MAX(0, MIN(AO111, 100000) - 50000) * 0.015 +
  MAX(0, AO111 - 100000) * 0.01
))</f>
        <v>420</v>
      </c>
      <c r="AP113" s="94">
        <f t="shared" si="648"/>
        <v>0</v>
      </c>
      <c r="AQ113" s="95">
        <f t="shared" si="621"/>
        <v>-420</v>
      </c>
      <c r="AR113" s="96">
        <f t="shared" si="622"/>
        <v>-1</v>
      </c>
      <c r="AS113" s="99">
        <f t="shared" ref="AS113:AT113" si="649">IF(AS111=0, 0, (AS110/AS111) * (
  MIN(AS111, 50000) * 0.02 +
  MAX(0, MIN(AS111, 100000) - 50000) * 0.015 +
  MAX(0, AS111 - 100000) * 0.01
))</f>
        <v>700</v>
      </c>
      <c r="AT113" s="94">
        <f t="shared" si="649"/>
        <v>0</v>
      </c>
      <c r="AU113" s="95">
        <f t="shared" si="623"/>
        <v>-700</v>
      </c>
      <c r="AV113" s="96">
        <f t="shared" si="624"/>
        <v>-1</v>
      </c>
      <c r="AW113" s="99">
        <f t="shared" ref="AW113:AX113" si="650">IF(AW111=0, 0, (AW110/AW111) * (
  MIN(AW111, 50000) * 0.02 +
  MAX(0, MIN(AW111, 100000) - 50000) * 0.015 +
  MAX(0, AW111 - 100000) * 0.01
))</f>
        <v>2800</v>
      </c>
      <c r="AX113" s="94">
        <f t="shared" si="650"/>
        <v>0</v>
      </c>
      <c r="AY113" s="95">
        <f t="shared" si="625"/>
        <v>-2800</v>
      </c>
      <c r="AZ113" s="96">
        <f t="shared" si="626"/>
        <v>-1</v>
      </c>
      <c r="BA113" s="99">
        <f t="shared" ref="BA113:BB113" si="651">IF(BA111=0, 0, (BA110/BA111) * (
  MIN(BA111, 50000) * 0.02 +
  MAX(0, MIN(BA111, 100000) - 50000) * 0.015 +
  MAX(0, BA111 - 100000) * 0.01
))</f>
        <v>2800</v>
      </c>
      <c r="BB113" s="94">
        <f t="shared" si="651"/>
        <v>0</v>
      </c>
      <c r="BC113" s="95">
        <f t="shared" si="627"/>
        <v>-2800</v>
      </c>
      <c r="BD113" s="96">
        <f t="shared" si="628"/>
        <v>-1</v>
      </c>
      <c r="BE113" s="99">
        <f t="shared" ref="BE113:BF113" si="652">IF(BE111=0, 0, (BE110/BE111) * (
  MIN(BE111, 50000) * 0.02 +
  MAX(0, MIN(BE111, 100000) - 50000) * 0.015 +
  MAX(0, BE111 - 100000) * 0.01
))</f>
        <v>3500</v>
      </c>
      <c r="BF113" s="94">
        <f t="shared" si="652"/>
        <v>0</v>
      </c>
      <c r="BG113" s="95">
        <f t="shared" si="629"/>
        <v>-3500</v>
      </c>
      <c r="BH113" s="96">
        <f t="shared" si="630"/>
        <v>-1</v>
      </c>
      <c r="BI113" s="94">
        <f t="shared" ref="BI113:BJ113" si="653">IF(BI111=0, 0, (BI110/BI111) * (
  MIN(BI111, 50000) * 0.02 +
  MAX(0, MIN(BI111, 100000) - 50000) * 0.015 +
  MAX(0, BI111 - 100000) * 0.01
))</f>
        <v>3500</v>
      </c>
      <c r="BJ113" s="94">
        <f t="shared" si="653"/>
        <v>0</v>
      </c>
      <c r="BK113" s="95">
        <f t="shared" si="631"/>
        <v>-3500</v>
      </c>
      <c r="BL113" s="98">
        <f t="shared" si="632"/>
        <v>-1</v>
      </c>
      <c r="BM113" s="100">
        <f t="shared" ref="BM113:BN113" si="654">SUM(L113,P113,T113,X113,AB113,AF113,AO113,AS113,AW113,BA113,BE113,BI113)</f>
        <v>14000</v>
      </c>
      <c r="BN113" s="101">
        <f t="shared" si="654"/>
        <v>67.2226</v>
      </c>
      <c r="BO113" s="102">
        <f t="shared" si="634"/>
        <v>-0.9951983857</v>
      </c>
      <c r="BP113" s="103">
        <v>0.0</v>
      </c>
      <c r="BQ113" s="104" t="str">
        <f>IFERROR((BM113/BP113),"-")</f>
        <v>-</v>
      </c>
      <c r="BR113" s="3"/>
      <c r="BS113" s="3"/>
      <c r="BT113" s="3"/>
      <c r="BU113" s="3"/>
      <c r="BV113" s="3"/>
      <c r="BW113" s="3"/>
    </row>
    <row r="114" ht="15.75" customHeight="1">
      <c r="A114" s="1"/>
      <c r="B114" s="105"/>
      <c r="C114" s="106"/>
      <c r="D114" s="107"/>
      <c r="E114" s="144"/>
      <c r="F114" s="109"/>
      <c r="G114" s="110"/>
      <c r="H114" s="111"/>
      <c r="I114" s="112"/>
      <c r="J114" s="8"/>
      <c r="K114" s="9"/>
      <c r="L114" s="136"/>
      <c r="M114" s="136"/>
      <c r="N114" s="136"/>
      <c r="O114" s="136"/>
      <c r="P114" s="136"/>
      <c r="Q114" s="160"/>
      <c r="R114" s="136"/>
      <c r="S114" s="136"/>
      <c r="T114" s="136"/>
      <c r="U114" s="136"/>
      <c r="V114" s="136"/>
      <c r="W114" s="136"/>
      <c r="X114" s="136"/>
      <c r="Y114" s="136"/>
      <c r="Z114" s="136"/>
      <c r="AA114" s="3"/>
      <c r="AB114" s="3"/>
      <c r="AC114" s="3"/>
      <c r="AD114" s="3"/>
      <c r="AE114" s="3"/>
      <c r="AF114" s="3"/>
      <c r="AV114" s="138"/>
      <c r="AW114" s="25"/>
      <c r="AX114" s="139"/>
      <c r="AY114" s="25"/>
    </row>
    <row r="115" ht="15.75" customHeight="1">
      <c r="A115" s="1"/>
      <c r="B115" s="105"/>
      <c r="C115" s="106"/>
      <c r="D115" s="107"/>
      <c r="E115" s="144"/>
      <c r="F115" s="109"/>
      <c r="G115" s="110"/>
      <c r="H115" s="111"/>
      <c r="I115" s="112"/>
      <c r="J115" s="34" t="s">
        <v>97</v>
      </c>
      <c r="K115" s="35"/>
      <c r="L115" s="36" t="s">
        <v>10</v>
      </c>
      <c r="M115" s="37" t="s">
        <v>11</v>
      </c>
      <c r="N115" s="38" t="s">
        <v>12</v>
      </c>
      <c r="O115" s="39" t="s">
        <v>13</v>
      </c>
      <c r="P115" s="119" t="s">
        <v>14</v>
      </c>
      <c r="Q115" s="152" t="s">
        <v>15</v>
      </c>
      <c r="R115" s="38" t="s">
        <v>16</v>
      </c>
      <c r="S115" s="42" t="s">
        <v>17</v>
      </c>
      <c r="T115" s="43" t="s">
        <v>18</v>
      </c>
      <c r="U115" s="152" t="s">
        <v>90</v>
      </c>
      <c r="V115" s="38" t="s">
        <v>20</v>
      </c>
      <c r="W115" s="45" t="s">
        <v>91</v>
      </c>
      <c r="X115" s="44" t="s">
        <v>22</v>
      </c>
      <c r="Y115" s="152" t="s">
        <v>92</v>
      </c>
      <c r="Z115" s="38" t="s">
        <v>24</v>
      </c>
      <c r="AA115" s="45" t="s">
        <v>91</v>
      </c>
      <c r="AB115" s="43" t="s">
        <v>26</v>
      </c>
      <c r="AC115" s="152" t="s">
        <v>27</v>
      </c>
      <c r="AD115" s="38" t="s">
        <v>28</v>
      </c>
      <c r="AE115" s="45" t="s">
        <v>29</v>
      </c>
      <c r="AF115" s="44" t="s">
        <v>30</v>
      </c>
      <c r="AG115" s="261" t="s">
        <v>107</v>
      </c>
      <c r="AH115" s="262" t="s">
        <v>108</v>
      </c>
      <c r="AI115" s="262" t="s">
        <v>109</v>
      </c>
      <c r="AJ115" s="262" t="s">
        <v>110</v>
      </c>
      <c r="AK115" s="262" t="s">
        <v>111</v>
      </c>
      <c r="AL115" s="262" t="s">
        <v>31</v>
      </c>
      <c r="AM115" s="38" t="s">
        <v>32</v>
      </c>
      <c r="AN115" s="45" t="s">
        <v>33</v>
      </c>
      <c r="AO115" s="43" t="s">
        <v>34</v>
      </c>
      <c r="AP115" s="152" t="s">
        <v>35</v>
      </c>
      <c r="AQ115" s="38" t="s">
        <v>36</v>
      </c>
      <c r="AR115" s="45" t="s">
        <v>37</v>
      </c>
      <c r="AS115" s="44" t="s">
        <v>38</v>
      </c>
      <c r="AT115" s="152" t="s">
        <v>39</v>
      </c>
      <c r="AU115" s="38" t="s">
        <v>40</v>
      </c>
      <c r="AV115" s="45" t="s">
        <v>41</v>
      </c>
      <c r="AW115" s="43" t="s">
        <v>42</v>
      </c>
      <c r="AX115" s="152" t="s">
        <v>43</v>
      </c>
      <c r="AY115" s="38" t="s">
        <v>44</v>
      </c>
      <c r="AZ115" s="45" t="s">
        <v>45</v>
      </c>
      <c r="BA115" s="44" t="s">
        <v>46</v>
      </c>
      <c r="BB115" s="152" t="s">
        <v>47</v>
      </c>
      <c r="BC115" s="38" t="s">
        <v>48</v>
      </c>
      <c r="BD115" s="45" t="s">
        <v>49</v>
      </c>
      <c r="BE115" s="43" t="s">
        <v>50</v>
      </c>
      <c r="BF115" s="152" t="s">
        <v>51</v>
      </c>
      <c r="BG115" s="38" t="s">
        <v>52</v>
      </c>
      <c r="BH115" s="45" t="s">
        <v>53</v>
      </c>
      <c r="BI115" s="44" t="s">
        <v>54</v>
      </c>
      <c r="BJ115" s="152" t="s">
        <v>55</v>
      </c>
      <c r="BK115" s="38" t="s">
        <v>56</v>
      </c>
      <c r="BL115" s="42" t="s">
        <v>57</v>
      </c>
      <c r="BM115" s="46">
        <v>2026.0</v>
      </c>
      <c r="BN115" s="37" t="s">
        <v>58</v>
      </c>
      <c r="BO115" s="47" t="s">
        <v>59</v>
      </c>
      <c r="BP115" s="48">
        <v>2025.0</v>
      </c>
      <c r="BQ115" s="49"/>
      <c r="BR115" s="3"/>
      <c r="BS115" s="3"/>
      <c r="BT115" s="3"/>
      <c r="BU115" s="3"/>
      <c r="BV115" s="3"/>
      <c r="BW115" s="3"/>
    </row>
    <row r="116" ht="15.75" customHeight="1">
      <c r="A116" s="1"/>
      <c r="B116" s="105"/>
      <c r="C116" s="106"/>
      <c r="D116" s="107"/>
      <c r="E116" s="144"/>
      <c r="F116" s="109"/>
      <c r="G116" s="320"/>
      <c r="H116" s="321"/>
      <c r="I116" s="322"/>
      <c r="J116" s="263" t="s">
        <v>112</v>
      </c>
      <c r="K116" s="264"/>
      <c r="L116" s="265"/>
      <c r="M116" s="266"/>
      <c r="N116" s="267"/>
      <c r="O116" s="268"/>
      <c r="P116" s="265"/>
      <c r="Q116" s="307"/>
      <c r="R116" s="267"/>
      <c r="S116" s="270"/>
      <c r="T116" s="271"/>
      <c r="U116" s="272"/>
      <c r="V116" s="267"/>
      <c r="W116" s="268"/>
      <c r="X116" s="271"/>
      <c r="Y116" s="272"/>
      <c r="Z116" s="267"/>
      <c r="AA116" s="268"/>
      <c r="AB116" s="271"/>
      <c r="AC116" s="272"/>
      <c r="AD116" s="267"/>
      <c r="AE116" s="268"/>
      <c r="AF116" s="271"/>
      <c r="AG116" s="273">
        <f t="shared" ref="AG116:AK116" si="655">$AF$117/5</f>
        <v>0.018</v>
      </c>
      <c r="AH116" s="273">
        <f t="shared" si="655"/>
        <v>0.018</v>
      </c>
      <c r="AI116" s="273">
        <f t="shared" si="655"/>
        <v>0.018</v>
      </c>
      <c r="AJ116" s="273">
        <f t="shared" si="655"/>
        <v>0.018</v>
      </c>
      <c r="AK116" s="273">
        <f t="shared" si="655"/>
        <v>0.018</v>
      </c>
      <c r="AL116" s="273"/>
      <c r="AM116" s="267"/>
      <c r="AN116" s="268"/>
      <c r="AO116" s="271"/>
      <c r="AP116" s="272"/>
      <c r="AQ116" s="267"/>
      <c r="AR116" s="268"/>
      <c r="AS116" s="271"/>
      <c r="AT116" s="272"/>
      <c r="AU116" s="267"/>
      <c r="AV116" s="268"/>
      <c r="AW116" s="271"/>
      <c r="AX116" s="272"/>
      <c r="AY116" s="267"/>
      <c r="AZ116" s="268"/>
      <c r="BA116" s="271"/>
      <c r="BB116" s="272"/>
      <c r="BC116" s="267"/>
      <c r="BD116" s="268"/>
      <c r="BE116" s="271"/>
      <c r="BF116" s="272"/>
      <c r="BG116" s="267"/>
      <c r="BH116" s="268"/>
      <c r="BI116" s="271"/>
      <c r="BJ116" s="272"/>
      <c r="BK116" s="267"/>
      <c r="BL116" s="270"/>
      <c r="BM116" s="275"/>
      <c r="BN116" s="276"/>
      <c r="BO116" s="277"/>
      <c r="BP116" s="278"/>
      <c r="BQ116" s="64"/>
      <c r="BR116" s="3"/>
      <c r="BS116" s="3"/>
      <c r="BT116" s="3"/>
      <c r="BU116" s="3"/>
      <c r="BV116" s="3"/>
      <c r="BW116" s="3"/>
    </row>
    <row r="117" ht="15.75" customHeight="1">
      <c r="A117" s="1"/>
      <c r="B117" s="105">
        <v>16.0</v>
      </c>
      <c r="C117" s="106" t="s">
        <v>98</v>
      </c>
      <c r="D117" s="107">
        <f>15000*12</f>
        <v>180000</v>
      </c>
      <c r="E117" s="144">
        <v>32.0</v>
      </c>
      <c r="F117" s="109">
        <f>E117*D117</f>
        <v>5760000</v>
      </c>
      <c r="G117" s="190">
        <v>356599.2800000031</v>
      </c>
      <c r="H117" s="191">
        <v>11282.0</v>
      </c>
      <c r="I117" s="192">
        <v>31.607807126396306</v>
      </c>
      <c r="J117" s="50" t="s">
        <v>61</v>
      </c>
      <c r="K117" s="51"/>
      <c r="L117" s="52" t="s">
        <v>60</v>
      </c>
      <c r="M117" s="53" t="s">
        <v>60</v>
      </c>
      <c r="N117" s="54" t="s">
        <v>60</v>
      </c>
      <c r="O117" s="55" t="s">
        <v>62</v>
      </c>
      <c r="P117" s="52" t="s">
        <v>60</v>
      </c>
      <c r="Q117" s="154" t="s">
        <v>60</v>
      </c>
      <c r="R117" s="54" t="s">
        <v>60</v>
      </c>
      <c r="S117" s="57" t="s">
        <v>62</v>
      </c>
      <c r="T117" s="58">
        <v>0.03</v>
      </c>
      <c r="U117" s="59">
        <f>U118/(BM118-(L118 + P118))</f>
        <v>0.02772611311</v>
      </c>
      <c r="V117" s="54" t="s">
        <v>60</v>
      </c>
      <c r="W117" s="55" t="s">
        <v>62</v>
      </c>
      <c r="X117" s="58">
        <v>0.04</v>
      </c>
      <c r="Y117" s="59">
        <f>Y118/(BM118-(L118+P118))</f>
        <v>0.02501738783</v>
      </c>
      <c r="Z117" s="54" t="s">
        <v>60</v>
      </c>
      <c r="AA117" s="55" t="s">
        <v>62</v>
      </c>
      <c r="AB117" s="58">
        <v>0.07</v>
      </c>
      <c r="AC117" s="59">
        <f>AC118/(BM118-(L118+P118))</f>
        <v>0.01824176216</v>
      </c>
      <c r="AD117" s="54" t="s">
        <v>60</v>
      </c>
      <c r="AE117" s="55" t="s">
        <v>62</v>
      </c>
      <c r="AF117" s="58">
        <v>0.09</v>
      </c>
      <c r="AG117" s="61">
        <f t="shared" ref="AG117:AK117" si="656">AG118/($BM$118-($L$118+$P$118))</f>
        <v>0.00606386466</v>
      </c>
      <c r="AH117" s="61">
        <f t="shared" si="656"/>
        <v>0.007895430705</v>
      </c>
      <c r="AI117" s="61">
        <f t="shared" si="656"/>
        <v>0.005778818197</v>
      </c>
      <c r="AJ117" s="61">
        <f t="shared" si="656"/>
        <v>0</v>
      </c>
      <c r="AK117" s="61">
        <f t="shared" si="656"/>
        <v>0</v>
      </c>
      <c r="AL117" s="279">
        <f t="shared" ref="AL117:AL119" si="658">SUM(AG117:AK117)</f>
        <v>0.01973811356</v>
      </c>
      <c r="AM117" s="280">
        <f>AL117-AF117</f>
        <v>-0.07026188644</v>
      </c>
      <c r="AN117" s="55" t="s">
        <v>62</v>
      </c>
      <c r="AO117" s="58">
        <v>0.11</v>
      </c>
      <c r="AP117" s="59">
        <f>AP118/(BM118-(L118+P118))</f>
        <v>0</v>
      </c>
      <c r="AQ117" s="54" t="s">
        <v>60</v>
      </c>
      <c r="AR117" s="55" t="s">
        <v>62</v>
      </c>
      <c r="AS117" s="58">
        <v>0.12</v>
      </c>
      <c r="AT117" s="59">
        <f>AT118/(BM118-(L118+P118))</f>
        <v>0</v>
      </c>
      <c r="AU117" s="54" t="s">
        <v>60</v>
      </c>
      <c r="AV117" s="55" t="s">
        <v>62</v>
      </c>
      <c r="AW117" s="58">
        <v>0.12</v>
      </c>
      <c r="AX117" s="59">
        <f>AX118/(BM118-(L118+P118))</f>
        <v>0</v>
      </c>
      <c r="AY117" s="54" t="s">
        <v>60</v>
      </c>
      <c r="AZ117" s="55" t="s">
        <v>62</v>
      </c>
      <c r="BA117" s="58">
        <v>0.12</v>
      </c>
      <c r="BB117" s="59">
        <f>BB118/(BM118-(L118+P118))</f>
        <v>0</v>
      </c>
      <c r="BC117" s="54" t="s">
        <v>60</v>
      </c>
      <c r="BD117" s="55" t="s">
        <v>62</v>
      </c>
      <c r="BE117" s="58">
        <v>0.16</v>
      </c>
      <c r="BF117" s="59">
        <f>BF118/(BM118-(L118+P118))</f>
        <v>0</v>
      </c>
      <c r="BG117" s="54" t="s">
        <v>60</v>
      </c>
      <c r="BH117" s="55" t="s">
        <v>62</v>
      </c>
      <c r="BI117" s="58">
        <v>0.14</v>
      </c>
      <c r="BJ117" s="59">
        <f>BJ118/(BM118-(L118+P118))</f>
        <v>0</v>
      </c>
      <c r="BK117" s="54" t="s">
        <v>60</v>
      </c>
      <c r="BL117" s="57" t="s">
        <v>62</v>
      </c>
      <c r="BM117" s="60">
        <f t="shared" ref="BM117:BN117" si="657">SUM(T117,X117,AB117,AF117,AO117,AS117,AW117,BA117,BE117,BI117)</f>
        <v>1</v>
      </c>
      <c r="BN117" s="61">
        <f t="shared" si="657"/>
        <v>0.07704912776</v>
      </c>
      <c r="BO117" s="62"/>
      <c r="BP117" s="63" t="s">
        <v>60</v>
      </c>
      <c r="BQ117" s="64"/>
      <c r="BR117" s="3"/>
      <c r="BS117" s="3"/>
      <c r="BT117" s="3"/>
      <c r="BU117" s="3"/>
      <c r="BV117" s="3"/>
      <c r="BW117" s="3"/>
    </row>
    <row r="118" ht="15.75" customHeight="1">
      <c r="A118" s="1"/>
      <c r="B118" s="105"/>
      <c r="C118" s="106"/>
      <c r="D118" s="107"/>
      <c r="E118" s="144"/>
      <c r="F118" s="109"/>
      <c r="G118" s="110"/>
      <c r="H118" s="111"/>
      <c r="I118" s="112"/>
      <c r="J118" s="50" t="s">
        <v>63</v>
      </c>
      <c r="K118" s="51"/>
      <c r="L118" s="127">
        <v>5894.0</v>
      </c>
      <c r="M118" s="66">
        <v>6435.6</v>
      </c>
      <c r="N118" s="67">
        <f t="shared" ref="N118:N121" si="659">IFERROR(M118-L118,"-")</f>
        <v>541.6</v>
      </c>
      <c r="O118" s="68">
        <f t="shared" ref="O118:O121" si="660">IFERROR(M118/L118-1,"-")</f>
        <v>0.09189005769</v>
      </c>
      <c r="P118" s="127">
        <v>3778.0</v>
      </c>
      <c r="Q118" s="66">
        <v>4215.7</v>
      </c>
      <c r="R118" s="67">
        <f t="shared" ref="R118:R121" si="661">IFERROR(Q118-P118,"-")</f>
        <v>437.7</v>
      </c>
      <c r="S118" s="70">
        <f t="shared" ref="S118:S121" si="662">IFERROR(Q118/P118-1,"-")</f>
        <v>0.1158549497</v>
      </c>
      <c r="T118" s="71">
        <f>($BM$118-($L$118+$P$118))*T117</f>
        <v>4209.84</v>
      </c>
      <c r="U118" s="66">
        <v>3890.75</v>
      </c>
      <c r="V118" s="67">
        <f t="shared" ref="V118:V121" si="663">IFERROR(U118-T118,"-")</f>
        <v>-319.09</v>
      </c>
      <c r="W118" s="68">
        <f t="shared" ref="W118:W121" si="664">IFERROR(U118/T118-1,"-")</f>
        <v>-0.07579622979</v>
      </c>
      <c r="X118" s="71">
        <f>($BM$118-($L$118+$P$118))*X117</f>
        <v>5613.12</v>
      </c>
      <c r="Y118" s="66">
        <v>3510.64</v>
      </c>
      <c r="Z118" s="67">
        <f t="shared" ref="Z118:Z121" si="665">IFERROR(Y118-X118,"-")</f>
        <v>-2102.48</v>
      </c>
      <c r="AA118" s="68">
        <f t="shared" ref="AA118:AA121" si="666">IFERROR(Y118/X118-1,"-")</f>
        <v>-0.3745653041</v>
      </c>
      <c r="AB118" s="71">
        <f>($BM$118-($L$118+$P$118))*AB117</f>
        <v>9822.96</v>
      </c>
      <c r="AC118" s="66">
        <v>2559.83</v>
      </c>
      <c r="AD118" s="67">
        <f t="shared" ref="AD118:AD121" si="667">IFERROR(AC118-AB118,"-")</f>
        <v>-7263.13</v>
      </c>
      <c r="AE118" s="68">
        <f t="shared" ref="AE118:AE121" si="668">IFERROR(AC118/AB118-1,"-")</f>
        <v>-0.7394033978</v>
      </c>
      <c r="AF118" s="71">
        <f>($BM$118-($L$118+$P$118))*AF117</f>
        <v>12629.52</v>
      </c>
      <c r="AG118" s="73">
        <v>850.93</v>
      </c>
      <c r="AH118" s="73">
        <v>1107.95</v>
      </c>
      <c r="AI118" s="73">
        <v>810.93</v>
      </c>
      <c r="AJ118" s="73"/>
      <c r="AK118" s="73"/>
      <c r="AL118" s="283">
        <f t="shared" si="658"/>
        <v>2769.81</v>
      </c>
      <c r="AM118" s="67">
        <f t="shared" ref="AM118:AM121" si="669">IFERROR(AL118-AF118,"-")</f>
        <v>-9859.71</v>
      </c>
      <c r="AN118" s="68">
        <f t="shared" ref="AN118:AN121" si="670">IFERROR(AL118/AF118-1,"-")</f>
        <v>-0.7806876271</v>
      </c>
      <c r="AO118" s="71">
        <f>($BM$118-($L$118+$P$118))*AO117</f>
        <v>15436.08</v>
      </c>
      <c r="AP118" s="66">
        <v>0.0</v>
      </c>
      <c r="AQ118" s="67">
        <f t="shared" ref="AQ118:AQ121" si="671">IFERROR(AP118-AO118,"-")</f>
        <v>-15436.08</v>
      </c>
      <c r="AR118" s="68">
        <f t="shared" ref="AR118:AR121" si="672">IFERROR(AP118/AO118-1,"-")</f>
        <v>-1</v>
      </c>
      <c r="AS118" s="71">
        <f>($BM$118-($L$118+$P$118))*AS117</f>
        <v>16839.36</v>
      </c>
      <c r="AT118" s="66">
        <v>0.0</v>
      </c>
      <c r="AU118" s="67">
        <f t="shared" ref="AU118:AU121" si="673">IFERROR(AT118-AS118,"-")</f>
        <v>-16839.36</v>
      </c>
      <c r="AV118" s="68">
        <f t="shared" ref="AV118:AV121" si="674">IFERROR(AT118/AS118-1,"-")</f>
        <v>-1</v>
      </c>
      <c r="AW118" s="71">
        <f>($BM$118-($L$118+$P$118))*AW117</f>
        <v>16839.36</v>
      </c>
      <c r="AX118" s="66">
        <v>0.0</v>
      </c>
      <c r="AY118" s="67">
        <f t="shared" ref="AY118:AY121" si="675">IFERROR(AX118-AW118,"-")</f>
        <v>-16839.36</v>
      </c>
      <c r="AZ118" s="68">
        <f t="shared" ref="AZ118:AZ121" si="676">IFERROR(AX118/AW118-1,"-")</f>
        <v>-1</v>
      </c>
      <c r="BA118" s="71">
        <f>($BM$118-($L$118+$P$118))*BA117</f>
        <v>16839.36</v>
      </c>
      <c r="BB118" s="66">
        <v>0.0</v>
      </c>
      <c r="BC118" s="67">
        <f t="shared" ref="BC118:BC121" si="677">IFERROR(BB118-BA118,"-")</f>
        <v>-16839.36</v>
      </c>
      <c r="BD118" s="68">
        <f t="shared" ref="BD118:BD121" si="678">IFERROR(BB118/BA118-1,"-")</f>
        <v>-1</v>
      </c>
      <c r="BE118" s="71">
        <f>($BM$118-($L$118+$P$118))*BE117</f>
        <v>22452.48</v>
      </c>
      <c r="BF118" s="66">
        <v>0.0</v>
      </c>
      <c r="BG118" s="67">
        <f t="shared" ref="BG118:BG121" si="679">IFERROR(BF118-BE118,"-")</f>
        <v>-22452.48</v>
      </c>
      <c r="BH118" s="68">
        <f t="shared" ref="BH118:BH121" si="680">IFERROR(BF118/BE118-1,"-")</f>
        <v>-1</v>
      </c>
      <c r="BI118" s="71">
        <f>($BM$118-($L$118+$P$118))*BI117</f>
        <v>19645.92</v>
      </c>
      <c r="BJ118" s="66">
        <v>0.0</v>
      </c>
      <c r="BK118" s="67">
        <f t="shared" ref="BK118:BK121" si="681">IFERROR(BJ118-BI118,"-")</f>
        <v>-19645.92</v>
      </c>
      <c r="BL118" s="70">
        <f t="shared" ref="BL118:BL121" si="682">IFERROR(BJ118/BI118-1,"-")</f>
        <v>-1</v>
      </c>
      <c r="BM118" s="74">
        <v>150000.0</v>
      </c>
      <c r="BN118" s="75">
        <f>SUM(M118,Q118,U118,Y118,AC118,AG118,AP118,AT118,AX118,BB118,BF118,BJ118)</f>
        <v>21463.45</v>
      </c>
      <c r="BO118" s="76">
        <f t="shared" ref="BO118:BO121" si="684">IFERROR(BN118/BM118-1,"-")</f>
        <v>-0.8569103333</v>
      </c>
      <c r="BP118" s="77">
        <v>9705.0</v>
      </c>
      <c r="BQ118" s="78">
        <f t="shared" ref="BQ118:BQ119" si="685">BM118/BP118</f>
        <v>15.45595054</v>
      </c>
      <c r="BR118" s="3"/>
      <c r="BS118" s="3"/>
      <c r="BT118" s="3"/>
      <c r="BU118" s="3"/>
      <c r="BV118" s="3"/>
      <c r="BW118" s="3"/>
    </row>
    <row r="119" ht="15.75" customHeight="1">
      <c r="A119" s="1"/>
      <c r="B119" s="105"/>
      <c r="C119" s="106"/>
      <c r="D119" s="107"/>
      <c r="E119" s="144"/>
      <c r="F119" s="109"/>
      <c r="G119" s="110"/>
      <c r="H119" s="111"/>
      <c r="I119" s="112"/>
      <c r="J119" s="50" t="s">
        <v>64</v>
      </c>
      <c r="K119" s="79"/>
      <c r="L119" s="129">
        <f>L118/$K$120</f>
        <v>196.4666667</v>
      </c>
      <c r="M119" s="81">
        <v>234.0</v>
      </c>
      <c r="N119" s="82">
        <f t="shared" si="659"/>
        <v>37.53333333</v>
      </c>
      <c r="O119" s="68">
        <f t="shared" si="660"/>
        <v>0.1910417374</v>
      </c>
      <c r="P119" s="129">
        <f>P118/$K$120</f>
        <v>125.9333333</v>
      </c>
      <c r="Q119" s="81">
        <v>95.0</v>
      </c>
      <c r="R119" s="82">
        <f t="shared" si="661"/>
        <v>-30.93333333</v>
      </c>
      <c r="S119" s="70">
        <f t="shared" si="662"/>
        <v>-0.2456326098</v>
      </c>
      <c r="T119" s="84">
        <f>T118/$K$120</f>
        <v>140.328</v>
      </c>
      <c r="U119" s="81">
        <v>235.0</v>
      </c>
      <c r="V119" s="82">
        <f t="shared" si="663"/>
        <v>94.672</v>
      </c>
      <c r="W119" s="68">
        <f t="shared" si="664"/>
        <v>0.6746479676</v>
      </c>
      <c r="X119" s="84">
        <f>X118/$K$120</f>
        <v>187.104</v>
      </c>
      <c r="Y119" s="81">
        <v>191.0</v>
      </c>
      <c r="Z119" s="82">
        <f t="shared" si="665"/>
        <v>3.896</v>
      </c>
      <c r="AA119" s="68">
        <f t="shared" si="666"/>
        <v>0.02082264409</v>
      </c>
      <c r="AB119" s="84">
        <f>AB118/$K$120</f>
        <v>327.432</v>
      </c>
      <c r="AC119" s="81">
        <v>198.0</v>
      </c>
      <c r="AD119" s="82">
        <f t="shared" si="667"/>
        <v>-129.432</v>
      </c>
      <c r="AE119" s="68">
        <f t="shared" si="668"/>
        <v>-0.3952942901</v>
      </c>
      <c r="AF119" s="84">
        <f>AF118/$K$120</f>
        <v>420.984</v>
      </c>
      <c r="AG119" s="85">
        <v>31.0</v>
      </c>
      <c r="AH119" s="85">
        <v>13.0</v>
      </c>
      <c r="AI119" s="85">
        <v>49.0</v>
      </c>
      <c r="AJ119" s="85"/>
      <c r="AK119" s="85"/>
      <c r="AL119" s="286">
        <f t="shared" si="658"/>
        <v>93</v>
      </c>
      <c r="AM119" s="82">
        <f t="shared" si="669"/>
        <v>-327.984</v>
      </c>
      <c r="AN119" s="68">
        <f t="shared" si="670"/>
        <v>-0.7790889915</v>
      </c>
      <c r="AO119" s="84">
        <f>AO118/$K$120</f>
        <v>514.536</v>
      </c>
      <c r="AP119" s="81">
        <v>0.0</v>
      </c>
      <c r="AQ119" s="82">
        <f t="shared" si="671"/>
        <v>-514.536</v>
      </c>
      <c r="AR119" s="68">
        <f t="shared" si="672"/>
        <v>-1</v>
      </c>
      <c r="AS119" s="84">
        <f>AS118/$K$120</f>
        <v>561.312</v>
      </c>
      <c r="AT119" s="81">
        <v>0.0</v>
      </c>
      <c r="AU119" s="82">
        <f t="shared" si="673"/>
        <v>-561.312</v>
      </c>
      <c r="AV119" s="68">
        <f t="shared" si="674"/>
        <v>-1</v>
      </c>
      <c r="AW119" s="84">
        <f>AW118/$K$120</f>
        <v>561.312</v>
      </c>
      <c r="AX119" s="81">
        <v>0.0</v>
      </c>
      <c r="AY119" s="82">
        <f t="shared" si="675"/>
        <v>-561.312</v>
      </c>
      <c r="AZ119" s="68">
        <f t="shared" si="676"/>
        <v>-1</v>
      </c>
      <c r="BA119" s="84">
        <f>BA118/$K$120</f>
        <v>561.312</v>
      </c>
      <c r="BB119" s="81">
        <v>0.0</v>
      </c>
      <c r="BC119" s="82">
        <f t="shared" si="677"/>
        <v>-561.312</v>
      </c>
      <c r="BD119" s="68">
        <f t="shared" si="678"/>
        <v>-1</v>
      </c>
      <c r="BE119" s="84">
        <f>BE118/$K$120</f>
        <v>748.416</v>
      </c>
      <c r="BF119" s="81">
        <v>0.0</v>
      </c>
      <c r="BG119" s="82">
        <f t="shared" si="679"/>
        <v>-748.416</v>
      </c>
      <c r="BH119" s="68">
        <f t="shared" si="680"/>
        <v>-1</v>
      </c>
      <c r="BI119" s="84">
        <f>BI118/$K$120</f>
        <v>654.864</v>
      </c>
      <c r="BJ119" s="81">
        <v>0.0</v>
      </c>
      <c r="BK119" s="82">
        <f t="shared" si="681"/>
        <v>-654.864</v>
      </c>
      <c r="BL119" s="70">
        <f t="shared" si="682"/>
        <v>-1</v>
      </c>
      <c r="BM119" s="156">
        <f t="shared" ref="BM119:BN119" si="683">SUM(L119,P119,T119,X119,AB119,AF119,AO119,AS119,AW119,BA119,BE119,BI119)</f>
        <v>5000</v>
      </c>
      <c r="BN119" s="87">
        <f t="shared" si="683"/>
        <v>984</v>
      </c>
      <c r="BO119" s="76">
        <f t="shared" si="684"/>
        <v>-0.8032</v>
      </c>
      <c r="BP119" s="88">
        <v>519.0</v>
      </c>
      <c r="BQ119" s="78">
        <f t="shared" si="685"/>
        <v>9.633911368</v>
      </c>
      <c r="BR119" s="3"/>
      <c r="BS119" s="3"/>
      <c r="BT119" s="3"/>
      <c r="BU119" s="3"/>
      <c r="BV119" s="3"/>
      <c r="BW119" s="3"/>
    </row>
    <row r="120" ht="15.75" customHeight="1">
      <c r="A120" s="1"/>
      <c r="B120" s="105"/>
      <c r="C120" s="106"/>
      <c r="D120" s="107"/>
      <c r="E120" s="144"/>
      <c r="F120" s="109"/>
      <c r="G120" s="110"/>
      <c r="H120" s="111"/>
      <c r="I120" s="112"/>
      <c r="J120" s="50" t="s">
        <v>65</v>
      </c>
      <c r="K120" s="79">
        <v>30.0</v>
      </c>
      <c r="L120" s="129">
        <f>L118/L119</f>
        <v>30</v>
      </c>
      <c r="M120" s="66">
        <f>IFERROR(M118/M119,"-")</f>
        <v>27.5025641</v>
      </c>
      <c r="N120" s="67">
        <f t="shared" si="659"/>
        <v>-2.497435897</v>
      </c>
      <c r="O120" s="68">
        <f t="shared" si="660"/>
        <v>-0.08324786325</v>
      </c>
      <c r="P120" s="65">
        <f t="shared" ref="P120:Q120" si="686">IFERROR(P118/P119,"-")</f>
        <v>30</v>
      </c>
      <c r="Q120" s="66">
        <f t="shared" si="686"/>
        <v>44.37578947</v>
      </c>
      <c r="R120" s="67">
        <f t="shared" si="661"/>
        <v>14.37578947</v>
      </c>
      <c r="S120" s="70">
        <f t="shared" si="662"/>
        <v>0.4791929825</v>
      </c>
      <c r="T120" s="84">
        <f>T118/T119</f>
        <v>30</v>
      </c>
      <c r="U120" s="66">
        <f>IFERROR(U118/U119,"-")</f>
        <v>16.55638298</v>
      </c>
      <c r="V120" s="67">
        <f t="shared" si="663"/>
        <v>-13.44361702</v>
      </c>
      <c r="W120" s="68">
        <f t="shared" si="664"/>
        <v>-0.4481205674</v>
      </c>
      <c r="X120" s="71">
        <f t="shared" ref="X120:Y120" si="687">IFERROR(X118/X119,"-")</f>
        <v>30</v>
      </c>
      <c r="Y120" s="66">
        <f t="shared" si="687"/>
        <v>18.38031414</v>
      </c>
      <c r="Z120" s="67">
        <f t="shared" si="665"/>
        <v>-11.61968586</v>
      </c>
      <c r="AA120" s="68">
        <f t="shared" si="666"/>
        <v>-0.3873228621</v>
      </c>
      <c r="AB120" s="84">
        <f>AB118/AB119</f>
        <v>30</v>
      </c>
      <c r="AC120" s="66">
        <f>IFERROR(AC118/AC119,"-")</f>
        <v>12.92843434</v>
      </c>
      <c r="AD120" s="67">
        <f t="shared" si="667"/>
        <v>-17.07156566</v>
      </c>
      <c r="AE120" s="68">
        <f t="shared" si="668"/>
        <v>-0.5690521886</v>
      </c>
      <c r="AF120" s="312">
        <f>AF118/AF119</f>
        <v>30</v>
      </c>
      <c r="AG120" s="296">
        <f t="shared" ref="AG120:AL120" si="688">IFERROR(AG118/AG119,"-")</f>
        <v>27.44935484</v>
      </c>
      <c r="AH120" s="296">
        <f t="shared" si="688"/>
        <v>85.22692308</v>
      </c>
      <c r="AI120" s="296">
        <f t="shared" si="688"/>
        <v>16.54959184</v>
      </c>
      <c r="AJ120" s="296" t="str">
        <f t="shared" si="688"/>
        <v>-</v>
      </c>
      <c r="AK120" s="296" t="str">
        <f t="shared" si="688"/>
        <v>-</v>
      </c>
      <c r="AL120" s="298">
        <f t="shared" si="688"/>
        <v>29.78290323</v>
      </c>
      <c r="AM120" s="67">
        <f t="shared" si="669"/>
        <v>-0.2170967742</v>
      </c>
      <c r="AN120" s="68">
        <f t="shared" si="670"/>
        <v>-0.00723655914</v>
      </c>
      <c r="AO120" s="84">
        <f>AO118/AO119</f>
        <v>30</v>
      </c>
      <c r="AP120" s="66" t="str">
        <f>IFERROR(AP118/AP119,"-")</f>
        <v>-</v>
      </c>
      <c r="AQ120" s="67" t="str">
        <f t="shared" si="671"/>
        <v>-</v>
      </c>
      <c r="AR120" s="68" t="str">
        <f t="shared" si="672"/>
        <v>-</v>
      </c>
      <c r="AS120" s="84">
        <f>AS118/AS119</f>
        <v>30</v>
      </c>
      <c r="AT120" s="66" t="str">
        <f>IFERROR(AT118/AT119,"-")</f>
        <v>-</v>
      </c>
      <c r="AU120" s="67" t="str">
        <f t="shared" si="673"/>
        <v>-</v>
      </c>
      <c r="AV120" s="68" t="str">
        <f t="shared" si="674"/>
        <v>-</v>
      </c>
      <c r="AW120" s="84">
        <f>AW118/AW119</f>
        <v>30</v>
      </c>
      <c r="AX120" s="66" t="str">
        <f>IFERROR(AX118/AX119,"-")</f>
        <v>-</v>
      </c>
      <c r="AY120" s="67" t="str">
        <f t="shared" si="675"/>
        <v>-</v>
      </c>
      <c r="AZ120" s="68" t="str">
        <f t="shared" si="676"/>
        <v>-</v>
      </c>
      <c r="BA120" s="84">
        <f>BA118/BA119</f>
        <v>30</v>
      </c>
      <c r="BB120" s="66" t="str">
        <f>IFERROR(BB118/BB119,"-")</f>
        <v>-</v>
      </c>
      <c r="BC120" s="67" t="str">
        <f t="shared" si="677"/>
        <v>-</v>
      </c>
      <c r="BD120" s="68" t="str">
        <f t="shared" si="678"/>
        <v>-</v>
      </c>
      <c r="BE120" s="84">
        <f>BE118/BE119</f>
        <v>30</v>
      </c>
      <c r="BF120" s="66" t="str">
        <f>IFERROR(BF118/BF119,"-")</f>
        <v>-</v>
      </c>
      <c r="BG120" s="67" t="str">
        <f t="shared" si="679"/>
        <v>-</v>
      </c>
      <c r="BH120" s="68" t="str">
        <f t="shared" si="680"/>
        <v>-</v>
      </c>
      <c r="BI120" s="84">
        <f>BI118/BI119</f>
        <v>30</v>
      </c>
      <c r="BJ120" s="66" t="str">
        <f>IFERROR(BJ118/BJ119,"-")</f>
        <v>-</v>
      </c>
      <c r="BK120" s="67" t="str">
        <f t="shared" si="681"/>
        <v>-</v>
      </c>
      <c r="BL120" s="70" t="str">
        <f t="shared" si="682"/>
        <v>-</v>
      </c>
      <c r="BM120" s="86">
        <f t="shared" ref="BM120:BN120" si="689">BM118/BM119</f>
        <v>30</v>
      </c>
      <c r="BN120" s="90">
        <f t="shared" si="689"/>
        <v>21.81244919</v>
      </c>
      <c r="BO120" s="76">
        <f t="shared" si="684"/>
        <v>-0.2729183604</v>
      </c>
      <c r="BP120" s="88">
        <f>BP118/BP119</f>
        <v>18.69942197</v>
      </c>
      <c r="BQ120" s="78">
        <f>BM120/BP120-1</f>
        <v>0.6043276662</v>
      </c>
      <c r="BR120" s="3"/>
      <c r="BS120" s="3"/>
      <c r="BT120" s="3"/>
      <c r="BU120" s="3"/>
      <c r="BV120" s="3"/>
      <c r="BW120" s="3"/>
    </row>
    <row r="121" ht="15.75" customHeight="1">
      <c r="A121" s="1"/>
      <c r="B121" s="105"/>
      <c r="C121" s="106"/>
      <c r="D121" s="107"/>
      <c r="E121" s="144"/>
      <c r="F121" s="109"/>
      <c r="G121" s="110"/>
      <c r="H121" s="111"/>
      <c r="I121" s="112"/>
      <c r="J121" s="91" t="s">
        <v>66</v>
      </c>
      <c r="K121" s="92">
        <v>0.049</v>
      </c>
      <c r="L121" s="99">
        <f t="shared" ref="L121:M121" si="690">L118*$K$121</f>
        <v>288.806</v>
      </c>
      <c r="M121" s="94">
        <f t="shared" si="690"/>
        <v>315.3444</v>
      </c>
      <c r="N121" s="95">
        <f t="shared" si="659"/>
        <v>26.5384</v>
      </c>
      <c r="O121" s="96">
        <f t="shared" si="660"/>
        <v>0.09189005769</v>
      </c>
      <c r="P121" s="99">
        <f t="shared" ref="P121:Q121" si="691">P118*$K$121</f>
        <v>185.122</v>
      </c>
      <c r="Q121" s="94">
        <f t="shared" si="691"/>
        <v>206.5693</v>
      </c>
      <c r="R121" s="95">
        <f t="shared" si="661"/>
        <v>21.4473</v>
      </c>
      <c r="S121" s="98">
        <f t="shared" si="662"/>
        <v>0.1158549497</v>
      </c>
      <c r="T121" s="99">
        <f t="shared" ref="T121:U121" si="692">T118*$K$121</f>
        <v>206.28216</v>
      </c>
      <c r="U121" s="94">
        <f t="shared" si="692"/>
        <v>190.64675</v>
      </c>
      <c r="V121" s="95">
        <f t="shared" si="663"/>
        <v>-15.63541</v>
      </c>
      <c r="W121" s="96">
        <f t="shared" si="664"/>
        <v>-0.07579622979</v>
      </c>
      <c r="X121" s="99">
        <f t="shared" ref="X121:Y121" si="693">X118*$K$121</f>
        <v>275.04288</v>
      </c>
      <c r="Y121" s="94">
        <f t="shared" si="693"/>
        <v>172.02136</v>
      </c>
      <c r="Z121" s="95">
        <f t="shared" si="665"/>
        <v>-103.02152</v>
      </c>
      <c r="AA121" s="96">
        <f t="shared" si="666"/>
        <v>-0.3745653041</v>
      </c>
      <c r="AB121" s="99">
        <f t="shared" ref="AB121:AC121" si="694">AB118*$K$121</f>
        <v>481.32504</v>
      </c>
      <c r="AC121" s="94">
        <f t="shared" si="694"/>
        <v>125.43167</v>
      </c>
      <c r="AD121" s="95">
        <f t="shared" si="667"/>
        <v>-355.89337</v>
      </c>
      <c r="AE121" s="299">
        <f t="shared" si="668"/>
        <v>-0.7394033978</v>
      </c>
      <c r="AF121" s="300">
        <f t="shared" ref="AF121:AL121" si="695">AF118*$K$121</f>
        <v>618.84648</v>
      </c>
      <c r="AG121" s="301">
        <f t="shared" si="695"/>
        <v>41.69557</v>
      </c>
      <c r="AH121" s="301">
        <f t="shared" si="695"/>
        <v>54.28955</v>
      </c>
      <c r="AI121" s="301">
        <f t="shared" si="695"/>
        <v>39.73557</v>
      </c>
      <c r="AJ121" s="301">
        <f t="shared" si="695"/>
        <v>0</v>
      </c>
      <c r="AK121" s="301">
        <f t="shared" si="695"/>
        <v>0</v>
      </c>
      <c r="AL121" s="302">
        <f t="shared" si="695"/>
        <v>135.72069</v>
      </c>
      <c r="AM121" s="311">
        <f t="shared" si="669"/>
        <v>-483.12579</v>
      </c>
      <c r="AN121" s="96">
        <f t="shared" si="670"/>
        <v>-0.7806876271</v>
      </c>
      <c r="AO121" s="99">
        <f t="shared" ref="AO121:AP121" si="696">AO118*$K$121</f>
        <v>756.36792</v>
      </c>
      <c r="AP121" s="94">
        <f t="shared" si="696"/>
        <v>0</v>
      </c>
      <c r="AQ121" s="95">
        <f t="shared" si="671"/>
        <v>-756.36792</v>
      </c>
      <c r="AR121" s="96">
        <f t="shared" si="672"/>
        <v>-1</v>
      </c>
      <c r="AS121" s="99">
        <f t="shared" ref="AS121:AT121" si="697">AS118*$K$121</f>
        <v>825.12864</v>
      </c>
      <c r="AT121" s="94">
        <f t="shared" si="697"/>
        <v>0</v>
      </c>
      <c r="AU121" s="95">
        <f t="shared" si="673"/>
        <v>-825.12864</v>
      </c>
      <c r="AV121" s="96">
        <f t="shared" si="674"/>
        <v>-1</v>
      </c>
      <c r="AW121" s="99">
        <f t="shared" ref="AW121:AX121" si="698">AW118*$K$121</f>
        <v>825.12864</v>
      </c>
      <c r="AX121" s="94">
        <f t="shared" si="698"/>
        <v>0</v>
      </c>
      <c r="AY121" s="95">
        <f t="shared" si="675"/>
        <v>-825.12864</v>
      </c>
      <c r="AZ121" s="96">
        <f t="shared" si="676"/>
        <v>-1</v>
      </c>
      <c r="BA121" s="99">
        <f t="shared" ref="BA121:BB121" si="699">BA118*$K$121</f>
        <v>825.12864</v>
      </c>
      <c r="BB121" s="94">
        <f t="shared" si="699"/>
        <v>0</v>
      </c>
      <c r="BC121" s="95">
        <f t="shared" si="677"/>
        <v>-825.12864</v>
      </c>
      <c r="BD121" s="96">
        <f t="shared" si="678"/>
        <v>-1</v>
      </c>
      <c r="BE121" s="99">
        <f t="shared" ref="BE121:BF121" si="700">BE118*$K$121</f>
        <v>1100.17152</v>
      </c>
      <c r="BF121" s="94">
        <f t="shared" si="700"/>
        <v>0</v>
      </c>
      <c r="BG121" s="95">
        <f t="shared" si="679"/>
        <v>-1100.17152</v>
      </c>
      <c r="BH121" s="96">
        <f t="shared" si="680"/>
        <v>-1</v>
      </c>
      <c r="BI121" s="99">
        <f t="shared" ref="BI121:BJ121" si="701">BI118*$K$121</f>
        <v>962.65008</v>
      </c>
      <c r="BJ121" s="94">
        <f t="shared" si="701"/>
        <v>0</v>
      </c>
      <c r="BK121" s="95">
        <f t="shared" si="681"/>
        <v>-962.65008</v>
      </c>
      <c r="BL121" s="98">
        <f t="shared" si="682"/>
        <v>-1</v>
      </c>
      <c r="BM121" s="100">
        <f t="shared" ref="BM121:BN121" si="702">SUM(L121,P121,T121,X121,AB121,AF121,AO121,AS121,AW121,BA121,BE121,BI121)</f>
        <v>7350</v>
      </c>
      <c r="BN121" s="101">
        <f t="shared" si="702"/>
        <v>1051.70905</v>
      </c>
      <c r="BO121" s="102">
        <f t="shared" si="684"/>
        <v>-0.8569103333</v>
      </c>
      <c r="BP121" s="103">
        <f>(5 * 399) + MAX(BP118 * 4.9%, 499)</f>
        <v>2494</v>
      </c>
      <c r="BQ121" s="104">
        <f>BM121/BP121</f>
        <v>2.947072975</v>
      </c>
      <c r="BR121" s="3"/>
      <c r="BS121" s="3"/>
      <c r="BT121" s="3"/>
      <c r="BU121" s="3"/>
      <c r="BV121" s="3"/>
      <c r="BW121" s="3"/>
    </row>
    <row r="122" ht="15.75" customHeight="1">
      <c r="A122" s="1"/>
      <c r="B122" s="105"/>
      <c r="C122" s="106"/>
      <c r="D122" s="107"/>
      <c r="E122" s="144"/>
      <c r="F122" s="109"/>
      <c r="G122" s="110"/>
      <c r="H122" s="111"/>
      <c r="I122" s="112"/>
      <c r="J122" s="8"/>
      <c r="K122" s="9"/>
      <c r="L122" s="136"/>
      <c r="M122" s="136"/>
      <c r="N122" s="136"/>
      <c r="O122" s="136"/>
      <c r="P122" s="136"/>
      <c r="Q122" s="23"/>
      <c r="R122" s="136"/>
      <c r="S122" s="136"/>
      <c r="T122" s="136"/>
      <c r="U122" s="136"/>
      <c r="V122" s="136"/>
      <c r="W122" s="136"/>
      <c r="X122" s="136"/>
      <c r="Y122" s="136"/>
      <c r="Z122" s="136"/>
      <c r="AA122" s="3"/>
      <c r="AB122" s="3"/>
      <c r="AC122" s="3"/>
      <c r="AD122" s="3"/>
      <c r="AE122" s="3"/>
      <c r="AF122" s="3"/>
      <c r="AV122" s="138"/>
      <c r="AW122" s="25"/>
      <c r="AX122" s="139"/>
      <c r="AY122" s="25"/>
    </row>
    <row r="123" ht="15.75" customHeight="1">
      <c r="J123" s="34" t="s">
        <v>99</v>
      </c>
      <c r="K123" s="35"/>
      <c r="L123" s="36" t="s">
        <v>10</v>
      </c>
      <c r="M123" s="37" t="s">
        <v>11</v>
      </c>
      <c r="N123" s="38" t="s">
        <v>12</v>
      </c>
      <c r="O123" s="39" t="s">
        <v>13</v>
      </c>
      <c r="P123" s="119" t="s">
        <v>14</v>
      </c>
      <c r="Q123" s="152" t="s">
        <v>15</v>
      </c>
      <c r="R123" s="38" t="s">
        <v>16</v>
      </c>
      <c r="S123" s="42" t="s">
        <v>17</v>
      </c>
      <c r="T123" s="43" t="s">
        <v>18</v>
      </c>
      <c r="U123" s="152" t="s">
        <v>90</v>
      </c>
      <c r="V123" s="38" t="s">
        <v>20</v>
      </c>
      <c r="W123" s="45" t="s">
        <v>91</v>
      </c>
      <c r="X123" s="44" t="s">
        <v>22</v>
      </c>
      <c r="Y123" s="152" t="s">
        <v>92</v>
      </c>
      <c r="Z123" s="38" t="s">
        <v>24</v>
      </c>
      <c r="AA123" s="45" t="s">
        <v>91</v>
      </c>
      <c r="AB123" s="43" t="s">
        <v>26</v>
      </c>
      <c r="AC123" s="152" t="s">
        <v>27</v>
      </c>
      <c r="AD123" s="38" t="s">
        <v>28</v>
      </c>
      <c r="AE123" s="45" t="s">
        <v>29</v>
      </c>
      <c r="AF123" s="44" t="s">
        <v>30</v>
      </c>
      <c r="AG123" s="261" t="s">
        <v>107</v>
      </c>
      <c r="AH123" s="262" t="s">
        <v>108</v>
      </c>
      <c r="AI123" s="262" t="s">
        <v>109</v>
      </c>
      <c r="AJ123" s="262" t="s">
        <v>110</v>
      </c>
      <c r="AK123" s="262" t="s">
        <v>111</v>
      </c>
      <c r="AL123" s="262" t="s">
        <v>31</v>
      </c>
      <c r="AM123" s="38" t="s">
        <v>32</v>
      </c>
      <c r="AN123" s="45" t="s">
        <v>33</v>
      </c>
      <c r="AO123" s="43" t="s">
        <v>34</v>
      </c>
      <c r="AP123" s="152" t="s">
        <v>35</v>
      </c>
      <c r="AQ123" s="38" t="s">
        <v>36</v>
      </c>
      <c r="AR123" s="45" t="s">
        <v>37</v>
      </c>
      <c r="AS123" s="44" t="s">
        <v>38</v>
      </c>
      <c r="AT123" s="152" t="s">
        <v>39</v>
      </c>
      <c r="AU123" s="38" t="s">
        <v>40</v>
      </c>
      <c r="AV123" s="45" t="s">
        <v>41</v>
      </c>
      <c r="AW123" s="43" t="s">
        <v>42</v>
      </c>
      <c r="AX123" s="152" t="s">
        <v>43</v>
      </c>
      <c r="AY123" s="38" t="s">
        <v>44</v>
      </c>
      <c r="AZ123" s="45" t="s">
        <v>45</v>
      </c>
      <c r="BA123" s="44" t="s">
        <v>46</v>
      </c>
      <c r="BB123" s="152" t="s">
        <v>47</v>
      </c>
      <c r="BC123" s="38" t="s">
        <v>48</v>
      </c>
      <c r="BD123" s="45" t="s">
        <v>49</v>
      </c>
      <c r="BE123" s="43" t="s">
        <v>50</v>
      </c>
      <c r="BF123" s="152" t="s">
        <v>51</v>
      </c>
      <c r="BG123" s="38" t="s">
        <v>52</v>
      </c>
      <c r="BH123" s="45" t="s">
        <v>53</v>
      </c>
      <c r="BI123" s="153" t="s">
        <v>54</v>
      </c>
      <c r="BJ123" s="152" t="s">
        <v>55</v>
      </c>
      <c r="BK123" s="38" t="s">
        <v>56</v>
      </c>
      <c r="BL123" s="42" t="s">
        <v>57</v>
      </c>
      <c r="BM123" s="46">
        <v>2026.0</v>
      </c>
      <c r="BN123" s="37" t="s">
        <v>58</v>
      </c>
      <c r="BO123" s="47" t="s">
        <v>59</v>
      </c>
      <c r="BP123" s="48">
        <v>2025.0</v>
      </c>
      <c r="BQ123" s="49"/>
      <c r="BR123" s="3"/>
      <c r="BS123" s="3"/>
      <c r="BT123" s="3"/>
      <c r="BU123" s="3"/>
      <c r="BV123" s="3"/>
      <c r="BW123" s="3"/>
    </row>
    <row r="124" ht="15.75" customHeight="1">
      <c r="A124" s="1"/>
      <c r="B124" s="323"/>
      <c r="C124" s="324"/>
      <c r="D124" s="325"/>
      <c r="E124" s="326"/>
      <c r="F124" s="327"/>
      <c r="G124" s="328"/>
      <c r="H124" s="329"/>
      <c r="I124" s="328"/>
      <c r="J124" s="263" t="s">
        <v>112</v>
      </c>
      <c r="K124" s="264"/>
      <c r="L124" s="265"/>
      <c r="M124" s="266"/>
      <c r="N124" s="267"/>
      <c r="O124" s="268"/>
      <c r="P124" s="265"/>
      <c r="Q124" s="307"/>
      <c r="R124" s="267"/>
      <c r="S124" s="270"/>
      <c r="T124" s="271"/>
      <c r="U124" s="272"/>
      <c r="V124" s="267"/>
      <c r="W124" s="268"/>
      <c r="X124" s="271"/>
      <c r="Y124" s="272"/>
      <c r="Z124" s="267"/>
      <c r="AA124" s="268"/>
      <c r="AB124" s="271"/>
      <c r="AC124" s="272"/>
      <c r="AD124" s="267"/>
      <c r="AE124" s="268"/>
      <c r="AF124" s="271"/>
      <c r="AG124" s="273">
        <f t="shared" ref="AG124:AK124" si="703">$AF$125/5</f>
        <v>0.016</v>
      </c>
      <c r="AH124" s="273">
        <f t="shared" si="703"/>
        <v>0.016</v>
      </c>
      <c r="AI124" s="273">
        <f t="shared" si="703"/>
        <v>0.016</v>
      </c>
      <c r="AJ124" s="273">
        <f t="shared" si="703"/>
        <v>0.016</v>
      </c>
      <c r="AK124" s="273">
        <f t="shared" si="703"/>
        <v>0.016</v>
      </c>
      <c r="AL124" s="273"/>
      <c r="AM124" s="267"/>
      <c r="AN124" s="268"/>
      <c r="AO124" s="271"/>
      <c r="AP124" s="272"/>
      <c r="AQ124" s="267"/>
      <c r="AR124" s="268"/>
      <c r="AS124" s="271"/>
      <c r="AT124" s="272"/>
      <c r="AU124" s="267"/>
      <c r="AV124" s="268"/>
      <c r="AW124" s="271"/>
      <c r="AX124" s="272"/>
      <c r="AY124" s="267"/>
      <c r="AZ124" s="268"/>
      <c r="BA124" s="271"/>
      <c r="BB124" s="272"/>
      <c r="BC124" s="267"/>
      <c r="BD124" s="268"/>
      <c r="BE124" s="271"/>
      <c r="BF124" s="272"/>
      <c r="BG124" s="267"/>
      <c r="BH124" s="268"/>
      <c r="BI124" s="308"/>
      <c r="BJ124" s="272"/>
      <c r="BK124" s="267"/>
      <c r="BL124" s="270"/>
      <c r="BM124" s="275"/>
      <c r="BN124" s="276"/>
      <c r="BO124" s="277"/>
      <c r="BP124" s="278"/>
      <c r="BQ124" s="64"/>
      <c r="BR124" s="3"/>
      <c r="BS124" s="3"/>
      <c r="BT124" s="3"/>
      <c r="BU124" s="3"/>
      <c r="BV124" s="3"/>
      <c r="BW124" s="3"/>
    </row>
    <row r="125" ht="15.75" customHeight="1">
      <c r="A125" s="1"/>
      <c r="B125" s="105">
        <v>17.0</v>
      </c>
      <c r="C125" s="106" t="s">
        <v>98</v>
      </c>
      <c r="D125" s="107">
        <f>15000*12</f>
        <v>180000</v>
      </c>
      <c r="E125" s="144">
        <v>32.0</v>
      </c>
      <c r="F125" s="109">
        <f>E125*D125</f>
        <v>5760000</v>
      </c>
      <c r="G125" s="190">
        <v>356599.2800000031</v>
      </c>
      <c r="H125" s="191">
        <v>11282.0</v>
      </c>
      <c r="I125" s="192">
        <v>31.607807126396306</v>
      </c>
      <c r="J125" s="50" t="s">
        <v>61</v>
      </c>
      <c r="K125" s="51"/>
      <c r="L125" s="52" t="s">
        <v>60</v>
      </c>
      <c r="M125" s="53" t="s">
        <v>60</v>
      </c>
      <c r="N125" s="54" t="s">
        <v>60</v>
      </c>
      <c r="O125" s="55" t="s">
        <v>62</v>
      </c>
      <c r="P125" s="52" t="s">
        <v>60</v>
      </c>
      <c r="Q125" s="154" t="s">
        <v>60</v>
      </c>
      <c r="R125" s="54" t="s">
        <v>60</v>
      </c>
      <c r="S125" s="57" t="s">
        <v>62</v>
      </c>
      <c r="T125" s="58">
        <v>0.04</v>
      </c>
      <c r="U125" s="59">
        <f>U126/(BM126-(L126 + P126))</f>
        <v>0.03748663288</v>
      </c>
      <c r="V125" s="54" t="s">
        <v>60</v>
      </c>
      <c r="W125" s="55" t="s">
        <v>62</v>
      </c>
      <c r="X125" s="58">
        <v>0.04</v>
      </c>
      <c r="Y125" s="59">
        <f>Y126/(BM126-(L126+P126))</f>
        <v>0.03774243338</v>
      </c>
      <c r="Z125" s="54" t="s">
        <v>60</v>
      </c>
      <c r="AA125" s="55" t="s">
        <v>62</v>
      </c>
      <c r="AB125" s="58">
        <v>0.06</v>
      </c>
      <c r="AC125" s="59">
        <f>AC126/(BM126-(L126+P126))</f>
        <v>0.02756071627</v>
      </c>
      <c r="AD125" s="54" t="s">
        <v>60</v>
      </c>
      <c r="AE125" s="55" t="s">
        <v>62</v>
      </c>
      <c r="AF125" s="58">
        <v>0.08</v>
      </c>
      <c r="AG125" s="61">
        <f t="shared" ref="AG125:AK125" si="704">AG126/($BM$126-($L$126+$P$126))</f>
        <v>0.004180053983</v>
      </c>
      <c r="AH125" s="61">
        <f t="shared" si="704"/>
        <v>0.009393155428</v>
      </c>
      <c r="AI125" s="61">
        <f t="shared" si="704"/>
        <v>0.006487075168</v>
      </c>
      <c r="AJ125" s="61">
        <f t="shared" si="704"/>
        <v>0</v>
      </c>
      <c r="AK125" s="61">
        <f t="shared" si="704"/>
        <v>0</v>
      </c>
      <c r="AL125" s="279">
        <f t="shared" ref="AL125:AL127" si="706">SUM(AG125:AK125)</f>
        <v>0.02006028458</v>
      </c>
      <c r="AM125" s="280">
        <f>AL125-AF125</f>
        <v>-0.05993971542</v>
      </c>
      <c r="AN125" s="55" t="s">
        <v>62</v>
      </c>
      <c r="AO125" s="58">
        <v>0.1</v>
      </c>
      <c r="AP125" s="59">
        <f>AP126/(BM126-(L126+P126))</f>
        <v>0</v>
      </c>
      <c r="AQ125" s="54" t="s">
        <v>60</v>
      </c>
      <c r="AR125" s="55" t="s">
        <v>62</v>
      </c>
      <c r="AS125" s="58">
        <v>0.1</v>
      </c>
      <c r="AT125" s="59">
        <f>AT126/(BM126-(L126+P126))</f>
        <v>0</v>
      </c>
      <c r="AU125" s="54" t="s">
        <v>60</v>
      </c>
      <c r="AV125" s="55" t="s">
        <v>62</v>
      </c>
      <c r="AW125" s="58">
        <v>0.12</v>
      </c>
      <c r="AX125" s="59">
        <f>AX126/(BM126-(L126+P126))</f>
        <v>0</v>
      </c>
      <c r="AY125" s="54" t="s">
        <v>60</v>
      </c>
      <c r="AZ125" s="55" t="s">
        <v>62</v>
      </c>
      <c r="BA125" s="58">
        <v>0.12</v>
      </c>
      <c r="BB125" s="59">
        <f>BB126/(BM126-(L126+P126))</f>
        <v>0</v>
      </c>
      <c r="BC125" s="54" t="s">
        <v>60</v>
      </c>
      <c r="BD125" s="55" t="s">
        <v>62</v>
      </c>
      <c r="BE125" s="58">
        <v>0.16</v>
      </c>
      <c r="BF125" s="59">
        <f>BF126/(BM126-(L126+P126))</f>
        <v>0</v>
      </c>
      <c r="BG125" s="54" t="s">
        <v>60</v>
      </c>
      <c r="BH125" s="55" t="s">
        <v>62</v>
      </c>
      <c r="BI125" s="155">
        <v>0.18</v>
      </c>
      <c r="BJ125" s="59">
        <f>BJ126/(BM126-(L126+P126))</f>
        <v>0</v>
      </c>
      <c r="BK125" s="54" t="s">
        <v>60</v>
      </c>
      <c r="BL125" s="57" t="s">
        <v>62</v>
      </c>
      <c r="BM125" s="60">
        <f t="shared" ref="BM125:BN125" si="705">SUM(T125,X125,AB125,AF125,AO125,AS125,AW125,BA125,BE125,BI125)</f>
        <v>1</v>
      </c>
      <c r="BN125" s="61">
        <f t="shared" si="705"/>
        <v>0.1069698365</v>
      </c>
      <c r="BO125" s="62"/>
      <c r="BP125" s="63" t="s">
        <v>60</v>
      </c>
      <c r="BQ125" s="64"/>
      <c r="BR125" s="3"/>
      <c r="BS125" s="3"/>
      <c r="BT125" s="3"/>
      <c r="BU125" s="3"/>
      <c r="BV125" s="3"/>
      <c r="BW125" s="3"/>
    </row>
    <row r="126" ht="15.75" customHeight="1">
      <c r="A126" s="1"/>
      <c r="B126" s="105"/>
      <c r="C126" s="106"/>
      <c r="D126" s="107"/>
      <c r="E126" s="144"/>
      <c r="F126" s="109"/>
      <c r="G126" s="110"/>
      <c r="H126" s="111"/>
      <c r="I126" s="112"/>
      <c r="J126" s="50" t="s">
        <v>63</v>
      </c>
      <c r="K126" s="51"/>
      <c r="L126" s="127">
        <v>19995.0</v>
      </c>
      <c r="M126" s="66">
        <v>20652.1</v>
      </c>
      <c r="N126" s="67">
        <f t="shared" ref="N126:N129" si="707">IFERROR(M126-L126,"-")</f>
        <v>657.1</v>
      </c>
      <c r="O126" s="68">
        <f t="shared" ref="O126:O129" si="708">IFERROR(M126/L126-1,"-")</f>
        <v>0.0328632158</v>
      </c>
      <c r="P126" s="127">
        <v>19803.0</v>
      </c>
      <c r="Q126" s="66">
        <v>20764.09</v>
      </c>
      <c r="R126" s="67">
        <f t="shared" ref="R126:R129" si="709">IFERROR(Q126-P126,"-")</f>
        <v>961.09</v>
      </c>
      <c r="S126" s="70">
        <f t="shared" ref="S126:S129" si="710">IFERROR(Q126/P126-1,"-")</f>
        <v>0.04853254557</v>
      </c>
      <c r="T126" s="71">
        <f>($BM$126-($L$126+$P$126))*T125</f>
        <v>26408.08</v>
      </c>
      <c r="U126" s="66">
        <v>24748.75</v>
      </c>
      <c r="V126" s="67">
        <f t="shared" ref="V126:V129" si="711">IFERROR(U126-T126,"-")</f>
        <v>-1659.33</v>
      </c>
      <c r="W126" s="68">
        <f t="shared" ref="W126:W129" si="712">IFERROR(U126/T126-1,"-")</f>
        <v>-0.06283417802</v>
      </c>
      <c r="X126" s="71">
        <f>($BM$126-($L$126+$P$126))*X125</f>
        <v>26408.08</v>
      </c>
      <c r="Y126" s="66">
        <v>24917.63</v>
      </c>
      <c r="Z126" s="67">
        <f t="shared" ref="Z126:Z129" si="713">IFERROR(Y126-X126,"-")</f>
        <v>-1490.45</v>
      </c>
      <c r="AA126" s="68">
        <f t="shared" ref="AA126:AA129" si="714">IFERROR(Y126/X126-1,"-")</f>
        <v>-0.05643916559</v>
      </c>
      <c r="AB126" s="71">
        <f>($BM$126-($L$126+$P$126))*AB125</f>
        <v>39612.12</v>
      </c>
      <c r="AC126" s="66">
        <v>18195.64</v>
      </c>
      <c r="AD126" s="67">
        <f t="shared" ref="AD126:AD129" si="715">IFERROR(AC126-AB126,"-")</f>
        <v>-21416.48</v>
      </c>
      <c r="AE126" s="68">
        <f t="shared" ref="AE126:AE129" si="716">IFERROR(AC126/AB126-1,"-")</f>
        <v>-0.5406547289</v>
      </c>
      <c r="AF126" s="71">
        <f>($BM$126-($L$126+$P$126))*AF125</f>
        <v>52816.16</v>
      </c>
      <c r="AG126" s="73">
        <v>2759.68</v>
      </c>
      <c r="AH126" s="73">
        <v>6201.38</v>
      </c>
      <c r="AI126" s="73">
        <v>4282.78</v>
      </c>
      <c r="AJ126" s="73"/>
      <c r="AK126" s="73"/>
      <c r="AL126" s="283">
        <f t="shared" si="706"/>
        <v>13243.84</v>
      </c>
      <c r="AM126" s="67">
        <f t="shared" ref="AM126:AM129" si="717">IFERROR(AL126-AF126,"-")</f>
        <v>-39572.32</v>
      </c>
      <c r="AN126" s="68">
        <f t="shared" ref="AN126:AN129" si="718">IFERROR(AL126/AF126-1,"-")</f>
        <v>-0.7492464428</v>
      </c>
      <c r="AO126" s="71">
        <f>($BM$126-($L$126+$P$126))*AO125</f>
        <v>66020.2</v>
      </c>
      <c r="AP126" s="66">
        <v>0.0</v>
      </c>
      <c r="AQ126" s="67">
        <f t="shared" ref="AQ126:AQ129" si="719">IFERROR(AP126-AO126,"-")</f>
        <v>-66020.2</v>
      </c>
      <c r="AR126" s="68">
        <f t="shared" ref="AR126:AR129" si="720">IFERROR(AP126/AO126-1,"-")</f>
        <v>-1</v>
      </c>
      <c r="AS126" s="71">
        <f>($BM$126-($L$126+$P$126))*AS125</f>
        <v>66020.2</v>
      </c>
      <c r="AT126" s="66">
        <v>0.0</v>
      </c>
      <c r="AU126" s="67">
        <f t="shared" ref="AU126:AU129" si="721">IFERROR(AT126-AS126,"-")</f>
        <v>-66020.2</v>
      </c>
      <c r="AV126" s="68">
        <f t="shared" ref="AV126:AV129" si="722">IFERROR(AT126/AS126-1,"-")</f>
        <v>-1</v>
      </c>
      <c r="AW126" s="71">
        <f>($BM$126-($L$126+$P$126))*AW125</f>
        <v>79224.24</v>
      </c>
      <c r="AX126" s="66">
        <v>0.0</v>
      </c>
      <c r="AY126" s="67">
        <f t="shared" ref="AY126:AY129" si="723">IFERROR(AX126-AW126,"-")</f>
        <v>-79224.24</v>
      </c>
      <c r="AZ126" s="68">
        <f t="shared" ref="AZ126:AZ129" si="724">IFERROR(AX126/AW126-1,"-")</f>
        <v>-1</v>
      </c>
      <c r="BA126" s="71">
        <f>($BM$126-($L$126+$P$126))*BA125</f>
        <v>79224.24</v>
      </c>
      <c r="BB126" s="66">
        <v>0.0</v>
      </c>
      <c r="BC126" s="67">
        <f t="shared" ref="BC126:BC129" si="725">IFERROR(BB126-BA126,"-")</f>
        <v>-79224.24</v>
      </c>
      <c r="BD126" s="68">
        <f t="shared" ref="BD126:BD129" si="726">IFERROR(BB126/BA126-1,"-")</f>
        <v>-1</v>
      </c>
      <c r="BE126" s="71">
        <f>($BM$126-($L$126+$P$126))*BE125</f>
        <v>105632.32</v>
      </c>
      <c r="BF126" s="66">
        <v>0.0</v>
      </c>
      <c r="BG126" s="67">
        <f t="shared" ref="BG126:BG129" si="727">IFERROR(BF126-BE126,"-")</f>
        <v>-105632.32</v>
      </c>
      <c r="BH126" s="68">
        <f t="shared" ref="BH126:BH129" si="728">IFERROR(BF126/BE126-1,"-")</f>
        <v>-1</v>
      </c>
      <c r="BI126" s="66">
        <f>($BM$126-($L$126+$P$126))*BI125</f>
        <v>118836.36</v>
      </c>
      <c r="BJ126" s="66">
        <v>0.0</v>
      </c>
      <c r="BK126" s="67">
        <f t="shared" ref="BK126:BK129" si="729">IFERROR(BJ126-BI126,"-")</f>
        <v>-118836.36</v>
      </c>
      <c r="BL126" s="70">
        <f t="shared" ref="BL126:BL129" si="730">IFERROR(BJ126/BI126-1,"-")</f>
        <v>-1</v>
      </c>
      <c r="BM126" s="74">
        <v>700000.0</v>
      </c>
      <c r="BN126" s="75">
        <f>SUM(M126,Q126,U126,Y126,AC126,AG126,AP126,AT126,AX126,BB126,BF126,BJ126)</f>
        <v>112037.89</v>
      </c>
      <c r="BO126" s="76">
        <f t="shared" ref="BO126:BO129" si="732">IFERROR(BN126/BM126-1,"-")</f>
        <v>-0.8399458714</v>
      </c>
      <c r="BP126" s="77">
        <v>356599.28</v>
      </c>
      <c r="BQ126" s="78">
        <f t="shared" ref="BQ126:BQ127" si="733">BM126/BP126</f>
        <v>1.962987699</v>
      </c>
      <c r="BR126" s="3"/>
      <c r="BS126" s="3"/>
      <c r="BT126" s="3"/>
      <c r="BU126" s="3"/>
      <c r="BV126" s="3"/>
      <c r="BW126" s="3"/>
    </row>
    <row r="127" ht="15.75" customHeight="1">
      <c r="A127" s="1"/>
      <c r="B127" s="105"/>
      <c r="C127" s="106"/>
      <c r="D127" s="107"/>
      <c r="E127" s="144"/>
      <c r="F127" s="109"/>
      <c r="G127" s="110"/>
      <c r="H127" s="111"/>
      <c r="I127" s="112"/>
      <c r="J127" s="50" t="s">
        <v>64</v>
      </c>
      <c r="K127" s="79"/>
      <c r="L127" s="80">
        <f>L126/$K$128</f>
        <v>666.5</v>
      </c>
      <c r="M127" s="81">
        <v>905.0</v>
      </c>
      <c r="N127" s="82">
        <f t="shared" si="707"/>
        <v>238.5</v>
      </c>
      <c r="O127" s="68">
        <f t="shared" si="708"/>
        <v>0.3578394599</v>
      </c>
      <c r="P127" s="80">
        <f>P126/$K$128</f>
        <v>660.1</v>
      </c>
      <c r="Q127" s="81">
        <v>837.0</v>
      </c>
      <c r="R127" s="82">
        <f t="shared" si="709"/>
        <v>176.9</v>
      </c>
      <c r="S127" s="70">
        <f t="shared" si="710"/>
        <v>0.2679896985</v>
      </c>
      <c r="T127" s="84">
        <f>T126/$K$128</f>
        <v>880.2693333</v>
      </c>
      <c r="U127" s="81">
        <v>1651.0</v>
      </c>
      <c r="V127" s="82">
        <f t="shared" si="711"/>
        <v>770.7306667</v>
      </c>
      <c r="W127" s="68">
        <f t="shared" si="712"/>
        <v>0.8755623279</v>
      </c>
      <c r="X127" s="84">
        <f>X126/$K$128</f>
        <v>880.2693333</v>
      </c>
      <c r="Y127" s="81">
        <v>895.0</v>
      </c>
      <c r="Z127" s="82">
        <f t="shared" si="713"/>
        <v>14.73066667</v>
      </c>
      <c r="AA127" s="68">
        <f t="shared" si="714"/>
        <v>0.01673427224</v>
      </c>
      <c r="AB127" s="84">
        <f>AB126/$K$128</f>
        <v>1320.404</v>
      </c>
      <c r="AC127" s="81">
        <v>573.0</v>
      </c>
      <c r="AD127" s="82">
        <f t="shared" si="715"/>
        <v>-747.404</v>
      </c>
      <c r="AE127" s="68">
        <f t="shared" si="716"/>
        <v>-0.5660419084</v>
      </c>
      <c r="AF127" s="84">
        <f>AF126/$K$128</f>
        <v>1760.538667</v>
      </c>
      <c r="AG127" s="85">
        <v>75.0</v>
      </c>
      <c r="AH127" s="85">
        <v>227.0</v>
      </c>
      <c r="AI127" s="85">
        <v>131.0</v>
      </c>
      <c r="AJ127" s="85"/>
      <c r="AK127" s="85"/>
      <c r="AL127" s="286">
        <f t="shared" si="706"/>
        <v>433</v>
      </c>
      <c r="AM127" s="82">
        <f t="shared" si="717"/>
        <v>-1327.538667</v>
      </c>
      <c r="AN127" s="68">
        <f t="shared" si="718"/>
        <v>-0.7540525476</v>
      </c>
      <c r="AO127" s="84">
        <f>AO126/$K$128</f>
        <v>2200.673333</v>
      </c>
      <c r="AP127" s="81">
        <v>0.0</v>
      </c>
      <c r="AQ127" s="82">
        <f t="shared" si="719"/>
        <v>-2200.673333</v>
      </c>
      <c r="AR127" s="68">
        <f t="shared" si="720"/>
        <v>-1</v>
      </c>
      <c r="AS127" s="84">
        <f>AS126/$K$128</f>
        <v>2200.673333</v>
      </c>
      <c r="AT127" s="81">
        <v>0.0</v>
      </c>
      <c r="AU127" s="82">
        <f t="shared" si="721"/>
        <v>-2200.673333</v>
      </c>
      <c r="AV127" s="68">
        <f t="shared" si="722"/>
        <v>-1</v>
      </c>
      <c r="AW127" s="84">
        <f>AW126/$K$128</f>
        <v>2640.808</v>
      </c>
      <c r="AX127" s="81">
        <v>0.0</v>
      </c>
      <c r="AY127" s="82">
        <f t="shared" si="723"/>
        <v>-2640.808</v>
      </c>
      <c r="AZ127" s="68">
        <f t="shared" si="724"/>
        <v>-1</v>
      </c>
      <c r="BA127" s="84">
        <f>BA126/$K$128</f>
        <v>2640.808</v>
      </c>
      <c r="BB127" s="81">
        <v>0.0</v>
      </c>
      <c r="BC127" s="82">
        <f t="shared" si="725"/>
        <v>-2640.808</v>
      </c>
      <c r="BD127" s="68">
        <f t="shared" si="726"/>
        <v>-1</v>
      </c>
      <c r="BE127" s="84">
        <f>BE126/$K$128</f>
        <v>3521.077333</v>
      </c>
      <c r="BF127" s="81">
        <v>0.0</v>
      </c>
      <c r="BG127" s="82">
        <f t="shared" si="727"/>
        <v>-3521.077333</v>
      </c>
      <c r="BH127" s="68">
        <f t="shared" si="728"/>
        <v>-1</v>
      </c>
      <c r="BI127" s="81">
        <f>BI126/$K$128</f>
        <v>3961.212</v>
      </c>
      <c r="BJ127" s="81">
        <v>0.0</v>
      </c>
      <c r="BK127" s="82">
        <f t="shared" si="729"/>
        <v>-3961.212</v>
      </c>
      <c r="BL127" s="70">
        <f t="shared" si="730"/>
        <v>-1</v>
      </c>
      <c r="BM127" s="156">
        <f t="shared" ref="BM127:BN127" si="731">SUM(L127,P127,T127,X127,AB127,AF127,AO127,AS127,AW127,BA127,BE127,BI127)</f>
        <v>23333.33333</v>
      </c>
      <c r="BN127" s="87">
        <f t="shared" si="731"/>
        <v>4936</v>
      </c>
      <c r="BO127" s="76">
        <f t="shared" si="732"/>
        <v>-0.7884571429</v>
      </c>
      <c r="BP127" s="88">
        <v>11282.0</v>
      </c>
      <c r="BQ127" s="78">
        <f t="shared" si="733"/>
        <v>2.068191219</v>
      </c>
      <c r="BR127" s="3"/>
      <c r="BS127" s="3"/>
      <c r="BT127" s="3"/>
      <c r="BU127" s="3"/>
      <c r="BV127" s="3"/>
      <c r="BW127" s="3"/>
    </row>
    <row r="128" ht="15.75" customHeight="1">
      <c r="A128" s="1"/>
      <c r="B128" s="105"/>
      <c r="C128" s="106"/>
      <c r="D128" s="107"/>
      <c r="E128" s="144"/>
      <c r="F128" s="109"/>
      <c r="G128" s="110"/>
      <c r="H128" s="111"/>
      <c r="I128" s="112"/>
      <c r="J128" s="50" t="s">
        <v>65</v>
      </c>
      <c r="K128" s="79">
        <v>30.0</v>
      </c>
      <c r="L128" s="80">
        <f>L126/L127</f>
        <v>30</v>
      </c>
      <c r="M128" s="66">
        <f>IFERROR(M126/M127,"-")</f>
        <v>22.82</v>
      </c>
      <c r="N128" s="67">
        <f t="shared" si="707"/>
        <v>-7.18</v>
      </c>
      <c r="O128" s="68">
        <f t="shared" si="708"/>
        <v>-0.2393333333</v>
      </c>
      <c r="P128" s="65">
        <f t="shared" ref="P128:Q128" si="734">IFERROR(P126/P127,"-")</f>
        <v>30</v>
      </c>
      <c r="Q128" s="66">
        <f t="shared" si="734"/>
        <v>24.80775388</v>
      </c>
      <c r="R128" s="67">
        <f t="shared" si="709"/>
        <v>-5.192246117</v>
      </c>
      <c r="S128" s="70">
        <f t="shared" si="710"/>
        <v>-0.1730748706</v>
      </c>
      <c r="T128" s="84">
        <f>T126/T127</f>
        <v>30</v>
      </c>
      <c r="U128" s="66">
        <f>IFERROR(U126/U127,"-")</f>
        <v>14.99015748</v>
      </c>
      <c r="V128" s="67">
        <f t="shared" si="711"/>
        <v>-15.00984252</v>
      </c>
      <c r="W128" s="68">
        <f t="shared" si="712"/>
        <v>-0.500328084</v>
      </c>
      <c r="X128" s="71">
        <f t="shared" ref="X128:Y128" si="735">IFERROR(X126/X127,"-")</f>
        <v>30</v>
      </c>
      <c r="Y128" s="66">
        <f t="shared" si="735"/>
        <v>27.84092737</v>
      </c>
      <c r="Z128" s="67">
        <f t="shared" si="713"/>
        <v>-2.159072626</v>
      </c>
      <c r="AA128" s="68">
        <f t="shared" si="714"/>
        <v>-0.07196908752</v>
      </c>
      <c r="AB128" s="84">
        <f>AB126/AB127</f>
        <v>30</v>
      </c>
      <c r="AC128" s="66">
        <f>IFERROR(AC126/AC127,"-")</f>
        <v>31.75504363</v>
      </c>
      <c r="AD128" s="67">
        <f t="shared" si="715"/>
        <v>1.75504363</v>
      </c>
      <c r="AE128" s="68">
        <f t="shared" si="716"/>
        <v>0.05850145433</v>
      </c>
      <c r="AF128" s="312">
        <f>AF126/AF127</f>
        <v>30</v>
      </c>
      <c r="AG128" s="296">
        <f t="shared" ref="AG128:AL128" si="736">IFERROR(AG126/AG127,"-")</f>
        <v>36.79573333</v>
      </c>
      <c r="AH128" s="296">
        <f t="shared" si="736"/>
        <v>27.31885463</v>
      </c>
      <c r="AI128" s="296">
        <f t="shared" si="736"/>
        <v>32.6929771</v>
      </c>
      <c r="AJ128" s="296" t="str">
        <f t="shared" si="736"/>
        <v>-</v>
      </c>
      <c r="AK128" s="296" t="str">
        <f t="shared" si="736"/>
        <v>-</v>
      </c>
      <c r="AL128" s="298">
        <f t="shared" si="736"/>
        <v>30.58623557</v>
      </c>
      <c r="AM128" s="67">
        <f t="shared" si="717"/>
        <v>0.5862355658</v>
      </c>
      <c r="AN128" s="68">
        <f t="shared" si="718"/>
        <v>0.01954118553</v>
      </c>
      <c r="AO128" s="84">
        <f>AO126/AO127</f>
        <v>30</v>
      </c>
      <c r="AP128" s="66" t="str">
        <f>IFERROR(AP126/AP127,"-")</f>
        <v>-</v>
      </c>
      <c r="AQ128" s="67" t="str">
        <f t="shared" si="719"/>
        <v>-</v>
      </c>
      <c r="AR128" s="68" t="str">
        <f t="shared" si="720"/>
        <v>-</v>
      </c>
      <c r="AS128" s="84">
        <f t="shared" ref="AS128:AT128" si="737">AS126/AS127</f>
        <v>30</v>
      </c>
      <c r="AT128" s="81" t="str">
        <f t="shared" si="737"/>
        <v>#DIV/0!</v>
      </c>
      <c r="AU128" s="67" t="str">
        <f t="shared" si="721"/>
        <v>-</v>
      </c>
      <c r="AV128" s="68" t="str">
        <f t="shared" si="722"/>
        <v>-</v>
      </c>
      <c r="AW128" s="84">
        <f>AW126/AW127</f>
        <v>30</v>
      </c>
      <c r="AX128" s="66" t="str">
        <f>IFERROR(AX126/AX127,"-")</f>
        <v>-</v>
      </c>
      <c r="AY128" s="67" t="str">
        <f t="shared" si="723"/>
        <v>-</v>
      </c>
      <c r="AZ128" s="68" t="str">
        <f t="shared" si="724"/>
        <v>-</v>
      </c>
      <c r="BA128" s="84">
        <f>BA126/BA127</f>
        <v>30</v>
      </c>
      <c r="BB128" s="66" t="str">
        <f>IFERROR(BB126/BB127,"-")</f>
        <v>-</v>
      </c>
      <c r="BC128" s="67" t="str">
        <f t="shared" si="725"/>
        <v>-</v>
      </c>
      <c r="BD128" s="68" t="str">
        <f t="shared" si="726"/>
        <v>-</v>
      </c>
      <c r="BE128" s="84">
        <f>BE126/BE127</f>
        <v>30</v>
      </c>
      <c r="BF128" s="66" t="str">
        <f>IFERROR(BF126/BF127,"-")</f>
        <v>-</v>
      </c>
      <c r="BG128" s="67" t="str">
        <f t="shared" si="727"/>
        <v>-</v>
      </c>
      <c r="BH128" s="68" t="str">
        <f t="shared" si="728"/>
        <v>-</v>
      </c>
      <c r="BI128" s="81">
        <f>BI126/BI127</f>
        <v>30</v>
      </c>
      <c r="BJ128" s="66" t="str">
        <f>IFERROR(BJ126/BJ127,"-")</f>
        <v>-</v>
      </c>
      <c r="BK128" s="67" t="str">
        <f t="shared" si="729"/>
        <v>-</v>
      </c>
      <c r="BL128" s="70" t="str">
        <f t="shared" si="730"/>
        <v>-</v>
      </c>
      <c r="BM128" s="86">
        <f t="shared" ref="BM128:BN128" si="738">BM126/BM127</f>
        <v>30</v>
      </c>
      <c r="BN128" s="90">
        <f t="shared" si="738"/>
        <v>22.69811386</v>
      </c>
      <c r="BO128" s="76">
        <f t="shared" si="732"/>
        <v>-0.2433962048</v>
      </c>
      <c r="BP128" s="88">
        <f>BP126/BP127</f>
        <v>31.60780713</v>
      </c>
      <c r="BQ128" s="78">
        <f>BM128/BP128-1</f>
        <v>-0.050867405</v>
      </c>
      <c r="BR128" s="3"/>
      <c r="BS128" s="3"/>
      <c r="BT128" s="3"/>
      <c r="BU128" s="3"/>
      <c r="BV128" s="3"/>
      <c r="BW128" s="3"/>
    </row>
    <row r="129" ht="15.75" customHeight="1">
      <c r="A129" s="1"/>
      <c r="B129" s="105"/>
      <c r="C129" s="106"/>
      <c r="D129" s="107"/>
      <c r="E129" s="144"/>
      <c r="F129" s="109"/>
      <c r="G129" s="110"/>
      <c r="H129" s="111"/>
      <c r="I129" s="112"/>
      <c r="J129" s="91" t="s">
        <v>66</v>
      </c>
      <c r="K129" s="193">
        <v>0.04</v>
      </c>
      <c r="L129" s="99">
        <f t="shared" ref="L129:M129" si="739">L126*$K$129</f>
        <v>799.8</v>
      </c>
      <c r="M129" s="94">
        <f t="shared" si="739"/>
        <v>826.084</v>
      </c>
      <c r="N129" s="95">
        <f t="shared" si="707"/>
        <v>26.284</v>
      </c>
      <c r="O129" s="96">
        <f t="shared" si="708"/>
        <v>0.0328632158</v>
      </c>
      <c r="P129" s="99">
        <f t="shared" ref="P129:Q129" si="740">P126*$K$129</f>
        <v>792.12</v>
      </c>
      <c r="Q129" s="94">
        <f t="shared" si="740"/>
        <v>830.5636</v>
      </c>
      <c r="R129" s="95">
        <f t="shared" si="709"/>
        <v>38.4436</v>
      </c>
      <c r="S129" s="98">
        <f t="shared" si="710"/>
        <v>0.04853254557</v>
      </c>
      <c r="T129" s="99">
        <f t="shared" ref="T129:U129" si="741">T126*$K$129</f>
        <v>1056.3232</v>
      </c>
      <c r="U129" s="94">
        <f t="shared" si="741"/>
        <v>989.95</v>
      </c>
      <c r="V129" s="95">
        <f t="shared" si="711"/>
        <v>-66.3732</v>
      </c>
      <c r="W129" s="96">
        <f t="shared" si="712"/>
        <v>-0.06283417802</v>
      </c>
      <c r="X129" s="99">
        <f t="shared" ref="X129:Y129" si="742">X126*$K$129</f>
        <v>1056.3232</v>
      </c>
      <c r="Y129" s="94">
        <f t="shared" si="742"/>
        <v>996.7052</v>
      </c>
      <c r="Z129" s="95">
        <f t="shared" si="713"/>
        <v>-59.618</v>
      </c>
      <c r="AA129" s="96">
        <f t="shared" si="714"/>
        <v>-0.05643916559</v>
      </c>
      <c r="AB129" s="99">
        <f t="shared" ref="AB129:AC129" si="743">AB126*$K$129</f>
        <v>1584.4848</v>
      </c>
      <c r="AC129" s="94">
        <f t="shared" si="743"/>
        <v>727.8256</v>
      </c>
      <c r="AD129" s="95">
        <f t="shared" si="715"/>
        <v>-856.6592</v>
      </c>
      <c r="AE129" s="299">
        <f t="shared" si="716"/>
        <v>-0.5406547289</v>
      </c>
      <c r="AF129" s="300">
        <f t="shared" ref="AF129:AL129" si="744">AF126*$K$129</f>
        <v>2112.6464</v>
      </c>
      <c r="AG129" s="301">
        <f t="shared" si="744"/>
        <v>110.3872</v>
      </c>
      <c r="AH129" s="301">
        <f t="shared" si="744"/>
        <v>248.0552</v>
      </c>
      <c r="AI129" s="301">
        <f t="shared" si="744"/>
        <v>171.3112</v>
      </c>
      <c r="AJ129" s="301">
        <f t="shared" si="744"/>
        <v>0</v>
      </c>
      <c r="AK129" s="301">
        <f t="shared" si="744"/>
        <v>0</v>
      </c>
      <c r="AL129" s="302">
        <f t="shared" si="744"/>
        <v>529.7536</v>
      </c>
      <c r="AM129" s="311">
        <f t="shared" si="717"/>
        <v>-1582.8928</v>
      </c>
      <c r="AN129" s="96">
        <f t="shared" si="718"/>
        <v>-0.7492464428</v>
      </c>
      <c r="AO129" s="99">
        <f t="shared" ref="AO129:AP129" si="745">AO126*$K$129</f>
        <v>2640.808</v>
      </c>
      <c r="AP129" s="94">
        <f t="shared" si="745"/>
        <v>0</v>
      </c>
      <c r="AQ129" s="95">
        <f t="shared" si="719"/>
        <v>-2640.808</v>
      </c>
      <c r="AR129" s="96">
        <f t="shared" si="720"/>
        <v>-1</v>
      </c>
      <c r="AS129" s="99">
        <f t="shared" ref="AS129:AT129" si="746">AS126*$K$129</f>
        <v>2640.808</v>
      </c>
      <c r="AT129" s="94">
        <f t="shared" si="746"/>
        <v>0</v>
      </c>
      <c r="AU129" s="95">
        <f t="shared" si="721"/>
        <v>-2640.808</v>
      </c>
      <c r="AV129" s="96">
        <f t="shared" si="722"/>
        <v>-1</v>
      </c>
      <c r="AW129" s="99">
        <f t="shared" ref="AW129:AX129" si="747">AW126*$K$129</f>
        <v>3168.9696</v>
      </c>
      <c r="AX129" s="94">
        <f t="shared" si="747"/>
        <v>0</v>
      </c>
      <c r="AY129" s="95">
        <f t="shared" si="723"/>
        <v>-3168.9696</v>
      </c>
      <c r="AZ129" s="96">
        <f t="shared" si="724"/>
        <v>-1</v>
      </c>
      <c r="BA129" s="99">
        <f t="shared" ref="BA129:BB129" si="748">BA126*$K$129</f>
        <v>3168.9696</v>
      </c>
      <c r="BB129" s="94">
        <f t="shared" si="748"/>
        <v>0</v>
      </c>
      <c r="BC129" s="95">
        <f t="shared" si="725"/>
        <v>-3168.9696</v>
      </c>
      <c r="BD129" s="96">
        <f t="shared" si="726"/>
        <v>-1</v>
      </c>
      <c r="BE129" s="99">
        <f t="shared" ref="BE129:BF129" si="749">BE126*$K$129</f>
        <v>4225.2928</v>
      </c>
      <c r="BF129" s="94">
        <f t="shared" si="749"/>
        <v>0</v>
      </c>
      <c r="BG129" s="95">
        <f t="shared" si="727"/>
        <v>-4225.2928</v>
      </c>
      <c r="BH129" s="96">
        <f t="shared" si="728"/>
        <v>-1</v>
      </c>
      <c r="BI129" s="94">
        <f t="shared" ref="BI129:BJ129" si="750">BI126*$K$129</f>
        <v>4753.4544</v>
      </c>
      <c r="BJ129" s="94">
        <f t="shared" si="750"/>
        <v>0</v>
      </c>
      <c r="BK129" s="95">
        <f t="shared" si="729"/>
        <v>-4753.4544</v>
      </c>
      <c r="BL129" s="98">
        <f t="shared" si="730"/>
        <v>-1</v>
      </c>
      <c r="BM129" s="100">
        <f t="shared" ref="BM129:BN129" si="751">SUM(L129,P129,T129,X129,AB129,AF129,AO129,AS129,AW129,BA129,BE129,BI129)</f>
        <v>28000</v>
      </c>
      <c r="BN129" s="101">
        <f t="shared" si="751"/>
        <v>4481.5156</v>
      </c>
      <c r="BO129" s="102">
        <f t="shared" si="732"/>
        <v>-0.8399458714</v>
      </c>
      <c r="BP129" s="103">
        <f>BP126*0.04</f>
        <v>14263.9712</v>
      </c>
      <c r="BQ129" s="104">
        <f>BM129/BP129</f>
        <v>1.962987699</v>
      </c>
      <c r="BR129" s="3"/>
      <c r="BS129" s="3"/>
      <c r="BT129" s="3"/>
      <c r="BU129" s="3"/>
      <c r="BV129" s="3"/>
      <c r="BW129" s="3"/>
    </row>
    <row r="130" ht="15.75" customHeight="1">
      <c r="A130" s="1"/>
      <c r="B130" s="105"/>
      <c r="C130" s="106"/>
      <c r="D130" s="107"/>
      <c r="E130" s="144"/>
      <c r="F130" s="109"/>
      <c r="G130" s="110"/>
      <c r="H130" s="111"/>
      <c r="I130" s="112"/>
      <c r="J130" s="15"/>
      <c r="K130" s="188"/>
      <c r="L130" s="15"/>
      <c r="M130" s="15"/>
      <c r="N130" s="15"/>
      <c r="O130" s="15"/>
      <c r="P130" s="15"/>
      <c r="Q130" s="160"/>
      <c r="R130" s="15"/>
      <c r="S130" s="15"/>
      <c r="T130" s="15"/>
      <c r="U130" s="15"/>
      <c r="V130" s="15"/>
      <c r="W130" s="15"/>
      <c r="X130" s="14"/>
      <c r="Y130" s="14"/>
      <c r="Z130" s="15"/>
      <c r="AA130" s="3"/>
      <c r="AB130" s="3"/>
      <c r="AC130" s="3"/>
      <c r="AD130" s="3"/>
      <c r="AE130" s="3"/>
      <c r="AF130" s="3"/>
      <c r="AV130" s="138"/>
      <c r="AW130" s="25"/>
      <c r="AX130" s="139"/>
      <c r="AY130" s="25"/>
    </row>
    <row r="131" ht="15.75" customHeight="1">
      <c r="A131" s="3"/>
      <c r="B131" s="3"/>
      <c r="C131" s="3"/>
      <c r="D131" s="3"/>
      <c r="E131" s="3"/>
      <c r="F131" s="3"/>
      <c r="G131" s="3"/>
      <c r="H131" s="3"/>
      <c r="I131" s="3"/>
      <c r="J131" s="34" t="s">
        <v>100</v>
      </c>
      <c r="K131" s="35"/>
      <c r="L131" s="36" t="s">
        <v>10</v>
      </c>
      <c r="M131" s="37" t="s">
        <v>11</v>
      </c>
      <c r="N131" s="38" t="s">
        <v>12</v>
      </c>
      <c r="O131" s="39" t="s">
        <v>13</v>
      </c>
      <c r="P131" s="119" t="s">
        <v>14</v>
      </c>
      <c r="Q131" s="152" t="s">
        <v>15</v>
      </c>
      <c r="R131" s="38" t="s">
        <v>16</v>
      </c>
      <c r="S131" s="42" t="s">
        <v>17</v>
      </c>
      <c r="T131" s="36" t="s">
        <v>18</v>
      </c>
      <c r="U131" s="152" t="s">
        <v>90</v>
      </c>
      <c r="V131" s="38" t="s">
        <v>20</v>
      </c>
      <c r="W131" s="45" t="s">
        <v>91</v>
      </c>
      <c r="X131" s="119" t="s">
        <v>22</v>
      </c>
      <c r="Y131" s="152" t="s">
        <v>92</v>
      </c>
      <c r="Z131" s="38" t="s">
        <v>24</v>
      </c>
      <c r="AA131" s="45" t="s">
        <v>91</v>
      </c>
      <c r="AB131" s="36" t="s">
        <v>26</v>
      </c>
      <c r="AC131" s="152" t="s">
        <v>27</v>
      </c>
      <c r="AD131" s="38" t="s">
        <v>28</v>
      </c>
      <c r="AE131" s="45" t="s">
        <v>29</v>
      </c>
      <c r="AF131" s="44" t="s">
        <v>30</v>
      </c>
      <c r="AG131" s="261" t="s">
        <v>107</v>
      </c>
      <c r="AH131" s="262" t="s">
        <v>108</v>
      </c>
      <c r="AI131" s="262" t="s">
        <v>109</v>
      </c>
      <c r="AJ131" s="262" t="s">
        <v>110</v>
      </c>
      <c r="AK131" s="262" t="s">
        <v>111</v>
      </c>
      <c r="AL131" s="262" t="s">
        <v>31</v>
      </c>
      <c r="AM131" s="38" t="s">
        <v>32</v>
      </c>
      <c r="AN131" s="45" t="s">
        <v>33</v>
      </c>
      <c r="AO131" s="43" t="s">
        <v>34</v>
      </c>
      <c r="AP131" s="152" t="s">
        <v>35</v>
      </c>
      <c r="AQ131" s="38" t="s">
        <v>36</v>
      </c>
      <c r="AR131" s="45" t="s">
        <v>37</v>
      </c>
      <c r="AS131" s="44" t="s">
        <v>38</v>
      </c>
      <c r="AT131" s="152" t="s">
        <v>39</v>
      </c>
      <c r="AU131" s="38" t="s">
        <v>40</v>
      </c>
      <c r="AV131" s="45" t="s">
        <v>41</v>
      </c>
      <c r="AW131" s="43" t="s">
        <v>42</v>
      </c>
      <c r="AX131" s="152" t="s">
        <v>43</v>
      </c>
      <c r="AY131" s="38" t="s">
        <v>44</v>
      </c>
      <c r="AZ131" s="45" t="s">
        <v>45</v>
      </c>
      <c r="BA131" s="44" t="s">
        <v>46</v>
      </c>
      <c r="BB131" s="152" t="s">
        <v>47</v>
      </c>
      <c r="BC131" s="38" t="s">
        <v>48</v>
      </c>
      <c r="BD131" s="45" t="s">
        <v>49</v>
      </c>
      <c r="BE131" s="43" t="s">
        <v>50</v>
      </c>
      <c r="BF131" s="152" t="s">
        <v>51</v>
      </c>
      <c r="BG131" s="38" t="s">
        <v>52</v>
      </c>
      <c r="BH131" s="45" t="s">
        <v>53</v>
      </c>
      <c r="BI131" s="153" t="s">
        <v>54</v>
      </c>
      <c r="BJ131" s="152" t="s">
        <v>55</v>
      </c>
      <c r="BK131" s="38" t="s">
        <v>56</v>
      </c>
      <c r="BL131" s="42" t="s">
        <v>57</v>
      </c>
      <c r="BM131" s="46">
        <v>2026.0</v>
      </c>
      <c r="BN131" s="37" t="s">
        <v>58</v>
      </c>
      <c r="BO131" s="47" t="s">
        <v>59</v>
      </c>
      <c r="BP131" s="48">
        <v>2025.0</v>
      </c>
      <c r="BQ131" s="49"/>
      <c r="BR131" s="3"/>
      <c r="BS131" s="3"/>
      <c r="BT131" s="3"/>
      <c r="BU131" s="3"/>
      <c r="BV131" s="3"/>
      <c r="BW131" s="3"/>
    </row>
    <row r="132" ht="15.75" customHeight="1">
      <c r="A132" s="25"/>
      <c r="B132" s="330"/>
      <c r="C132" s="331"/>
      <c r="D132" s="332"/>
      <c r="E132" s="333"/>
      <c r="F132" s="334"/>
      <c r="G132" s="335"/>
      <c r="H132" s="336"/>
      <c r="I132" s="335"/>
      <c r="J132" s="263" t="s">
        <v>112</v>
      </c>
      <c r="K132" s="264"/>
      <c r="L132" s="265"/>
      <c r="M132" s="266"/>
      <c r="N132" s="267"/>
      <c r="O132" s="268"/>
      <c r="P132" s="265"/>
      <c r="Q132" s="307"/>
      <c r="R132" s="267"/>
      <c r="S132" s="270"/>
      <c r="T132" s="265"/>
      <c r="U132" s="272"/>
      <c r="V132" s="267"/>
      <c r="W132" s="268"/>
      <c r="X132" s="265"/>
      <c r="Y132" s="272"/>
      <c r="Z132" s="267"/>
      <c r="AA132" s="268"/>
      <c r="AB132" s="265"/>
      <c r="AC132" s="272"/>
      <c r="AD132" s="267"/>
      <c r="AE132" s="268"/>
      <c r="AF132" s="271"/>
      <c r="AG132" s="273">
        <f t="shared" ref="AG132:AK132" si="752">$AF$133/5</f>
        <v>0.01</v>
      </c>
      <c r="AH132" s="273">
        <f t="shared" si="752"/>
        <v>0.01</v>
      </c>
      <c r="AI132" s="273">
        <f t="shared" si="752"/>
        <v>0.01</v>
      </c>
      <c r="AJ132" s="273">
        <f t="shared" si="752"/>
        <v>0.01</v>
      </c>
      <c r="AK132" s="273">
        <f t="shared" si="752"/>
        <v>0.01</v>
      </c>
      <c r="AL132" s="273"/>
      <c r="AM132" s="267"/>
      <c r="AN132" s="268"/>
      <c r="AO132" s="271"/>
      <c r="AP132" s="272"/>
      <c r="AQ132" s="267"/>
      <c r="AR132" s="268"/>
      <c r="AS132" s="271"/>
      <c r="AT132" s="272"/>
      <c r="AU132" s="267"/>
      <c r="AV132" s="268"/>
      <c r="AW132" s="271"/>
      <c r="AX132" s="272"/>
      <c r="AY132" s="267"/>
      <c r="AZ132" s="268"/>
      <c r="BA132" s="271"/>
      <c r="BB132" s="272"/>
      <c r="BC132" s="267"/>
      <c r="BD132" s="268"/>
      <c r="BE132" s="271"/>
      <c r="BF132" s="272"/>
      <c r="BG132" s="267"/>
      <c r="BH132" s="268"/>
      <c r="BI132" s="308"/>
      <c r="BJ132" s="272"/>
      <c r="BK132" s="267"/>
      <c r="BL132" s="270"/>
      <c r="BM132" s="275"/>
      <c r="BN132" s="276"/>
      <c r="BO132" s="277"/>
      <c r="BP132" s="278"/>
      <c r="BQ132" s="64"/>
      <c r="BR132" s="337"/>
      <c r="BS132" s="25"/>
      <c r="BT132" s="25"/>
      <c r="BU132" s="25"/>
      <c r="BV132" s="25"/>
      <c r="BW132" s="25"/>
    </row>
    <row r="133" ht="15.75" customHeight="1">
      <c r="A133" s="25"/>
      <c r="B133" s="194">
        <v>17.0</v>
      </c>
      <c r="C133" s="195" t="s">
        <v>98</v>
      </c>
      <c r="D133" s="196">
        <f>15000*12</f>
        <v>180000</v>
      </c>
      <c r="E133" s="197">
        <v>32.0</v>
      </c>
      <c r="F133" s="198">
        <f>E133*D133</f>
        <v>5760000</v>
      </c>
      <c r="G133" s="199">
        <v>356599.2800000031</v>
      </c>
      <c r="H133" s="200">
        <v>11282.0</v>
      </c>
      <c r="I133" s="201">
        <v>31.607807126396306</v>
      </c>
      <c r="J133" s="50" t="s">
        <v>61</v>
      </c>
      <c r="K133" s="51"/>
      <c r="L133" s="52" t="s">
        <v>60</v>
      </c>
      <c r="M133" s="53" t="s">
        <v>60</v>
      </c>
      <c r="N133" s="54" t="s">
        <v>60</v>
      </c>
      <c r="O133" s="55" t="s">
        <v>62</v>
      </c>
      <c r="P133" s="52" t="s">
        <v>60</v>
      </c>
      <c r="Q133" s="154" t="s">
        <v>60</v>
      </c>
      <c r="R133" s="54" t="s">
        <v>60</v>
      </c>
      <c r="S133" s="57" t="s">
        <v>62</v>
      </c>
      <c r="T133" s="52" t="s">
        <v>60</v>
      </c>
      <c r="U133" s="59" t="s">
        <v>60</v>
      </c>
      <c r="V133" s="54" t="s">
        <v>60</v>
      </c>
      <c r="W133" s="55" t="s">
        <v>62</v>
      </c>
      <c r="X133" s="52" t="s">
        <v>60</v>
      </c>
      <c r="Y133" s="59" t="s">
        <v>60</v>
      </c>
      <c r="Z133" s="54" t="s">
        <v>60</v>
      </c>
      <c r="AA133" s="55" t="s">
        <v>62</v>
      </c>
      <c r="AB133" s="52" t="s">
        <v>60</v>
      </c>
      <c r="AC133" s="59" t="s">
        <v>60</v>
      </c>
      <c r="AD133" s="54" t="s">
        <v>60</v>
      </c>
      <c r="AE133" s="55" t="s">
        <v>62</v>
      </c>
      <c r="AF133" s="58">
        <v>0.05</v>
      </c>
      <c r="AG133" s="61">
        <f t="shared" ref="AG133:AK133" si="753">AG134/($BM$134-($L$134+$P$134+$T$134+$X$134+$AB$134))</f>
        <v>0.00075687</v>
      </c>
      <c r="AH133" s="61">
        <f t="shared" si="753"/>
        <v>0.01009705625</v>
      </c>
      <c r="AI133" s="61">
        <f t="shared" si="753"/>
        <v>0.01341471208</v>
      </c>
      <c r="AJ133" s="61">
        <f t="shared" si="753"/>
        <v>0</v>
      </c>
      <c r="AK133" s="61">
        <f t="shared" si="753"/>
        <v>0</v>
      </c>
      <c r="AL133" s="279">
        <f t="shared" ref="AL133:AL135" si="755">SUM(AG133:AK133)</f>
        <v>0.02426863833</v>
      </c>
      <c r="AM133" s="280">
        <f>AL133-AF133</f>
        <v>-0.02573136167</v>
      </c>
      <c r="AN133" s="55" t="s">
        <v>62</v>
      </c>
      <c r="AO133" s="58">
        <v>0.08</v>
      </c>
      <c r="AP133" s="59">
        <f>AP134/(BM134-(L134+P134+T134+X134+AB134))</f>
        <v>0</v>
      </c>
      <c r="AQ133" s="54" t="s">
        <v>60</v>
      </c>
      <c r="AR133" s="55" t="s">
        <v>62</v>
      </c>
      <c r="AS133" s="58">
        <v>0.1</v>
      </c>
      <c r="AT133" s="59">
        <f>AT134/(BM134-(L134+P134+T134+X134+AB134))</f>
        <v>0</v>
      </c>
      <c r="AU133" s="54" t="s">
        <v>60</v>
      </c>
      <c r="AV133" s="55" t="s">
        <v>62</v>
      </c>
      <c r="AW133" s="58">
        <v>0.16</v>
      </c>
      <c r="AX133" s="59">
        <f>AX134/(BM134-(L134+P134+T134+X134+AB134))</f>
        <v>0</v>
      </c>
      <c r="AY133" s="54" t="s">
        <v>60</v>
      </c>
      <c r="AZ133" s="55" t="s">
        <v>62</v>
      </c>
      <c r="BA133" s="58">
        <v>0.2</v>
      </c>
      <c r="BB133" s="59">
        <f>BB134/(BM134-(L134+P134+T134+X134+AB134))</f>
        <v>0</v>
      </c>
      <c r="BC133" s="54" t="s">
        <v>60</v>
      </c>
      <c r="BD133" s="55" t="s">
        <v>62</v>
      </c>
      <c r="BE133" s="58">
        <v>0.21</v>
      </c>
      <c r="BF133" s="59">
        <f>BF134/(BM134-(L134+P134+T134+X134+AB134))</f>
        <v>0</v>
      </c>
      <c r="BG133" s="54" t="s">
        <v>60</v>
      </c>
      <c r="BH133" s="55" t="s">
        <v>62</v>
      </c>
      <c r="BI133" s="155">
        <v>0.2</v>
      </c>
      <c r="BJ133" s="59">
        <f>BJ134/(BM134-(L134+P134+T134+X134++AB134))</f>
        <v>0</v>
      </c>
      <c r="BK133" s="54" t="s">
        <v>60</v>
      </c>
      <c r="BL133" s="57" t="s">
        <v>62</v>
      </c>
      <c r="BM133" s="60">
        <f t="shared" ref="BM133:BN133" si="754">SUM(AF133,AO133,AS133,AW133,BA133,BE133,BI133)</f>
        <v>1</v>
      </c>
      <c r="BN133" s="61">
        <f t="shared" si="754"/>
        <v>0.00075687</v>
      </c>
      <c r="BO133" s="62"/>
      <c r="BP133" s="63" t="s">
        <v>60</v>
      </c>
      <c r="BQ133" s="64"/>
      <c r="BR133" s="202"/>
      <c r="BS133" s="25"/>
      <c r="BT133" s="25"/>
      <c r="BU133" s="25"/>
      <c r="BV133" s="25"/>
      <c r="BW133" s="25"/>
    </row>
    <row r="134" ht="15.75" customHeight="1">
      <c r="A134" s="25"/>
      <c r="B134" s="203"/>
      <c r="C134" s="195"/>
      <c r="D134" s="204"/>
      <c r="E134" s="205"/>
      <c r="F134" s="206"/>
      <c r="G134" s="207"/>
      <c r="H134" s="208"/>
      <c r="I134" s="209"/>
      <c r="J134" s="50" t="s">
        <v>63</v>
      </c>
      <c r="K134" s="51"/>
      <c r="L134" s="127">
        <v>0.0</v>
      </c>
      <c r="M134" s="66">
        <v>0.0</v>
      </c>
      <c r="N134" s="67">
        <f t="shared" ref="N134:N137" si="756">IFERROR(M134-L134,"-")</f>
        <v>0</v>
      </c>
      <c r="O134" s="68" t="str">
        <f t="shared" ref="O134:O137" si="757">IFERROR(M134/L134-1,"-")</f>
        <v>-</v>
      </c>
      <c r="P134" s="127">
        <v>0.0</v>
      </c>
      <c r="Q134" s="66">
        <v>0.0</v>
      </c>
      <c r="R134" s="67">
        <f t="shared" ref="R134:R137" si="758">IFERROR(Q134-P134,"-")</f>
        <v>0</v>
      </c>
      <c r="S134" s="70" t="str">
        <f t="shared" ref="S134:S137" si="759">IFERROR(Q134/P134-1,"-")</f>
        <v>-</v>
      </c>
      <c r="T134" s="65">
        <v>0.0</v>
      </c>
      <c r="U134" s="66">
        <v>0.0</v>
      </c>
      <c r="V134" s="67">
        <f t="shared" ref="V134:V137" si="760">IFERROR(U134-T134,"-")</f>
        <v>0</v>
      </c>
      <c r="W134" s="68" t="str">
        <f t="shared" ref="W134:W137" si="761">IFERROR(U134/T134-1,"-")</f>
        <v>-</v>
      </c>
      <c r="X134" s="65">
        <v>0.0</v>
      </c>
      <c r="Y134" s="66">
        <v>0.0</v>
      </c>
      <c r="Z134" s="67">
        <f t="shared" ref="Z134:Z137" si="762">IFERROR(Y134-X134,"-")</f>
        <v>0</v>
      </c>
      <c r="AA134" s="68" t="str">
        <f t="shared" ref="AA134:AA137" si="763">IFERROR(Y134/X134-1,"-")</f>
        <v>-</v>
      </c>
      <c r="AB134" s="65">
        <v>0.0</v>
      </c>
      <c r="AC134" s="66">
        <v>4133.38</v>
      </c>
      <c r="AD134" s="67">
        <f t="shared" ref="AD134:AD137" si="764">IFERROR(AC134-AB134,"-")</f>
        <v>4133.38</v>
      </c>
      <c r="AE134" s="68" t="str">
        <f t="shared" ref="AE134:AE137" si="765">IFERROR(AC134/AB134-1,"-")</f>
        <v>-</v>
      </c>
      <c r="AF134" s="71">
        <f>($BM$134-($L$134+$P$134))*AF133</f>
        <v>1200000</v>
      </c>
      <c r="AG134" s="73">
        <v>18164.88</v>
      </c>
      <c r="AH134" s="73">
        <v>242329.35</v>
      </c>
      <c r="AI134" s="73">
        <v>321953.09</v>
      </c>
      <c r="AJ134" s="73"/>
      <c r="AK134" s="73"/>
      <c r="AL134" s="283">
        <f t="shared" si="755"/>
        <v>582447.32</v>
      </c>
      <c r="AM134" s="67">
        <f t="shared" ref="AM134:AM137" si="766">IFERROR(AL134-AF134,"-")</f>
        <v>-617552.68</v>
      </c>
      <c r="AN134" s="68">
        <f t="shared" ref="AN134:AN137" si="767">IFERROR(AL134/AF134-1,"-")</f>
        <v>-0.5146272333</v>
      </c>
      <c r="AO134" s="71">
        <f>($BM$134-($L$134+$P$134))*AO133</f>
        <v>1920000</v>
      </c>
      <c r="AP134" s="66">
        <v>0.0</v>
      </c>
      <c r="AQ134" s="67">
        <f t="shared" ref="AQ134:AQ137" si="768">IFERROR(AP134-AO134,"-")</f>
        <v>-1920000</v>
      </c>
      <c r="AR134" s="68">
        <f t="shared" ref="AR134:AR137" si="769">IFERROR(AP134/AO134-1,"-")</f>
        <v>-1</v>
      </c>
      <c r="AS134" s="71">
        <f>($BM$134-($L$134+$P$134))*AS133</f>
        <v>2400000</v>
      </c>
      <c r="AT134" s="66">
        <v>0.0</v>
      </c>
      <c r="AU134" s="67">
        <f t="shared" ref="AU134:AU137" si="770">IFERROR(AT134-AS134,"-")</f>
        <v>-2400000</v>
      </c>
      <c r="AV134" s="68">
        <f t="shared" ref="AV134:AV137" si="771">IFERROR(AT134/AS134-1,"-")</f>
        <v>-1</v>
      </c>
      <c r="AW134" s="71">
        <f>($BM$134-($L$134+$P$134))*AW133</f>
        <v>3840000</v>
      </c>
      <c r="AX134" s="66">
        <v>0.0</v>
      </c>
      <c r="AY134" s="67">
        <f t="shared" ref="AY134:AY137" si="772">IFERROR(AX134-AW134,"-")</f>
        <v>-3840000</v>
      </c>
      <c r="AZ134" s="68">
        <f t="shared" ref="AZ134:AZ137" si="773">IFERROR(AX134/AW134-1,"-")</f>
        <v>-1</v>
      </c>
      <c r="BA134" s="71">
        <f>($BM$134-($L$134+$P$134))*BA133</f>
        <v>4800000</v>
      </c>
      <c r="BB134" s="66">
        <v>0.0</v>
      </c>
      <c r="BC134" s="67">
        <f t="shared" ref="BC134:BC137" si="774">IFERROR(BB134-BA134,"-")</f>
        <v>-4800000</v>
      </c>
      <c r="BD134" s="68">
        <f t="shared" ref="BD134:BD137" si="775">IFERROR(BB134/BA134-1,"-")</f>
        <v>-1</v>
      </c>
      <c r="BE134" s="71">
        <f>($BM$134-($L$134+$P$134))*BE133</f>
        <v>5040000</v>
      </c>
      <c r="BF134" s="66">
        <v>0.0</v>
      </c>
      <c r="BG134" s="67">
        <f t="shared" ref="BG134:BG137" si="776">IFERROR(BF134-BE134,"-")</f>
        <v>-5040000</v>
      </c>
      <c r="BH134" s="68">
        <f t="shared" ref="BH134:BH137" si="777">IFERROR(BF134/BE134-1,"-")</f>
        <v>-1</v>
      </c>
      <c r="BI134" s="66">
        <f>($BM$134-($L$134+$P$134))*BI133</f>
        <v>4800000</v>
      </c>
      <c r="BJ134" s="66">
        <v>0.0</v>
      </c>
      <c r="BK134" s="67">
        <f t="shared" ref="BK134:BK137" si="778">IFERROR(BJ134-BI134,"-")</f>
        <v>-4800000</v>
      </c>
      <c r="BL134" s="70">
        <f t="shared" ref="BL134:BL137" si="779">IFERROR(BJ134/BI134-1,"-")</f>
        <v>-1</v>
      </c>
      <c r="BM134" s="74">
        <v>2.4E7</v>
      </c>
      <c r="BN134" s="75">
        <f t="shared" ref="BN134:BN135" si="780">SUM(M134,Q134,U134,Y134,AC134,AG134,AP134,AT134,AX134,BB134,BF134,BJ134)</f>
        <v>22298.26</v>
      </c>
      <c r="BO134" s="76">
        <f t="shared" ref="BO134:BO137" si="781">IFERROR(BN134/BM134-1,"-")</f>
        <v>-0.9990709058</v>
      </c>
      <c r="BP134" s="77"/>
      <c r="BQ134" s="78"/>
      <c r="BR134" s="210"/>
      <c r="BS134" s="25"/>
      <c r="BT134" s="25"/>
      <c r="BU134" s="25"/>
      <c r="BV134" s="25"/>
      <c r="BW134" s="25"/>
    </row>
    <row r="135" ht="15.75" customHeight="1">
      <c r="A135" s="25"/>
      <c r="B135" s="203"/>
      <c r="C135" s="195"/>
      <c r="D135" s="204"/>
      <c r="E135" s="205"/>
      <c r="F135" s="206"/>
      <c r="G135" s="207"/>
      <c r="H135" s="208"/>
      <c r="I135" s="209"/>
      <c r="J135" s="50" t="s">
        <v>64</v>
      </c>
      <c r="K135" s="79"/>
      <c r="L135" s="129">
        <f>L134/$K$136</f>
        <v>0</v>
      </c>
      <c r="M135" s="81">
        <v>0.0</v>
      </c>
      <c r="N135" s="82">
        <f t="shared" si="756"/>
        <v>0</v>
      </c>
      <c r="O135" s="68" t="str">
        <f t="shared" si="757"/>
        <v>-</v>
      </c>
      <c r="P135" s="129">
        <f>P134/$K$136</f>
        <v>0</v>
      </c>
      <c r="Q135" s="81">
        <v>0.0</v>
      </c>
      <c r="R135" s="82">
        <f t="shared" si="758"/>
        <v>0</v>
      </c>
      <c r="S135" s="70" t="str">
        <f t="shared" si="759"/>
        <v>-</v>
      </c>
      <c r="T135" s="129">
        <f>T134/$K$136</f>
        <v>0</v>
      </c>
      <c r="U135" s="81">
        <v>0.0</v>
      </c>
      <c r="V135" s="82">
        <f t="shared" si="760"/>
        <v>0</v>
      </c>
      <c r="W135" s="68" t="str">
        <f t="shared" si="761"/>
        <v>-</v>
      </c>
      <c r="X135" s="129">
        <f>X134/$K$136</f>
        <v>0</v>
      </c>
      <c r="Y135" s="81">
        <v>0.0</v>
      </c>
      <c r="Z135" s="82">
        <f t="shared" si="762"/>
        <v>0</v>
      </c>
      <c r="AA135" s="68" t="str">
        <f t="shared" si="763"/>
        <v>-</v>
      </c>
      <c r="AB135" s="80">
        <f>AB134/$K$136</f>
        <v>0</v>
      </c>
      <c r="AC135" s="81">
        <v>57.0</v>
      </c>
      <c r="AD135" s="82">
        <f t="shared" si="764"/>
        <v>57</v>
      </c>
      <c r="AE135" s="68" t="str">
        <f t="shared" si="765"/>
        <v>-</v>
      </c>
      <c r="AF135" s="84">
        <f>AF134/$K$136</f>
        <v>11881.18812</v>
      </c>
      <c r="AG135" s="85">
        <v>220.0</v>
      </c>
      <c r="AH135" s="85">
        <v>1513.0</v>
      </c>
      <c r="AI135" s="85">
        <v>2098.0</v>
      </c>
      <c r="AJ135" s="85"/>
      <c r="AK135" s="85"/>
      <c r="AL135" s="286">
        <f t="shared" si="755"/>
        <v>3831</v>
      </c>
      <c r="AM135" s="82">
        <f t="shared" si="766"/>
        <v>-8050.188119</v>
      </c>
      <c r="AN135" s="68">
        <f t="shared" si="767"/>
        <v>-0.6775575</v>
      </c>
      <c r="AO135" s="84">
        <f>AO134/$K$136</f>
        <v>19009.90099</v>
      </c>
      <c r="AP135" s="81">
        <v>0.0</v>
      </c>
      <c r="AQ135" s="82">
        <f t="shared" si="768"/>
        <v>-19009.90099</v>
      </c>
      <c r="AR135" s="68">
        <f t="shared" si="769"/>
        <v>-1</v>
      </c>
      <c r="AS135" s="84">
        <f>AS134/$K$136</f>
        <v>23762.37624</v>
      </c>
      <c r="AT135" s="81">
        <v>0.0</v>
      </c>
      <c r="AU135" s="82">
        <f t="shared" si="770"/>
        <v>-23762.37624</v>
      </c>
      <c r="AV135" s="68">
        <f t="shared" si="771"/>
        <v>-1</v>
      </c>
      <c r="AW135" s="84">
        <f>AW134/$K$136</f>
        <v>38019.80198</v>
      </c>
      <c r="AX135" s="81">
        <v>0.0</v>
      </c>
      <c r="AY135" s="82">
        <f t="shared" si="772"/>
        <v>-38019.80198</v>
      </c>
      <c r="AZ135" s="68">
        <f t="shared" si="773"/>
        <v>-1</v>
      </c>
      <c r="BA135" s="84">
        <f>BA134/$K$136</f>
        <v>47524.75248</v>
      </c>
      <c r="BB135" s="81">
        <v>0.0</v>
      </c>
      <c r="BC135" s="82">
        <f t="shared" si="774"/>
        <v>-47524.75248</v>
      </c>
      <c r="BD135" s="68">
        <f t="shared" si="775"/>
        <v>-1</v>
      </c>
      <c r="BE135" s="84">
        <f>BE134/$K$136</f>
        <v>49900.9901</v>
      </c>
      <c r="BF135" s="81">
        <v>0.0</v>
      </c>
      <c r="BG135" s="82">
        <f t="shared" si="776"/>
        <v>-49900.9901</v>
      </c>
      <c r="BH135" s="68">
        <f t="shared" si="777"/>
        <v>-1</v>
      </c>
      <c r="BI135" s="81">
        <f>BI134/$K$136</f>
        <v>47524.75248</v>
      </c>
      <c r="BJ135" s="81">
        <v>0.0</v>
      </c>
      <c r="BK135" s="82">
        <f t="shared" si="778"/>
        <v>-47524.75248</v>
      </c>
      <c r="BL135" s="70">
        <f t="shared" si="779"/>
        <v>-1</v>
      </c>
      <c r="BM135" s="156">
        <f>SUM(L135,T135,X135,AB135,AF135,AO135,AS135,AW135,BA135,BE135,BI135)</f>
        <v>237623.7624</v>
      </c>
      <c r="BN135" s="87">
        <f t="shared" si="780"/>
        <v>277</v>
      </c>
      <c r="BO135" s="76">
        <f t="shared" si="781"/>
        <v>-0.9988342917</v>
      </c>
      <c r="BP135" s="88"/>
      <c r="BQ135" s="78"/>
      <c r="BR135" s="211"/>
      <c r="BS135" s="25"/>
      <c r="BT135" s="212"/>
      <c r="BU135" s="25"/>
      <c r="BV135" s="25"/>
      <c r="BW135" s="25"/>
    </row>
    <row r="136" ht="15.75" customHeight="1">
      <c r="A136" s="25"/>
      <c r="B136" s="203"/>
      <c r="C136" s="195"/>
      <c r="D136" s="204"/>
      <c r="E136" s="205"/>
      <c r="F136" s="206"/>
      <c r="G136" s="207"/>
      <c r="H136" s="208"/>
      <c r="I136" s="209"/>
      <c r="J136" s="50" t="s">
        <v>65</v>
      </c>
      <c r="K136" s="79">
        <v>101.0</v>
      </c>
      <c r="L136" s="65" t="str">
        <f t="shared" ref="L136:M136" si="782">IFERROR(L134/L135,"-")</f>
        <v>-</v>
      </c>
      <c r="M136" s="66" t="str">
        <f t="shared" si="782"/>
        <v>-</v>
      </c>
      <c r="N136" s="67" t="str">
        <f t="shared" si="756"/>
        <v>-</v>
      </c>
      <c r="O136" s="68" t="str">
        <f t="shared" si="757"/>
        <v>-</v>
      </c>
      <c r="P136" s="65" t="str">
        <f t="shared" ref="P136:Q136" si="783">IFERROR(P134/P135,"-")</f>
        <v>-</v>
      </c>
      <c r="Q136" s="66" t="str">
        <f t="shared" si="783"/>
        <v>-</v>
      </c>
      <c r="R136" s="67" t="str">
        <f t="shared" si="758"/>
        <v>-</v>
      </c>
      <c r="S136" s="70" t="str">
        <f t="shared" si="759"/>
        <v>-</v>
      </c>
      <c r="T136" s="65" t="str">
        <f t="shared" ref="T136:U136" si="784">IFERROR(T134/T135,"-")</f>
        <v>-</v>
      </c>
      <c r="U136" s="66" t="str">
        <f t="shared" si="784"/>
        <v>-</v>
      </c>
      <c r="V136" s="67" t="str">
        <f t="shared" si="760"/>
        <v>-</v>
      </c>
      <c r="W136" s="68" t="str">
        <f t="shared" si="761"/>
        <v>-</v>
      </c>
      <c r="X136" s="65" t="str">
        <f t="shared" ref="X136:Y136" si="785">IFERROR(X134/X135,"-")</f>
        <v>-</v>
      </c>
      <c r="Y136" s="66" t="str">
        <f t="shared" si="785"/>
        <v>-</v>
      </c>
      <c r="Z136" s="67" t="str">
        <f t="shared" si="762"/>
        <v>-</v>
      </c>
      <c r="AA136" s="68" t="str">
        <f t="shared" si="763"/>
        <v>-</v>
      </c>
      <c r="AB136" s="65" t="str">
        <f t="shared" ref="AB136:AC136" si="786">IFERROR(AB134/AB135,"-")</f>
        <v>-</v>
      </c>
      <c r="AC136" s="66">
        <f t="shared" si="786"/>
        <v>72.5154386</v>
      </c>
      <c r="AD136" s="67" t="str">
        <f t="shared" si="764"/>
        <v>-</v>
      </c>
      <c r="AE136" s="68" t="str">
        <f t="shared" si="765"/>
        <v>-</v>
      </c>
      <c r="AF136" s="312">
        <f>AF134/AF135</f>
        <v>101</v>
      </c>
      <c r="AG136" s="296">
        <f t="shared" ref="AG136:AL136" si="787">IFERROR(AG134/AG135,"-")</f>
        <v>82.56763636</v>
      </c>
      <c r="AH136" s="296">
        <f t="shared" si="787"/>
        <v>160.164805</v>
      </c>
      <c r="AI136" s="296">
        <f t="shared" si="787"/>
        <v>153.4571449</v>
      </c>
      <c r="AJ136" s="296" t="str">
        <f t="shared" si="787"/>
        <v>-</v>
      </c>
      <c r="AK136" s="296" t="str">
        <f t="shared" si="787"/>
        <v>-</v>
      </c>
      <c r="AL136" s="298">
        <f t="shared" si="787"/>
        <v>152.0353224</v>
      </c>
      <c r="AM136" s="67">
        <f t="shared" si="766"/>
        <v>51.03532237</v>
      </c>
      <c r="AN136" s="68">
        <f t="shared" si="767"/>
        <v>0.5053002215</v>
      </c>
      <c r="AO136" s="84">
        <f>AO134/AO135</f>
        <v>101</v>
      </c>
      <c r="AP136" s="66" t="str">
        <f>IFERROR(AP134/AP135,"-")</f>
        <v>-</v>
      </c>
      <c r="AQ136" s="67" t="str">
        <f t="shared" si="768"/>
        <v>-</v>
      </c>
      <c r="AR136" s="68" t="str">
        <f t="shared" si="769"/>
        <v>-</v>
      </c>
      <c r="AS136" s="84">
        <f>AS134/AS135</f>
        <v>101</v>
      </c>
      <c r="AT136" s="66" t="str">
        <f>IFERROR(AT134/AT135,"-")</f>
        <v>-</v>
      </c>
      <c r="AU136" s="67" t="str">
        <f t="shared" si="770"/>
        <v>-</v>
      </c>
      <c r="AV136" s="68" t="str">
        <f t="shared" si="771"/>
        <v>-</v>
      </c>
      <c r="AW136" s="84">
        <f>AW134/AW135</f>
        <v>101</v>
      </c>
      <c r="AX136" s="66" t="str">
        <f>IFERROR(AX134/AX135,"-")</f>
        <v>-</v>
      </c>
      <c r="AY136" s="67" t="str">
        <f t="shared" si="772"/>
        <v>-</v>
      </c>
      <c r="AZ136" s="68" t="str">
        <f t="shared" si="773"/>
        <v>-</v>
      </c>
      <c r="BA136" s="84">
        <f>BA134/BA135</f>
        <v>101</v>
      </c>
      <c r="BB136" s="66" t="str">
        <f>IFERROR(BB134/BB135,"-")</f>
        <v>-</v>
      </c>
      <c r="BC136" s="67" t="str">
        <f t="shared" si="774"/>
        <v>-</v>
      </c>
      <c r="BD136" s="68" t="str">
        <f t="shared" si="775"/>
        <v>-</v>
      </c>
      <c r="BE136" s="84">
        <f>BE134/BE135</f>
        <v>101</v>
      </c>
      <c r="BF136" s="66" t="str">
        <f>IFERROR(BF134/BF135,"-")</f>
        <v>-</v>
      </c>
      <c r="BG136" s="67" t="str">
        <f t="shared" si="776"/>
        <v>-</v>
      </c>
      <c r="BH136" s="68" t="str">
        <f t="shared" si="777"/>
        <v>-</v>
      </c>
      <c r="BI136" s="81">
        <f>BI134/BI135</f>
        <v>101</v>
      </c>
      <c r="BJ136" s="66" t="str">
        <f>IFERROR(BJ134/BJ135,"-")</f>
        <v>-</v>
      </c>
      <c r="BK136" s="67" t="str">
        <f t="shared" si="778"/>
        <v>-</v>
      </c>
      <c r="BL136" s="70" t="str">
        <f t="shared" si="779"/>
        <v>-</v>
      </c>
      <c r="BM136" s="86">
        <f>BM134/BM135</f>
        <v>101</v>
      </c>
      <c r="BN136" s="66">
        <f>IFERROR(BN134/BN135,"-")</f>
        <v>80.49913357</v>
      </c>
      <c r="BO136" s="76">
        <f t="shared" si="781"/>
        <v>-0.2029788755</v>
      </c>
      <c r="BP136" s="88"/>
      <c r="BQ136" s="78"/>
      <c r="BR136" s="211"/>
      <c r="BS136" s="25"/>
      <c r="BT136" s="212"/>
      <c r="BU136" s="25"/>
      <c r="BV136" s="25"/>
      <c r="BW136" s="25"/>
    </row>
    <row r="137" ht="16.5" customHeight="1">
      <c r="A137" s="25"/>
      <c r="B137" s="203"/>
      <c r="C137" s="195"/>
      <c r="D137" s="204"/>
      <c r="E137" s="205"/>
      <c r="F137" s="206"/>
      <c r="G137" s="207"/>
      <c r="H137" s="208"/>
      <c r="I137" s="209"/>
      <c r="J137" s="91" t="s">
        <v>66</v>
      </c>
      <c r="K137" s="193" t="s">
        <v>60</v>
      </c>
      <c r="L137" s="99">
        <f t="shared" ref="L137:M137" si="788">IF(L135=0, 0,
  MIN(L135, 10000) * 4 +
  MAX(0, MIN(L135, 20000) - 10000) * 3 +
  MAX(0, MIN(L135, 40000) - 20000) * 2 +
  MAX(0, MIN(L135, 80000) - 40000) * 1 +
  MAX(0, MIN(L135, 100000) - 80000) * 0.5 +
  MAX(0, L135 - 100000) * 0.25
)</f>
        <v>0</v>
      </c>
      <c r="M137" s="94">
        <f t="shared" si="788"/>
        <v>0</v>
      </c>
      <c r="N137" s="95">
        <f t="shared" si="756"/>
        <v>0</v>
      </c>
      <c r="O137" s="96" t="str">
        <f t="shared" si="757"/>
        <v>-</v>
      </c>
      <c r="P137" s="99">
        <f t="shared" ref="P137:Q137" si="789">IF(P135=0, 0,
  MIN(P135, 10000) * 4 +
  MAX(0, MIN(P135, 20000) - 10000) * 3 +
  MAX(0, MIN(P135, 40000) - 20000) * 2 +
  MAX(0, MIN(P135, 80000) - 40000) * 1 +
  MAX(0, MIN(P135, 100000) - 80000) * 0.5 +
  MAX(0, P135 - 100000) * 0.25
)</f>
        <v>0</v>
      </c>
      <c r="Q137" s="94">
        <f t="shared" si="789"/>
        <v>0</v>
      </c>
      <c r="R137" s="95">
        <f t="shared" si="758"/>
        <v>0</v>
      </c>
      <c r="S137" s="98" t="str">
        <f t="shared" si="759"/>
        <v>-</v>
      </c>
      <c r="T137" s="99">
        <f t="shared" ref="T137:U137" si="790">IF(T135=0, 0,
  MIN(T135, 10000) * 4 +
  MAX(0, MIN(T135, 20000) - 10000) * 3 +
  MAX(0, MIN(T135, 40000) - 20000) * 2 +
  MAX(0, MIN(T135, 80000) - 40000) * 1 +
  MAX(0, MIN(T135, 100000) - 80000) * 0.5 +
  MAX(0, T135 - 100000) * 0.25
)</f>
        <v>0</v>
      </c>
      <c r="U137" s="94">
        <f t="shared" si="790"/>
        <v>0</v>
      </c>
      <c r="V137" s="95">
        <f t="shared" si="760"/>
        <v>0</v>
      </c>
      <c r="W137" s="96" t="str">
        <f t="shared" si="761"/>
        <v>-</v>
      </c>
      <c r="X137" s="99">
        <f t="shared" ref="X137:Y137" si="791">IF(X135=0, 0,
  MIN(X135, 10000) * 4 +
  MAX(0, MIN(X135, 20000) - 10000) * 3 +
  MAX(0, MIN(X135, 40000) - 20000) * 2 +
  MAX(0, MIN(X135, 80000) - 40000) * 1 +
  MAX(0, MIN(X135, 100000) - 80000) * 0.5 +
  MAX(0, X135 - 100000) * 0.25
)</f>
        <v>0</v>
      </c>
      <c r="Y137" s="94">
        <f t="shared" si="791"/>
        <v>0</v>
      </c>
      <c r="Z137" s="95">
        <f t="shared" si="762"/>
        <v>0</v>
      </c>
      <c r="AA137" s="96" t="str">
        <f t="shared" si="763"/>
        <v>-</v>
      </c>
      <c r="AB137" s="99">
        <f t="shared" ref="AB137:AC137" si="792">IF(AB135=0, 0,
  MIN(AB135, 10000) * 4 +
  MAX(0, MIN(AB135, 20000) - 10000) * 3 +
  MAX(0, MIN(AB135, 40000) - 20000) * 2 +
  MAX(0, MIN(AB135, 80000) - 40000) * 1 +
  MAX(0, MIN(AB135, 100000) - 80000) * 0.5 +
  MAX(0, AB135 - 100000) * 0.25
)</f>
        <v>0</v>
      </c>
      <c r="AC137" s="94">
        <f t="shared" si="792"/>
        <v>228</v>
      </c>
      <c r="AD137" s="95">
        <f t="shared" si="764"/>
        <v>228</v>
      </c>
      <c r="AE137" s="299" t="str">
        <f t="shared" si="765"/>
        <v>-</v>
      </c>
      <c r="AF137" s="300">
        <f t="shared" ref="AF137:AL137" si="793">IF(AF135=0, 0,
  MIN(AF135, 10000) * 4 +
  MAX(0, MIN(AF135, 20000) - 10000) * 3 +
  MAX(0, MIN(AF135, 40000) - 20000) * 2 +
  MAX(0, MIN(AF135, 80000) - 40000) * 1 +
  MAX(0, MIN(AF135, 100000) - 80000) * 0.5 +
  MAX(0, AF135 - 100000) * 0.25
)</f>
        <v>45643.56436</v>
      </c>
      <c r="AG137" s="301">
        <f t="shared" si="793"/>
        <v>880</v>
      </c>
      <c r="AH137" s="301">
        <f t="shared" si="793"/>
        <v>6052</v>
      </c>
      <c r="AI137" s="301">
        <f t="shared" si="793"/>
        <v>8392</v>
      </c>
      <c r="AJ137" s="301">
        <f t="shared" si="793"/>
        <v>0</v>
      </c>
      <c r="AK137" s="301">
        <f t="shared" si="793"/>
        <v>0</v>
      </c>
      <c r="AL137" s="302">
        <f t="shared" si="793"/>
        <v>15324</v>
      </c>
      <c r="AM137" s="311">
        <f t="shared" si="766"/>
        <v>-30319.56436</v>
      </c>
      <c r="AN137" s="96">
        <f t="shared" si="767"/>
        <v>-0.6642681128</v>
      </c>
      <c r="AO137" s="99">
        <f t="shared" ref="AO137:AP137" si="794">IF(AO135=0, 0,
  MIN(AO135, 10000) * 4 +
  MAX(0, MIN(AO135, 20000) - 10000) * 3 +
  MAX(0, MIN(AO135, 40000) - 20000) * 2 +
  MAX(0, MIN(AO135, 80000) - 40000) * 1 +
  MAX(0, MIN(AO135, 100000) - 80000) * 0.5 +
  MAX(0, AO135 - 100000) * 0.25
)</f>
        <v>67029.70297</v>
      </c>
      <c r="AP137" s="94">
        <f t="shared" si="794"/>
        <v>0</v>
      </c>
      <c r="AQ137" s="95">
        <f t="shared" si="768"/>
        <v>-67029.70297</v>
      </c>
      <c r="AR137" s="96">
        <f t="shared" si="769"/>
        <v>-1</v>
      </c>
      <c r="AS137" s="99">
        <f t="shared" ref="AS137:AT137" si="795">IF(AS135=0, 0,
  MIN(AS135, 10000) * 4 +
  MAX(0, MIN(AS135, 20000) - 10000) * 3 +
  MAX(0, MIN(AS135, 40000) - 20000) * 2 +
  MAX(0, MIN(AS135, 80000) - 40000) * 1 +
  MAX(0, MIN(AS135, 100000) - 80000) * 0.5 +
  MAX(0, AS135 - 100000) * 0.25
)</f>
        <v>77524.75248</v>
      </c>
      <c r="AT137" s="94">
        <f t="shared" si="795"/>
        <v>0</v>
      </c>
      <c r="AU137" s="95">
        <f t="shared" si="770"/>
        <v>-77524.75248</v>
      </c>
      <c r="AV137" s="96">
        <f t="shared" si="771"/>
        <v>-1</v>
      </c>
      <c r="AW137" s="99">
        <f t="shared" ref="AW137:AX137" si="796">IF(AW135=0, 0,
  MIN(AW135, 10000) * 4 +
  MAX(0, MIN(AW135, 20000) - 10000) * 3 +
  MAX(0, MIN(AW135, 40000) - 20000) * 2 +
  MAX(0, MIN(AW135, 80000) - 40000) * 1 +
  MAX(0, MIN(AW135, 100000) - 80000) * 0.5 +
  MAX(0, AW135 - 100000) * 0.25
)</f>
        <v>106039.604</v>
      </c>
      <c r="AX137" s="94">
        <f t="shared" si="796"/>
        <v>0</v>
      </c>
      <c r="AY137" s="95">
        <f t="shared" si="772"/>
        <v>-106039.604</v>
      </c>
      <c r="AZ137" s="96">
        <f t="shared" si="773"/>
        <v>-1</v>
      </c>
      <c r="BA137" s="99">
        <f t="shared" ref="BA137:BB137" si="797">IF(BA135=0, 0,
  MIN(BA135, 10000) * 4 +
  MAX(0, MIN(BA135, 20000) - 10000) * 3 +
  MAX(0, MIN(BA135, 40000) - 20000) * 2 +
  MAX(0, MIN(BA135, 80000) - 40000) * 1 +
  MAX(0, MIN(BA135, 100000) - 80000) * 0.5 +
  MAX(0, BA135 - 100000) * 0.25
)</f>
        <v>117524.7525</v>
      </c>
      <c r="BB137" s="94">
        <f t="shared" si="797"/>
        <v>0</v>
      </c>
      <c r="BC137" s="95">
        <f t="shared" si="774"/>
        <v>-117524.7525</v>
      </c>
      <c r="BD137" s="96">
        <f t="shared" si="775"/>
        <v>-1</v>
      </c>
      <c r="BE137" s="99">
        <f t="shared" ref="BE137:BF137" si="798">IF(BE135=0, 0,
  MIN(BE135, 10000) * 4 +
  MAX(0, MIN(BE135, 20000) - 10000) * 3 +
  MAX(0, MIN(BE135, 40000) - 20000) * 2 +
  MAX(0, MIN(BE135, 80000) - 40000) * 1 +
  MAX(0, MIN(BE135, 100000) - 80000) * 0.5 +
  MAX(0, BE135 - 100000) * 0.25
)</f>
        <v>119900.9901</v>
      </c>
      <c r="BF137" s="94">
        <f t="shared" si="798"/>
        <v>0</v>
      </c>
      <c r="BG137" s="95">
        <f t="shared" si="776"/>
        <v>-119900.9901</v>
      </c>
      <c r="BH137" s="96">
        <f t="shared" si="777"/>
        <v>-1</v>
      </c>
      <c r="BI137" s="94">
        <f t="shared" ref="BI137:BJ137" si="799">IF(BI135=0, 0,
  MIN(BI135, 10000) * 4 +
  MAX(0, MIN(BI135, 20000) - 10000) * 3 +
  MAX(0, MIN(BI135, 40000) - 20000) * 2 +
  MAX(0, MIN(BI135, 80000) - 40000) * 1 +
  MAX(0, MIN(BI135, 100000) - 80000) * 0.5 +
  MAX(0, BI135 - 100000) * 0.25
)</f>
        <v>117524.7525</v>
      </c>
      <c r="BJ137" s="94">
        <f t="shared" si="799"/>
        <v>0</v>
      </c>
      <c r="BK137" s="95">
        <f t="shared" si="778"/>
        <v>-117524.7525</v>
      </c>
      <c r="BL137" s="98">
        <f t="shared" si="779"/>
        <v>-1</v>
      </c>
      <c r="BM137" s="100">
        <f t="shared" ref="BM137:BN137" si="800">SUM(L137,P137,T137,X137,AB137,AF137,AO137,AS137,AW137,BA137,BE137,BI137)</f>
        <v>651188.1188</v>
      </c>
      <c r="BN137" s="101">
        <f t="shared" si="800"/>
        <v>1108</v>
      </c>
      <c r="BO137" s="102">
        <f t="shared" si="781"/>
        <v>-0.9982984948</v>
      </c>
      <c r="BP137" s="103"/>
      <c r="BQ137" s="104"/>
      <c r="BR137" s="214"/>
      <c r="BS137" s="25"/>
      <c r="BT137" s="25"/>
      <c r="BU137" s="25"/>
      <c r="BV137" s="25"/>
      <c r="BW137" s="25"/>
    </row>
    <row r="138" ht="15.75" customHeight="1">
      <c r="A138" s="25"/>
      <c r="B138" s="203"/>
      <c r="C138" s="195"/>
      <c r="D138" s="204"/>
      <c r="E138" s="205"/>
      <c r="F138" s="206"/>
      <c r="G138" s="207"/>
      <c r="H138" s="208"/>
      <c r="I138" s="209"/>
      <c r="J138" s="3"/>
      <c r="K138" s="3"/>
      <c r="L138" s="3"/>
      <c r="M138" s="3"/>
      <c r="N138" s="3"/>
      <c r="O138" s="3"/>
      <c r="P138" s="3"/>
      <c r="Q138" s="3"/>
      <c r="R138" s="3"/>
      <c r="S138" s="3"/>
      <c r="T138" s="3"/>
      <c r="U138" s="3"/>
      <c r="V138" s="3"/>
      <c r="W138" s="3"/>
      <c r="X138" s="3"/>
      <c r="Y138" s="3"/>
      <c r="Z138" s="3"/>
      <c r="AA138" s="215"/>
      <c r="AB138" s="25"/>
      <c r="AC138" s="25"/>
      <c r="AD138" s="25"/>
      <c r="AE138" s="25"/>
      <c r="AF138" s="25"/>
      <c r="AG138" s="25"/>
      <c r="AH138" s="25"/>
      <c r="AI138" s="25"/>
      <c r="AJ138" s="25"/>
      <c r="AK138" s="25"/>
      <c r="AL138" s="25"/>
      <c r="AM138" s="25"/>
      <c r="AN138" s="25"/>
      <c r="AO138" s="25"/>
      <c r="AP138" s="25"/>
      <c r="AQ138" s="25"/>
      <c r="AR138" s="25"/>
      <c r="AV138" s="138"/>
      <c r="AW138" s="25"/>
      <c r="AX138" s="139"/>
      <c r="AY138" s="25"/>
    </row>
    <row r="139" ht="15.75" customHeight="1">
      <c r="A139" s="3"/>
      <c r="B139" s="3"/>
      <c r="C139" s="3"/>
      <c r="D139" s="3"/>
      <c r="E139" s="3"/>
      <c r="F139" s="3"/>
      <c r="G139" s="3"/>
      <c r="H139" s="3"/>
      <c r="I139" s="3"/>
      <c r="J139" s="216" t="s">
        <v>101</v>
      </c>
      <c r="K139" s="217"/>
      <c r="L139" s="142" t="s">
        <v>10</v>
      </c>
      <c r="M139" s="37" t="s">
        <v>11</v>
      </c>
      <c r="N139" s="38" t="s">
        <v>12</v>
      </c>
      <c r="O139" s="39" t="s">
        <v>13</v>
      </c>
      <c r="P139" s="141" t="s">
        <v>14</v>
      </c>
      <c r="Q139" s="152" t="s">
        <v>15</v>
      </c>
      <c r="R139" s="38" t="s">
        <v>16</v>
      </c>
      <c r="S139" s="42" t="s">
        <v>17</v>
      </c>
      <c r="T139" s="142" t="s">
        <v>18</v>
      </c>
      <c r="U139" s="152" t="s">
        <v>90</v>
      </c>
      <c r="V139" s="38" t="s">
        <v>20</v>
      </c>
      <c r="W139" s="45" t="s">
        <v>91</v>
      </c>
      <c r="X139" s="141" t="s">
        <v>22</v>
      </c>
      <c r="Y139" s="152" t="s">
        <v>92</v>
      </c>
      <c r="Z139" s="38" t="s">
        <v>24</v>
      </c>
      <c r="AA139" s="45" t="s">
        <v>91</v>
      </c>
      <c r="AB139" s="142" t="s">
        <v>26</v>
      </c>
      <c r="AC139" s="152" t="s">
        <v>27</v>
      </c>
      <c r="AD139" s="38" t="s">
        <v>28</v>
      </c>
      <c r="AE139" s="45" t="s">
        <v>29</v>
      </c>
      <c r="AF139" s="141" t="s">
        <v>30</v>
      </c>
      <c r="AG139" s="261" t="s">
        <v>107</v>
      </c>
      <c r="AH139" s="262" t="s">
        <v>108</v>
      </c>
      <c r="AI139" s="262" t="s">
        <v>109</v>
      </c>
      <c r="AJ139" s="262" t="s">
        <v>110</v>
      </c>
      <c r="AK139" s="262" t="s">
        <v>111</v>
      </c>
      <c r="AL139" s="262" t="s">
        <v>31</v>
      </c>
      <c r="AM139" s="38" t="s">
        <v>32</v>
      </c>
      <c r="AN139" s="45" t="s">
        <v>33</v>
      </c>
      <c r="AO139" s="142" t="s">
        <v>34</v>
      </c>
      <c r="AP139" s="152" t="s">
        <v>35</v>
      </c>
      <c r="AQ139" s="38" t="s">
        <v>36</v>
      </c>
      <c r="AR139" s="45" t="s">
        <v>37</v>
      </c>
      <c r="AS139" s="141" t="s">
        <v>38</v>
      </c>
      <c r="AT139" s="152" t="s">
        <v>39</v>
      </c>
      <c r="AU139" s="38" t="s">
        <v>40</v>
      </c>
      <c r="AV139" s="45" t="s">
        <v>41</v>
      </c>
      <c r="AW139" s="142" t="s">
        <v>42</v>
      </c>
      <c r="AX139" s="152" t="s">
        <v>43</v>
      </c>
      <c r="AY139" s="38" t="s">
        <v>44</v>
      </c>
      <c r="AZ139" s="45" t="s">
        <v>45</v>
      </c>
      <c r="BA139" s="218" t="s">
        <v>46</v>
      </c>
      <c r="BB139" s="152" t="s">
        <v>47</v>
      </c>
      <c r="BC139" s="38" t="s">
        <v>48</v>
      </c>
      <c r="BD139" s="45" t="s">
        <v>49</v>
      </c>
      <c r="BE139" s="164" t="s">
        <v>50</v>
      </c>
      <c r="BF139" s="152" t="s">
        <v>51</v>
      </c>
      <c r="BG139" s="38" t="s">
        <v>52</v>
      </c>
      <c r="BH139" s="45" t="s">
        <v>53</v>
      </c>
      <c r="BI139" s="219" t="s">
        <v>54</v>
      </c>
      <c r="BJ139" s="152" t="s">
        <v>55</v>
      </c>
      <c r="BK139" s="38" t="s">
        <v>56</v>
      </c>
      <c r="BL139" s="42" t="s">
        <v>57</v>
      </c>
      <c r="BM139" s="220">
        <v>2026.0</v>
      </c>
      <c r="BN139" s="37" t="s">
        <v>58</v>
      </c>
      <c r="BO139" s="47" t="s">
        <v>59</v>
      </c>
      <c r="BP139" s="48">
        <v>2025.0</v>
      </c>
      <c r="BQ139" s="221"/>
      <c r="BR139" s="3"/>
      <c r="BS139" s="3"/>
      <c r="BT139" s="3"/>
      <c r="BU139" s="3"/>
      <c r="BV139" s="3"/>
      <c r="BW139" s="3"/>
    </row>
    <row r="140" ht="15.75" customHeight="1">
      <c r="A140" s="3"/>
      <c r="B140" s="3"/>
      <c r="C140" s="3"/>
      <c r="D140" s="3"/>
      <c r="E140" s="3"/>
      <c r="F140" s="3"/>
      <c r="G140" s="3"/>
      <c r="H140" s="3"/>
      <c r="I140" s="3"/>
      <c r="J140" s="263" t="s">
        <v>112</v>
      </c>
      <c r="K140" s="338"/>
      <c r="L140" s="265"/>
      <c r="M140" s="266"/>
      <c r="N140" s="267"/>
      <c r="O140" s="268"/>
      <c r="P140" s="265"/>
      <c r="Q140" s="307"/>
      <c r="R140" s="267"/>
      <c r="S140" s="270"/>
      <c r="T140" s="265"/>
      <c r="U140" s="272"/>
      <c r="V140" s="267"/>
      <c r="W140" s="268"/>
      <c r="X140" s="265"/>
      <c r="Y140" s="272"/>
      <c r="Z140" s="267"/>
      <c r="AA140" s="268"/>
      <c r="AB140" s="265"/>
      <c r="AC140" s="272"/>
      <c r="AD140" s="267"/>
      <c r="AE140" s="268"/>
      <c r="AF140" s="265"/>
      <c r="AG140" s="339" t="s">
        <v>113</v>
      </c>
      <c r="AH140" s="339" t="s">
        <v>113</v>
      </c>
      <c r="AI140" s="339" t="s">
        <v>113</v>
      </c>
      <c r="AJ140" s="339" t="s">
        <v>113</v>
      </c>
      <c r="AK140" s="339" t="s">
        <v>113</v>
      </c>
      <c r="AL140" s="273"/>
      <c r="AM140" s="267"/>
      <c r="AN140" s="268"/>
      <c r="AO140" s="265"/>
      <c r="AP140" s="272"/>
      <c r="AQ140" s="267"/>
      <c r="AR140" s="268"/>
      <c r="AS140" s="265"/>
      <c r="AT140" s="272"/>
      <c r="AU140" s="267"/>
      <c r="AV140" s="268"/>
      <c r="AW140" s="265"/>
      <c r="AX140" s="272"/>
      <c r="AY140" s="267"/>
      <c r="AZ140" s="268"/>
      <c r="BA140" s="271"/>
      <c r="BB140" s="272"/>
      <c r="BC140" s="267"/>
      <c r="BD140" s="268"/>
      <c r="BE140" s="271"/>
      <c r="BF140" s="272"/>
      <c r="BG140" s="267"/>
      <c r="BH140" s="268"/>
      <c r="BI140" s="308"/>
      <c r="BJ140" s="272"/>
      <c r="BK140" s="267"/>
      <c r="BL140" s="270"/>
      <c r="BM140" s="275"/>
      <c r="BN140" s="276"/>
      <c r="BO140" s="277"/>
      <c r="BP140" s="278"/>
      <c r="BQ140" s="224"/>
      <c r="BR140" s="3"/>
      <c r="BS140" s="3"/>
      <c r="BT140" s="3"/>
      <c r="BU140" s="3"/>
      <c r="BV140" s="3"/>
      <c r="BW140" s="3"/>
    </row>
    <row r="141" ht="15.75" customHeight="1">
      <c r="A141" s="3"/>
      <c r="B141" s="3"/>
      <c r="C141" s="3"/>
      <c r="D141" s="3"/>
      <c r="E141" s="3"/>
      <c r="F141" s="3"/>
      <c r="G141" s="3"/>
      <c r="H141" s="3"/>
      <c r="I141" s="3"/>
      <c r="J141" s="222" t="s">
        <v>61</v>
      </c>
      <c r="K141" s="223"/>
      <c r="L141" s="52" t="s">
        <v>60</v>
      </c>
      <c r="M141" s="53" t="s">
        <v>60</v>
      </c>
      <c r="N141" s="54" t="s">
        <v>60</v>
      </c>
      <c r="O141" s="55" t="s">
        <v>62</v>
      </c>
      <c r="P141" s="52" t="s">
        <v>60</v>
      </c>
      <c r="Q141" s="154" t="s">
        <v>60</v>
      </c>
      <c r="R141" s="54" t="s">
        <v>60</v>
      </c>
      <c r="S141" s="57" t="s">
        <v>62</v>
      </c>
      <c r="T141" s="52" t="s">
        <v>60</v>
      </c>
      <c r="U141" s="59" t="s">
        <v>60</v>
      </c>
      <c r="V141" s="54" t="s">
        <v>60</v>
      </c>
      <c r="W141" s="55" t="s">
        <v>62</v>
      </c>
      <c r="X141" s="52" t="s">
        <v>60</v>
      </c>
      <c r="Y141" s="59" t="s">
        <v>60</v>
      </c>
      <c r="Z141" s="54" t="s">
        <v>60</v>
      </c>
      <c r="AA141" s="55" t="s">
        <v>62</v>
      </c>
      <c r="AB141" s="52" t="s">
        <v>60</v>
      </c>
      <c r="AC141" s="59" t="s">
        <v>60</v>
      </c>
      <c r="AD141" s="54" t="s">
        <v>60</v>
      </c>
      <c r="AE141" s="55" t="s">
        <v>62</v>
      </c>
      <c r="AF141" s="52" t="s">
        <v>60</v>
      </c>
      <c r="AG141" s="59" t="s">
        <v>60</v>
      </c>
      <c r="AH141" s="59" t="s">
        <v>60</v>
      </c>
      <c r="AI141" s="59" t="s">
        <v>60</v>
      </c>
      <c r="AJ141" s="59" t="s">
        <v>60</v>
      </c>
      <c r="AK141" s="59" t="s">
        <v>60</v>
      </c>
      <c r="AL141" s="279">
        <f t="shared" ref="AL141:AL143" si="801">SUM(AG141:AK141)</f>
        <v>0</v>
      </c>
      <c r="AM141" s="280" t="str">
        <f t="shared" ref="AM141:AM145" si="802">IFERROR(AL141-AF141,"-")</f>
        <v>-</v>
      </c>
      <c r="AN141" s="55" t="s">
        <v>62</v>
      </c>
      <c r="AO141" s="52" t="s">
        <v>60</v>
      </c>
      <c r="AP141" s="59" t="s">
        <v>60</v>
      </c>
      <c r="AQ141" s="54" t="s">
        <v>60</v>
      </c>
      <c r="AR141" s="55" t="s">
        <v>62</v>
      </c>
      <c r="AS141" s="52" t="s">
        <v>60</v>
      </c>
      <c r="AT141" s="59" t="s">
        <v>60</v>
      </c>
      <c r="AU141" s="54" t="s">
        <v>60</v>
      </c>
      <c r="AV141" s="55" t="s">
        <v>62</v>
      </c>
      <c r="AW141" s="52" t="s">
        <v>60</v>
      </c>
      <c r="AX141" s="59" t="s">
        <v>60</v>
      </c>
      <c r="AY141" s="54" t="s">
        <v>60</v>
      </c>
      <c r="AZ141" s="55" t="s">
        <v>62</v>
      </c>
      <c r="BA141" s="58">
        <v>0.2</v>
      </c>
      <c r="BB141" s="59">
        <f>BB142/(BM142-(L142+P142+T142+X142+AB142+AF142+AO142+AS142+AW142))</f>
        <v>0</v>
      </c>
      <c r="BC141" s="54" t="s">
        <v>60</v>
      </c>
      <c r="BD141" s="55" t="s">
        <v>62</v>
      </c>
      <c r="BE141" s="58">
        <v>0.3</v>
      </c>
      <c r="BF141" s="59">
        <f>BF142/(BM142-(L142+P142+T142+X142+AB142+AF142+AO142+AS142+AW142))</f>
        <v>0</v>
      </c>
      <c r="BG141" s="54" t="s">
        <v>60</v>
      </c>
      <c r="BH141" s="55" t="s">
        <v>62</v>
      </c>
      <c r="BI141" s="155">
        <v>0.5</v>
      </c>
      <c r="BJ141" s="59">
        <f>BJ142/(BM142-(L142+P142+T142+X142++AB142+AF142+AO142+AS142+AW142))</f>
        <v>0</v>
      </c>
      <c r="BK141" s="54" t="s">
        <v>60</v>
      </c>
      <c r="BL141" s="57" t="s">
        <v>62</v>
      </c>
      <c r="BM141" s="60">
        <f>SUM(BA141,BE141,BI141)</f>
        <v>1</v>
      </c>
      <c r="BN141" s="61">
        <f>SUM(AG141,AP141,AT141,AX141,BB141,BF141,BJ141)</f>
        <v>0</v>
      </c>
      <c r="BO141" s="62"/>
      <c r="BP141" s="63" t="s">
        <v>60</v>
      </c>
      <c r="BQ141" s="224"/>
      <c r="BR141" s="3"/>
      <c r="BS141" s="3"/>
      <c r="BT141" s="3"/>
      <c r="BU141" s="3"/>
      <c r="BV141" s="3"/>
      <c r="BW141" s="3"/>
    </row>
    <row r="142" ht="15.75" customHeight="1">
      <c r="J142" s="222" t="s">
        <v>63</v>
      </c>
      <c r="K142" s="223"/>
      <c r="L142" s="225">
        <v>0.0</v>
      </c>
      <c r="M142" s="66">
        <v>0.0</v>
      </c>
      <c r="N142" s="67">
        <f t="shared" ref="N142:N145" si="803">IFERROR(M142-L142,"-")</f>
        <v>0</v>
      </c>
      <c r="O142" s="68" t="str">
        <f t="shared" ref="O142:O145" si="804">IFERROR(M142/L142-1,"-")</f>
        <v>-</v>
      </c>
      <c r="P142" s="225">
        <v>0.0</v>
      </c>
      <c r="Q142" s="66">
        <v>0.0</v>
      </c>
      <c r="R142" s="67">
        <f t="shared" ref="R142:R145" si="805">IFERROR(Q142-P142,"-")</f>
        <v>0</v>
      </c>
      <c r="S142" s="70" t="str">
        <f t="shared" ref="S142:S145" si="806">IFERROR(Q142/P142-1,"-")</f>
        <v>-</v>
      </c>
      <c r="T142" s="226">
        <v>0.0</v>
      </c>
      <c r="U142" s="66">
        <v>0.0</v>
      </c>
      <c r="V142" s="67">
        <f t="shared" ref="V142:V145" si="807">IFERROR(U142-T142,"-")</f>
        <v>0</v>
      </c>
      <c r="W142" s="68" t="str">
        <f t="shared" ref="W142:W145" si="808">IFERROR(U142/T142-1,"-")</f>
        <v>-</v>
      </c>
      <c r="X142" s="226">
        <v>0.0</v>
      </c>
      <c r="Y142" s="66">
        <v>0.0</v>
      </c>
      <c r="Z142" s="67">
        <f t="shared" ref="Z142:Z145" si="809">IFERROR(Y142-X142,"-")</f>
        <v>0</v>
      </c>
      <c r="AA142" s="68" t="str">
        <f t="shared" ref="AA142:AA145" si="810">IFERROR(Y142/X142-1,"-")</f>
        <v>-</v>
      </c>
      <c r="AB142" s="226">
        <v>0.0</v>
      </c>
      <c r="AC142" s="66">
        <v>0.0</v>
      </c>
      <c r="AD142" s="67">
        <f t="shared" ref="AD142:AD145" si="811">IFERROR(AC142-AB142,"-")</f>
        <v>0</v>
      </c>
      <c r="AE142" s="68" t="str">
        <f t="shared" ref="AE142:AE145" si="812">IFERROR(AC142/AB142-1,"-")</f>
        <v>-</v>
      </c>
      <c r="AF142" s="226">
        <v>0.0</v>
      </c>
      <c r="AG142" s="66">
        <v>0.0</v>
      </c>
      <c r="AH142" s="66">
        <v>0.0</v>
      </c>
      <c r="AI142" s="66">
        <v>0.0</v>
      </c>
      <c r="AJ142" s="66">
        <v>0.0</v>
      </c>
      <c r="AK142" s="66">
        <v>0.0</v>
      </c>
      <c r="AL142" s="283">
        <f t="shared" si="801"/>
        <v>0</v>
      </c>
      <c r="AM142" s="67">
        <f t="shared" si="802"/>
        <v>0</v>
      </c>
      <c r="AN142" s="68" t="str">
        <f t="shared" ref="AN142:AN145" si="813">IFERROR(AL142/AF142-1,"-")</f>
        <v>-</v>
      </c>
      <c r="AO142" s="226">
        <v>0.0</v>
      </c>
      <c r="AP142" s="66">
        <v>0.0</v>
      </c>
      <c r="AQ142" s="67">
        <f t="shared" ref="AQ142:AQ145" si="814">IFERROR(AP142-AO142,"-")</f>
        <v>0</v>
      </c>
      <c r="AR142" s="68" t="str">
        <f t="shared" ref="AR142:AR145" si="815">IFERROR(AP142/AO142-1,"-")</f>
        <v>-</v>
      </c>
      <c r="AS142" s="226">
        <v>0.0</v>
      </c>
      <c r="AT142" s="66">
        <v>0.0</v>
      </c>
      <c r="AU142" s="67">
        <f t="shared" ref="AU142:AU145" si="816">IFERROR(AT142-AS142,"-")</f>
        <v>0</v>
      </c>
      <c r="AV142" s="68" t="str">
        <f t="shared" ref="AV142:AV145" si="817">IFERROR(AT142/AS142-1,"-")</f>
        <v>-</v>
      </c>
      <c r="AW142" s="226">
        <v>0.0</v>
      </c>
      <c r="AX142" s="66">
        <v>0.0</v>
      </c>
      <c r="AY142" s="67">
        <f t="shared" ref="AY142:AY145" si="818">IFERROR(AX142-AW142,"-")</f>
        <v>0</v>
      </c>
      <c r="AZ142" s="68" t="str">
        <f t="shared" ref="AZ142:AZ145" si="819">IFERROR(AX142/AW142-1,"-")</f>
        <v>-</v>
      </c>
      <c r="BA142" s="227">
        <f>BA141*BM142</f>
        <v>18000</v>
      </c>
      <c r="BB142" s="66">
        <v>0.0</v>
      </c>
      <c r="BC142" s="67">
        <f t="shared" ref="BC142:BC145" si="820">IFERROR(BB142-BA142,"-")</f>
        <v>-18000</v>
      </c>
      <c r="BD142" s="68">
        <f t="shared" ref="BD142:BD145" si="821">IFERROR(BB142/BA142-1,"-")</f>
        <v>-1</v>
      </c>
      <c r="BE142" s="227">
        <f>BE141*BP142</f>
        <v>106979.784</v>
      </c>
      <c r="BF142" s="66">
        <v>0.0</v>
      </c>
      <c r="BG142" s="67">
        <f t="shared" ref="BG142:BG145" si="822">IFERROR(BF142-BE142,"-")</f>
        <v>-106979.784</v>
      </c>
      <c r="BH142" s="68">
        <f t="shared" ref="BH142:BH145" si="823">IFERROR(BF142/BE142-1,"-")</f>
        <v>-1</v>
      </c>
      <c r="BI142" s="228">
        <f>BI141*BM142</f>
        <v>45000</v>
      </c>
      <c r="BJ142" s="66">
        <v>0.0</v>
      </c>
      <c r="BK142" s="67">
        <f t="shared" ref="BK142:BK145" si="824">IFERROR(BJ142-BI142,"-")</f>
        <v>-45000</v>
      </c>
      <c r="BL142" s="70">
        <f t="shared" ref="BL142:BL145" si="825">IFERROR(BJ142/BI142-1,"-")</f>
        <v>-1</v>
      </c>
      <c r="BM142" s="229">
        <v>90000.0</v>
      </c>
      <c r="BN142" s="75">
        <f t="shared" ref="BN142:BN143" si="826">SUM(M142,Q142,U142,Y142,AC142,AG142,AP142,AT142,AX142,BB142,BF142,BJ142)</f>
        <v>0</v>
      </c>
      <c r="BO142" s="76">
        <f t="shared" ref="BO142:BO145" si="827">IFERROR(BN142/BM142-1,"-")</f>
        <v>-1</v>
      </c>
      <c r="BP142" s="77">
        <v>356599.28</v>
      </c>
      <c r="BQ142" s="78">
        <f t="shared" ref="BQ142:BQ143" si="828">BM142/BP142</f>
        <v>0.2523841327</v>
      </c>
      <c r="BR142" s="3"/>
      <c r="BS142" s="3"/>
      <c r="BT142" s="3"/>
      <c r="BU142" s="3"/>
      <c r="BV142" s="3"/>
    </row>
    <row r="143" ht="15.75" customHeight="1">
      <c r="J143" s="222" t="s">
        <v>64</v>
      </c>
      <c r="K143" s="230"/>
      <c r="L143" s="231">
        <f>L142/$K$144</f>
        <v>0</v>
      </c>
      <c r="M143" s="81">
        <v>0.0</v>
      </c>
      <c r="N143" s="82">
        <f t="shared" si="803"/>
        <v>0</v>
      </c>
      <c r="O143" s="68" t="str">
        <f t="shared" si="804"/>
        <v>-</v>
      </c>
      <c r="P143" s="231">
        <f>P142/$K$144</f>
        <v>0</v>
      </c>
      <c r="Q143" s="81">
        <v>0.0</v>
      </c>
      <c r="R143" s="82">
        <f t="shared" si="805"/>
        <v>0</v>
      </c>
      <c r="S143" s="70" t="str">
        <f t="shared" si="806"/>
        <v>-</v>
      </c>
      <c r="T143" s="231">
        <f>T142/$K$144</f>
        <v>0</v>
      </c>
      <c r="U143" s="81">
        <v>0.0</v>
      </c>
      <c r="V143" s="82">
        <f t="shared" si="807"/>
        <v>0</v>
      </c>
      <c r="W143" s="68" t="str">
        <f t="shared" si="808"/>
        <v>-</v>
      </c>
      <c r="X143" s="231">
        <f>X142/$K$144</f>
        <v>0</v>
      </c>
      <c r="Y143" s="81">
        <v>0.0</v>
      </c>
      <c r="Z143" s="82">
        <f t="shared" si="809"/>
        <v>0</v>
      </c>
      <c r="AA143" s="68" t="str">
        <f t="shared" si="810"/>
        <v>-</v>
      </c>
      <c r="AB143" s="231">
        <f>AB142/$K$144</f>
        <v>0</v>
      </c>
      <c r="AC143" s="81">
        <v>0.0</v>
      </c>
      <c r="AD143" s="82">
        <f t="shared" si="811"/>
        <v>0</v>
      </c>
      <c r="AE143" s="68" t="str">
        <f t="shared" si="812"/>
        <v>-</v>
      </c>
      <c r="AF143" s="231">
        <f>AF142/$K$144</f>
        <v>0</v>
      </c>
      <c r="AG143" s="81">
        <v>0.0</v>
      </c>
      <c r="AH143" s="81">
        <v>0.0</v>
      </c>
      <c r="AI143" s="81">
        <v>0.0</v>
      </c>
      <c r="AJ143" s="81">
        <v>0.0</v>
      </c>
      <c r="AK143" s="81">
        <v>0.0</v>
      </c>
      <c r="AL143" s="286">
        <f t="shared" si="801"/>
        <v>0</v>
      </c>
      <c r="AM143" s="82">
        <f t="shared" si="802"/>
        <v>0</v>
      </c>
      <c r="AN143" s="68" t="str">
        <f t="shared" si="813"/>
        <v>-</v>
      </c>
      <c r="AO143" s="231">
        <f>AO142/$K$144</f>
        <v>0</v>
      </c>
      <c r="AP143" s="81">
        <v>0.0</v>
      </c>
      <c r="AQ143" s="82">
        <f t="shared" si="814"/>
        <v>0</v>
      </c>
      <c r="AR143" s="68" t="str">
        <f t="shared" si="815"/>
        <v>-</v>
      </c>
      <c r="AS143" s="231">
        <f>AS142/$K$144</f>
        <v>0</v>
      </c>
      <c r="AT143" s="81">
        <v>0.0</v>
      </c>
      <c r="AU143" s="82">
        <f t="shared" si="816"/>
        <v>0</v>
      </c>
      <c r="AV143" s="68" t="str">
        <f t="shared" si="817"/>
        <v>-</v>
      </c>
      <c r="AW143" s="231">
        <f>AW142/$K$144</f>
        <v>0</v>
      </c>
      <c r="AX143" s="81">
        <v>0.0</v>
      </c>
      <c r="AY143" s="82">
        <f t="shared" si="818"/>
        <v>0</v>
      </c>
      <c r="AZ143" s="68" t="str">
        <f t="shared" si="819"/>
        <v>-</v>
      </c>
      <c r="BA143" s="232">
        <f>BA142/'planej.OPS-OTIMISTA_26'!$K$102</f>
        <v>178.2178218</v>
      </c>
      <c r="BB143" s="81">
        <v>0.0</v>
      </c>
      <c r="BC143" s="82">
        <f t="shared" si="820"/>
        <v>-178.2178218</v>
      </c>
      <c r="BD143" s="68">
        <f t="shared" si="821"/>
        <v>-1</v>
      </c>
      <c r="BE143" s="232">
        <f>BE142/'planej.OPS-OTIMISTA_26'!$K$102</f>
        <v>1059.205782</v>
      </c>
      <c r="BF143" s="81">
        <v>0.0</v>
      </c>
      <c r="BG143" s="82">
        <f t="shared" si="822"/>
        <v>-1059.205782</v>
      </c>
      <c r="BH143" s="68">
        <f t="shared" si="823"/>
        <v>-1</v>
      </c>
      <c r="BI143" s="233">
        <f>BI142/'planej.OPS-OTIMISTA_26'!$K$102</f>
        <v>445.5445545</v>
      </c>
      <c r="BJ143" s="81">
        <v>0.0</v>
      </c>
      <c r="BK143" s="82">
        <f t="shared" si="824"/>
        <v>-445.5445545</v>
      </c>
      <c r="BL143" s="70">
        <f t="shared" si="825"/>
        <v>-1</v>
      </c>
      <c r="BM143" s="156">
        <f>SUM(L143,T143,X143,AB143,AF143,AO143,AS143,AW143,BA143,BE143,BI143)</f>
        <v>1682.968158</v>
      </c>
      <c r="BN143" s="87">
        <f t="shared" si="826"/>
        <v>0</v>
      </c>
      <c r="BO143" s="76">
        <f t="shared" si="827"/>
        <v>-1</v>
      </c>
      <c r="BP143" s="88">
        <v>11282.0</v>
      </c>
      <c r="BQ143" s="78">
        <f t="shared" si="828"/>
        <v>0.1491728557</v>
      </c>
      <c r="BR143" s="3"/>
      <c r="BS143" s="3"/>
      <c r="BT143" s="3"/>
      <c r="BU143" s="3"/>
      <c r="BV143" s="3"/>
    </row>
    <row r="144" ht="15.75" customHeight="1">
      <c r="J144" s="50" t="s">
        <v>65</v>
      </c>
      <c r="K144" s="230">
        <v>120.0</v>
      </c>
      <c r="L144" s="65" t="str">
        <f t="shared" ref="L144:M144" si="829">IFERROR(L142/L143,"-")</f>
        <v>-</v>
      </c>
      <c r="M144" s="66" t="str">
        <f t="shared" si="829"/>
        <v>-</v>
      </c>
      <c r="N144" s="67" t="str">
        <f t="shared" si="803"/>
        <v>-</v>
      </c>
      <c r="O144" s="68" t="str">
        <f t="shared" si="804"/>
        <v>-</v>
      </c>
      <c r="P144" s="65" t="str">
        <f t="shared" ref="P144:Q144" si="830">IFERROR(P142/P143,"-")</f>
        <v>-</v>
      </c>
      <c r="Q144" s="66" t="str">
        <f t="shared" si="830"/>
        <v>-</v>
      </c>
      <c r="R144" s="67" t="str">
        <f t="shared" si="805"/>
        <v>-</v>
      </c>
      <c r="S144" s="70" t="str">
        <f t="shared" si="806"/>
        <v>-</v>
      </c>
      <c r="T144" s="65" t="str">
        <f t="shared" ref="T144:U144" si="831">IFERROR(T142/T143,"-")</f>
        <v>-</v>
      </c>
      <c r="U144" s="66" t="str">
        <f t="shared" si="831"/>
        <v>-</v>
      </c>
      <c r="V144" s="67" t="str">
        <f t="shared" si="807"/>
        <v>-</v>
      </c>
      <c r="W144" s="68" t="str">
        <f t="shared" si="808"/>
        <v>-</v>
      </c>
      <c r="X144" s="65" t="str">
        <f t="shared" ref="X144:Y144" si="832">IFERROR(X142/X143,"-")</f>
        <v>-</v>
      </c>
      <c r="Y144" s="66" t="str">
        <f t="shared" si="832"/>
        <v>-</v>
      </c>
      <c r="Z144" s="67" t="str">
        <f t="shared" si="809"/>
        <v>-</v>
      </c>
      <c r="AA144" s="68" t="str">
        <f t="shared" si="810"/>
        <v>-</v>
      </c>
      <c r="AB144" s="65" t="str">
        <f t="shared" ref="AB144:AC144" si="833">IFERROR(AB142/AB143,"-")</f>
        <v>-</v>
      </c>
      <c r="AC144" s="66" t="str">
        <f t="shared" si="833"/>
        <v>-</v>
      </c>
      <c r="AD144" s="67" t="str">
        <f t="shared" si="811"/>
        <v>-</v>
      </c>
      <c r="AE144" s="68" t="str">
        <f t="shared" si="812"/>
        <v>-</v>
      </c>
      <c r="AF144" s="340" t="str">
        <f t="shared" ref="AF144:AL144" si="834">IFERROR(AF142/AF143,"-")</f>
        <v>-</v>
      </c>
      <c r="AG144" s="296" t="str">
        <f t="shared" si="834"/>
        <v>-</v>
      </c>
      <c r="AH144" s="296" t="str">
        <f t="shared" si="834"/>
        <v>-</v>
      </c>
      <c r="AI144" s="296" t="str">
        <f t="shared" si="834"/>
        <v>-</v>
      </c>
      <c r="AJ144" s="296" t="str">
        <f t="shared" si="834"/>
        <v>-</v>
      </c>
      <c r="AK144" s="296" t="str">
        <f t="shared" si="834"/>
        <v>-</v>
      </c>
      <c r="AL144" s="298" t="str">
        <f t="shared" si="834"/>
        <v>-</v>
      </c>
      <c r="AM144" s="67" t="str">
        <f t="shared" si="802"/>
        <v>-</v>
      </c>
      <c r="AN144" s="68" t="str">
        <f t="shared" si="813"/>
        <v>-</v>
      </c>
      <c r="AO144" s="65" t="str">
        <f t="shared" ref="AO144:AP144" si="835">IFERROR(AO142/AO143,"-")</f>
        <v>-</v>
      </c>
      <c r="AP144" s="66" t="str">
        <f t="shared" si="835"/>
        <v>-</v>
      </c>
      <c r="AQ144" s="67" t="str">
        <f t="shared" si="814"/>
        <v>-</v>
      </c>
      <c r="AR144" s="68" t="str">
        <f t="shared" si="815"/>
        <v>-</v>
      </c>
      <c r="AS144" s="65" t="str">
        <f t="shared" ref="AS144:AT144" si="836">IFERROR(AS142/AS143,"-")</f>
        <v>-</v>
      </c>
      <c r="AT144" s="66" t="str">
        <f t="shared" si="836"/>
        <v>-</v>
      </c>
      <c r="AU144" s="67" t="str">
        <f t="shared" si="816"/>
        <v>-</v>
      </c>
      <c r="AV144" s="68" t="str">
        <f t="shared" si="817"/>
        <v>-</v>
      </c>
      <c r="AW144" s="65" t="str">
        <f t="shared" ref="AW144:AX144" si="837">IFERROR(AW142/AW143,"-")</f>
        <v>-</v>
      </c>
      <c r="AX144" s="66" t="str">
        <f t="shared" si="837"/>
        <v>-</v>
      </c>
      <c r="AY144" s="67" t="str">
        <f t="shared" si="818"/>
        <v>-</v>
      </c>
      <c r="AZ144" s="68" t="str">
        <f t="shared" si="819"/>
        <v>-</v>
      </c>
      <c r="BA144" s="232">
        <f>BA142/BA143</f>
        <v>101</v>
      </c>
      <c r="BB144" s="66" t="str">
        <f>IFERROR(BB142/BB143,"-")</f>
        <v>-</v>
      </c>
      <c r="BC144" s="67" t="str">
        <f t="shared" si="820"/>
        <v>-</v>
      </c>
      <c r="BD144" s="68" t="str">
        <f t="shared" si="821"/>
        <v>-</v>
      </c>
      <c r="BE144" s="232">
        <f>BE142/BE143</f>
        <v>101</v>
      </c>
      <c r="BF144" s="66" t="str">
        <f>IFERROR(BF142/BF143,"-")</f>
        <v>-</v>
      </c>
      <c r="BG144" s="67" t="str">
        <f t="shared" si="822"/>
        <v>-</v>
      </c>
      <c r="BH144" s="68" t="str">
        <f t="shared" si="823"/>
        <v>-</v>
      </c>
      <c r="BI144" s="233">
        <f>BI142/BI143</f>
        <v>101</v>
      </c>
      <c r="BJ144" s="66" t="str">
        <f>IFERROR(BJ142/BJ143,"-")</f>
        <v>-</v>
      </c>
      <c r="BK144" s="67" t="str">
        <f t="shared" si="824"/>
        <v>-</v>
      </c>
      <c r="BL144" s="70" t="str">
        <f t="shared" si="825"/>
        <v>-</v>
      </c>
      <c r="BM144" s="86">
        <f>BM142/BM143</f>
        <v>53.47694759</v>
      </c>
      <c r="BN144" s="66" t="str">
        <f>IFERROR(BN142/BN143,"-")</f>
        <v>-</v>
      </c>
      <c r="BO144" s="76" t="str">
        <f t="shared" si="827"/>
        <v>-</v>
      </c>
      <c r="BP144" s="88">
        <f>BP142/BP143</f>
        <v>31.60780713</v>
      </c>
      <c r="BQ144" s="78"/>
      <c r="BR144" s="3"/>
      <c r="BS144" s="3"/>
      <c r="BT144" s="3"/>
      <c r="BU144" s="3"/>
      <c r="BV144" s="3"/>
    </row>
    <row r="145" ht="15.75" customHeight="1">
      <c r="J145" s="234" t="s">
        <v>66</v>
      </c>
      <c r="K145" s="235" t="s">
        <v>60</v>
      </c>
      <c r="L145" s="236">
        <f t="shared" ref="L145:M145" si="838">IF(L143=0, 0,
  MIN(L143, 10000) * 4 +
  MAX(0, MIN(L143, 20000) - 10000) * 3 +
  MAX(0, MIN(L143, 40000) - 20000) * 2 +
  MAX(0, MIN(L143, 80000) - 40000) * 1 +
  MAX(0, MIN(L143, 100000) - 80000) * 0.5 +
  MAX(0, L143 - 100000) * 0.25
)</f>
        <v>0</v>
      </c>
      <c r="M145" s="237">
        <f t="shared" si="838"/>
        <v>0</v>
      </c>
      <c r="N145" s="95">
        <f t="shared" si="803"/>
        <v>0</v>
      </c>
      <c r="O145" s="96" t="str">
        <f t="shared" si="804"/>
        <v>-</v>
      </c>
      <c r="P145" s="236">
        <f t="shared" ref="P145:Q145" si="839">IF(P143=0, 0,
  MIN(P143, 10000) * 4 +
  MAX(0, MIN(P143, 20000) - 10000) * 3 +
  MAX(0, MIN(P143, 40000) - 20000) * 2 +
  MAX(0, MIN(P143, 80000) - 40000) * 1 +
  MAX(0, MIN(P143, 100000) - 80000) * 0.5 +
  MAX(0, P143 - 100000) * 0.25
)</f>
        <v>0</v>
      </c>
      <c r="Q145" s="237">
        <f t="shared" si="839"/>
        <v>0</v>
      </c>
      <c r="R145" s="95">
        <f t="shared" si="805"/>
        <v>0</v>
      </c>
      <c r="S145" s="98" t="str">
        <f t="shared" si="806"/>
        <v>-</v>
      </c>
      <c r="T145" s="236">
        <f t="shared" ref="T145:U145" si="840">IF(T143=0, 0,
  MIN(T143, 10000) * 4 +
  MAX(0, MIN(T143, 20000) - 10000) * 3 +
  MAX(0, MIN(T143, 40000) - 20000) * 2 +
  MAX(0, MIN(T143, 80000) - 40000) * 1 +
  MAX(0, MIN(T143, 100000) - 80000) * 0.5 +
  MAX(0, T143 - 100000) * 0.25
)</f>
        <v>0</v>
      </c>
      <c r="U145" s="237">
        <f t="shared" si="840"/>
        <v>0</v>
      </c>
      <c r="V145" s="95">
        <f t="shared" si="807"/>
        <v>0</v>
      </c>
      <c r="W145" s="96" t="str">
        <f t="shared" si="808"/>
        <v>-</v>
      </c>
      <c r="X145" s="236">
        <f t="shared" ref="X145:Y145" si="841">IF(X143=0, 0,
  MIN(X143, 10000) * 4 +
  MAX(0, MIN(X143, 20000) - 10000) * 3 +
  MAX(0, MIN(X143, 40000) - 20000) * 2 +
  MAX(0, MIN(X143, 80000) - 40000) * 1 +
  MAX(0, MIN(X143, 100000) - 80000) * 0.5 +
  MAX(0, X143 - 100000) * 0.25
)</f>
        <v>0</v>
      </c>
      <c r="Y145" s="237">
        <f t="shared" si="841"/>
        <v>0</v>
      </c>
      <c r="Z145" s="95">
        <f t="shared" si="809"/>
        <v>0</v>
      </c>
      <c r="AA145" s="96" t="str">
        <f t="shared" si="810"/>
        <v>-</v>
      </c>
      <c r="AB145" s="236">
        <f t="shared" ref="AB145:AC145" si="842">IF(AB143=0, 0,
  MIN(AB143, 10000) * 4 +
  MAX(0, MIN(AB143, 20000) - 10000) * 3 +
  MAX(0, MIN(AB143, 40000) - 20000) * 2 +
  MAX(0, MIN(AB143, 80000) - 40000) * 1 +
  MAX(0, MIN(AB143, 100000) - 80000) * 0.5 +
  MAX(0, AB143 - 100000) * 0.25
)</f>
        <v>0</v>
      </c>
      <c r="AC145" s="237">
        <f t="shared" si="842"/>
        <v>0</v>
      </c>
      <c r="AD145" s="95">
        <f t="shared" si="811"/>
        <v>0</v>
      </c>
      <c r="AE145" s="299" t="str">
        <f t="shared" si="812"/>
        <v>-</v>
      </c>
      <c r="AF145" s="341">
        <f t="shared" ref="AF145:AL145" si="843">IF(AF143=0, 0,
  MIN(AF143, 10000) * 4 +
  MAX(0, MIN(AF143, 20000) - 10000) * 3 +
  MAX(0, MIN(AF143, 40000) - 20000) * 2 +
  MAX(0, MIN(AF143, 80000) - 40000) * 1 +
  MAX(0, MIN(AF143, 100000) - 80000) * 0.5 +
  MAX(0, AF143 - 100000) * 0.25
)</f>
        <v>0</v>
      </c>
      <c r="AG145" s="317">
        <f t="shared" si="843"/>
        <v>0</v>
      </c>
      <c r="AH145" s="317">
        <f t="shared" si="843"/>
        <v>0</v>
      </c>
      <c r="AI145" s="317">
        <f t="shared" si="843"/>
        <v>0</v>
      </c>
      <c r="AJ145" s="317">
        <f t="shared" si="843"/>
        <v>0</v>
      </c>
      <c r="AK145" s="317">
        <f t="shared" si="843"/>
        <v>0</v>
      </c>
      <c r="AL145" s="317">
        <f t="shared" si="843"/>
        <v>0</v>
      </c>
      <c r="AM145" s="311">
        <f t="shared" si="802"/>
        <v>0</v>
      </c>
      <c r="AN145" s="96" t="str">
        <f t="shared" si="813"/>
        <v>-</v>
      </c>
      <c r="AO145" s="236">
        <f t="shared" ref="AO145:AP145" si="844">IF(AO143=0, 0,
  MIN(AO143, 10000) * 4 +
  MAX(0, MIN(AO143, 20000) - 10000) * 3 +
  MAX(0, MIN(AO143, 40000) - 20000) * 2 +
  MAX(0, MIN(AO143, 80000) - 40000) * 1 +
  MAX(0, MIN(AO143, 100000) - 80000) * 0.5 +
  MAX(0, AO143 - 100000) * 0.25
)</f>
        <v>0</v>
      </c>
      <c r="AP145" s="94">
        <f t="shared" si="844"/>
        <v>0</v>
      </c>
      <c r="AQ145" s="95">
        <f t="shared" si="814"/>
        <v>0</v>
      </c>
      <c r="AR145" s="96" t="str">
        <f t="shared" si="815"/>
        <v>-</v>
      </c>
      <c r="AS145" s="236">
        <f t="shared" ref="AS145:AT145" si="845">IF(AS143=0, 0,
  MIN(AS143, 10000) * 4 +
  MAX(0, MIN(AS143, 20000) - 10000) * 3 +
  MAX(0, MIN(AS143, 40000) - 20000) * 2 +
  MAX(0, MIN(AS143, 80000) - 40000) * 1 +
  MAX(0, MIN(AS143, 100000) - 80000) * 0.5 +
  MAX(0, AS143 - 100000) * 0.25
)</f>
        <v>0</v>
      </c>
      <c r="AT145" s="94">
        <f t="shared" si="845"/>
        <v>0</v>
      </c>
      <c r="AU145" s="95">
        <f t="shared" si="816"/>
        <v>0</v>
      </c>
      <c r="AV145" s="96" t="str">
        <f t="shared" si="817"/>
        <v>-</v>
      </c>
      <c r="AW145" s="236">
        <f t="shared" ref="AW145:AX145" si="846">IF(AW143=0, 0,
  MIN(AW143, 10000) * 4 +
  MAX(0, MIN(AW143, 20000) - 10000) * 3 +
  MAX(0, MIN(AW143, 40000) - 20000) * 2 +
  MAX(0, MIN(AW143, 80000) - 40000) * 1 +
  MAX(0, MIN(AW143, 100000) - 80000) * 0.5 +
  MAX(0, AW143 - 100000) * 0.25
)</f>
        <v>0</v>
      </c>
      <c r="AX145" s="237">
        <f t="shared" si="846"/>
        <v>0</v>
      </c>
      <c r="AY145" s="95">
        <f t="shared" si="818"/>
        <v>0</v>
      </c>
      <c r="AZ145" s="96" t="str">
        <f t="shared" si="819"/>
        <v>-</v>
      </c>
      <c r="BA145" s="236">
        <f t="shared" ref="BA145:BB145" si="847">IF(BA143=0, 0,
  MIN(BA143, 10000) * 4 +
  MAX(0, MIN(BA143, 20000) - 10000) * 3 +
  MAX(0, MIN(BA143, 40000) - 20000) * 2 +
  MAX(0, MIN(BA143, 80000) - 40000) * 1 +
  MAX(0, MIN(BA143, 100000) - 80000) * 0.5 +
  MAX(0, BA143 - 100000) * 0.25
)</f>
        <v>712.8712871</v>
      </c>
      <c r="BB145" s="94">
        <f t="shared" si="847"/>
        <v>0</v>
      </c>
      <c r="BC145" s="95">
        <f t="shared" si="820"/>
        <v>-712.8712871</v>
      </c>
      <c r="BD145" s="96">
        <f t="shared" si="821"/>
        <v>-1</v>
      </c>
      <c r="BE145" s="236">
        <f t="shared" ref="BE145:BF145" si="848">IF(BE143=0, 0,
  MIN(BE143, 10000) * 4 +
  MAX(0, MIN(BE143, 20000) - 10000) * 3 +
  MAX(0, MIN(BE143, 40000) - 20000) * 2 +
  MAX(0, MIN(BE143, 80000) - 40000) * 1 +
  MAX(0, MIN(BE143, 100000) - 80000) * 0.5 +
  MAX(0, BE143 - 100000) * 0.25
)</f>
        <v>4236.823129</v>
      </c>
      <c r="BF145" s="94">
        <f t="shared" si="848"/>
        <v>0</v>
      </c>
      <c r="BG145" s="95">
        <f t="shared" si="822"/>
        <v>-4236.823129</v>
      </c>
      <c r="BH145" s="96">
        <f t="shared" si="823"/>
        <v>-1</v>
      </c>
      <c r="BI145" s="237">
        <f t="shared" ref="BI145:BJ145" si="849">IF(BI143=0, 0,
  MIN(BI143, 10000) * 4 +
  MAX(0, MIN(BI143, 20000) - 10000) * 3 +
  MAX(0, MIN(BI143, 40000) - 20000) * 2 +
  MAX(0, MIN(BI143, 80000) - 40000) * 1 +
  MAX(0, MIN(BI143, 100000) - 80000) * 0.5 +
  MAX(0, BI143 - 100000) * 0.25
)</f>
        <v>1782.178218</v>
      </c>
      <c r="BJ145" s="94">
        <f t="shared" si="849"/>
        <v>0</v>
      </c>
      <c r="BK145" s="95">
        <f t="shared" si="824"/>
        <v>-1782.178218</v>
      </c>
      <c r="BL145" s="98">
        <f t="shared" si="825"/>
        <v>-1</v>
      </c>
      <c r="BM145" s="100">
        <f t="shared" ref="BM145:BN145" si="850">SUM(L145,P145,T145,X145,AB145,AF145,AO145,AS145,AW145,BA145,BE145,BI145)</f>
        <v>6731.872634</v>
      </c>
      <c r="BN145" s="101">
        <f t="shared" si="850"/>
        <v>0</v>
      </c>
      <c r="BO145" s="102">
        <f t="shared" si="827"/>
        <v>-1</v>
      </c>
      <c r="BP145" s="103">
        <f>BP142*0.04</f>
        <v>14263.9712</v>
      </c>
      <c r="BQ145" s="104">
        <f>BM145/BP145</f>
        <v>0.4719493989</v>
      </c>
      <c r="BR145" s="3"/>
      <c r="BS145" s="3"/>
      <c r="BT145" s="3"/>
      <c r="BU145" s="3"/>
      <c r="BV145" s="3"/>
    </row>
    <row r="146" ht="15.75" customHeight="1">
      <c r="J146" s="3"/>
      <c r="K146" s="3"/>
      <c r="L146" s="3"/>
      <c r="M146" s="3"/>
      <c r="N146" s="3"/>
      <c r="O146" s="3"/>
      <c r="P146" s="3"/>
      <c r="Q146" s="3"/>
      <c r="R146" s="3"/>
      <c r="S146" s="3"/>
      <c r="T146" s="3"/>
      <c r="U146" s="3"/>
      <c r="V146" s="3"/>
      <c r="W146" s="3"/>
      <c r="X146" s="3"/>
      <c r="Y146" s="3"/>
      <c r="Z146" s="3"/>
      <c r="AA146" s="3"/>
      <c r="AB146" s="3"/>
      <c r="AC146" s="3"/>
      <c r="AD146" s="3"/>
      <c r="AE146" s="3"/>
    </row>
    <row r="147" ht="15.75" customHeight="1">
      <c r="J147" s="3"/>
      <c r="K147" s="3"/>
      <c r="L147" s="3"/>
      <c r="M147" s="3"/>
      <c r="N147" s="3"/>
      <c r="O147" s="3"/>
      <c r="P147" s="3"/>
      <c r="Q147" s="3"/>
      <c r="R147" s="3"/>
      <c r="S147" s="3"/>
      <c r="T147" s="3"/>
      <c r="U147" s="3"/>
      <c r="V147" s="3"/>
      <c r="W147" s="3"/>
      <c r="X147" s="3"/>
      <c r="Y147" s="3"/>
      <c r="Z147" s="3"/>
      <c r="AA147" s="3"/>
      <c r="AB147" s="3"/>
      <c r="AC147" s="3"/>
      <c r="AD147" s="3"/>
      <c r="AE147" s="3"/>
      <c r="AF147" s="3"/>
    </row>
    <row r="148" ht="15.75" customHeight="1">
      <c r="J148" s="15"/>
      <c r="K148" s="188"/>
      <c r="L148" s="114"/>
      <c r="M148" s="15"/>
      <c r="N148" s="15"/>
      <c r="O148" s="15"/>
      <c r="P148" s="15"/>
      <c r="Q148" s="15"/>
      <c r="R148" s="15"/>
      <c r="S148" s="15"/>
      <c r="T148" s="15"/>
      <c r="U148" s="15"/>
      <c r="V148" s="15"/>
      <c r="W148" s="238" t="s">
        <v>102</v>
      </c>
      <c r="X148" s="239">
        <v>2026.0</v>
      </c>
      <c r="Y148" s="239" t="s">
        <v>103</v>
      </c>
      <c r="Z148" s="240">
        <v>2025.0</v>
      </c>
      <c r="AA148" s="241" t="s">
        <v>104</v>
      </c>
      <c r="AB148" s="242" t="s">
        <v>105</v>
      </c>
      <c r="AC148" s="241" t="s">
        <v>106</v>
      </c>
      <c r="AE148" s="3"/>
      <c r="AF148" s="3"/>
      <c r="AG148" s="3"/>
      <c r="AH148" s="3"/>
      <c r="AI148" s="3"/>
    </row>
    <row r="149" ht="15.75" customHeight="1">
      <c r="J149" s="15"/>
      <c r="K149" s="188"/>
      <c r="L149" s="15"/>
      <c r="M149" s="15"/>
      <c r="N149" s="15"/>
      <c r="O149" s="15"/>
      <c r="P149" s="15"/>
      <c r="Q149" s="243"/>
      <c r="R149" s="15"/>
      <c r="S149" s="15"/>
      <c r="T149" s="15"/>
      <c r="U149" s="15"/>
      <c r="V149" s="15"/>
      <c r="W149" s="244" t="s">
        <v>63</v>
      </c>
      <c r="X149" s="245">
        <f>SUMIF(J6:J145, "gmv", BH10:BH145)</f>
        <v>0</v>
      </c>
      <c r="Y149" s="245">
        <f>SUMIF(J6:J145, "gmv", BI10:BI145)</f>
        <v>0</v>
      </c>
      <c r="Z149" s="246">
        <f>SUMIF(J6:J145, "gmv", BK10:BK145)</f>
        <v>0</v>
      </c>
      <c r="AA149" s="247">
        <f t="shared" ref="AA149:AA152" si="851">IFERROR(Y149-X149,"-")</f>
        <v>0</v>
      </c>
      <c r="AB149" s="248" t="str">
        <f t="shared" ref="AB149:AB152" si="852">IFERROR(X149/Z149-1,"-")</f>
        <v>-</v>
      </c>
      <c r="AC149" s="249" t="str">
        <f t="shared" ref="AC149:AC152" si="853">IFERROR(Y149/X149-1,"-")</f>
        <v>-</v>
      </c>
      <c r="AE149" s="3"/>
      <c r="AF149" s="3"/>
      <c r="AG149" s="3"/>
      <c r="AH149" s="3"/>
      <c r="AI149" s="3"/>
    </row>
    <row r="150" ht="15.75" customHeight="1">
      <c r="J150" s="15"/>
      <c r="K150" s="188"/>
      <c r="L150" s="15"/>
      <c r="M150" s="15"/>
      <c r="N150" s="15"/>
      <c r="O150" s="15"/>
      <c r="P150" s="15"/>
      <c r="Q150" s="250"/>
      <c r="R150" s="15"/>
      <c r="S150" s="15"/>
      <c r="T150" s="15"/>
      <c r="U150" s="15"/>
      <c r="V150" s="15"/>
      <c r="W150" s="251" t="s">
        <v>64</v>
      </c>
      <c r="X150" s="252">
        <f>SUMIF(J6:J145,"Pedidos",BH10:BH145)</f>
        <v>0</v>
      </c>
      <c r="Y150" s="252">
        <f>SUMIF(J7:J145, "Pedidos", BI10:BI145)</f>
        <v>0</v>
      </c>
      <c r="Z150" s="253">
        <f>SUMIF(J7:J145,"pedidos", BK10:BK145)</f>
        <v>0</v>
      </c>
      <c r="AA150" s="254">
        <f t="shared" si="851"/>
        <v>0</v>
      </c>
      <c r="AB150" s="248" t="str">
        <f t="shared" si="852"/>
        <v>-</v>
      </c>
      <c r="AC150" s="249" t="str">
        <f t="shared" si="853"/>
        <v>-</v>
      </c>
      <c r="AE150" s="3"/>
      <c r="AF150" s="3"/>
      <c r="AG150" s="3"/>
      <c r="AH150" s="3"/>
      <c r="AI150" s="3"/>
    </row>
    <row r="151" ht="15.75" customHeight="1">
      <c r="J151" s="15"/>
      <c r="K151" s="188"/>
      <c r="L151" s="15"/>
      <c r="M151" s="15"/>
      <c r="N151" s="15"/>
      <c r="O151" s="15"/>
      <c r="P151" s="15"/>
      <c r="Q151" s="250"/>
      <c r="R151" s="15"/>
      <c r="S151" s="15"/>
      <c r="T151" s="15"/>
      <c r="U151" s="15"/>
      <c r="V151" s="15"/>
      <c r="W151" s="251" t="s">
        <v>65</v>
      </c>
      <c r="X151" s="255" t="str">
        <f t="shared" ref="X151:Z151" si="854">IFERROR(X149/X150,"-")</f>
        <v>-</v>
      </c>
      <c r="Y151" s="256" t="str">
        <f t="shared" si="854"/>
        <v>-</v>
      </c>
      <c r="Z151" s="257" t="str">
        <f t="shared" si="854"/>
        <v>-</v>
      </c>
      <c r="AA151" s="247" t="str">
        <f t="shared" si="851"/>
        <v>-</v>
      </c>
      <c r="AB151" s="248" t="str">
        <f t="shared" si="852"/>
        <v>-</v>
      </c>
      <c r="AC151" s="249" t="str">
        <f t="shared" si="853"/>
        <v>-</v>
      </c>
      <c r="AE151" s="3"/>
      <c r="AF151" s="3"/>
      <c r="AG151" s="3"/>
      <c r="AH151" s="3"/>
      <c r="AI151" s="3"/>
    </row>
    <row r="152" ht="15.75" customHeight="1">
      <c r="J152" s="15"/>
      <c r="K152" s="188"/>
      <c r="L152" s="15"/>
      <c r="M152" s="15"/>
      <c r="N152" s="15"/>
      <c r="O152" s="15"/>
      <c r="P152" s="15"/>
      <c r="Q152" s="250"/>
      <c r="R152" s="15"/>
      <c r="S152" s="15"/>
      <c r="T152" s="15"/>
      <c r="U152" s="15"/>
      <c r="V152" s="15"/>
      <c r="W152" s="258" t="s">
        <v>66</v>
      </c>
      <c r="X152" s="259">
        <f>SUMIF(J6:J145, "Receita Hanzo", BH10:BH145)</f>
        <v>0</v>
      </c>
      <c r="Y152" s="259">
        <f>SUMIF(J6:J145, "Receita Hanzo", BI10:BI145)</f>
        <v>3.34</v>
      </c>
      <c r="Z152" s="260">
        <f>SUMIF(J6:J145, "Receita Hanzo", BK10:BK145)</f>
        <v>0</v>
      </c>
      <c r="AA152" s="247">
        <f t="shared" si="851"/>
        <v>3.34</v>
      </c>
      <c r="AB152" s="248" t="str">
        <f t="shared" si="852"/>
        <v>-</v>
      </c>
      <c r="AC152" s="249" t="str">
        <f t="shared" si="853"/>
        <v>-</v>
      </c>
      <c r="AE152" s="3"/>
      <c r="AF152" s="3"/>
      <c r="AG152" s="3"/>
      <c r="AH152" s="3"/>
      <c r="AI152" s="3"/>
    </row>
    <row r="153" ht="15.75" customHeight="1">
      <c r="J153" s="15"/>
      <c r="K153" s="188"/>
      <c r="L153" s="15"/>
      <c r="M153" s="15"/>
      <c r="N153" s="15"/>
      <c r="O153" s="15"/>
      <c r="P153" s="15"/>
      <c r="Q153" s="15"/>
      <c r="R153" s="15"/>
      <c r="S153" s="15"/>
      <c r="T153" s="15"/>
      <c r="U153" s="15"/>
      <c r="V153" s="15"/>
      <c r="W153" s="15"/>
      <c r="X153" s="14"/>
      <c r="Y153" s="14"/>
      <c r="Z153" s="15"/>
      <c r="AA153" s="3"/>
      <c r="AB153" s="3"/>
      <c r="AC153" s="3"/>
      <c r="AD153" s="3"/>
      <c r="AE153" s="3"/>
      <c r="AF153" s="3"/>
    </row>
    <row r="154" ht="15.75" customHeight="1">
      <c r="J154" s="15"/>
      <c r="K154" s="188"/>
      <c r="L154" s="15"/>
      <c r="M154" s="15"/>
      <c r="N154" s="15"/>
      <c r="O154" s="15"/>
      <c r="P154" s="15"/>
      <c r="Q154" s="15"/>
      <c r="R154" s="15"/>
      <c r="S154" s="15"/>
      <c r="T154" s="15"/>
      <c r="U154" s="15"/>
      <c r="V154" s="15"/>
      <c r="W154" s="15"/>
      <c r="X154" s="25"/>
      <c r="Y154" s="14"/>
      <c r="Z154" s="15"/>
      <c r="AA154" s="3"/>
      <c r="AB154" s="3"/>
      <c r="AC154" s="3"/>
      <c r="AD154" s="3"/>
      <c r="AE154" s="3"/>
      <c r="AF154" s="3"/>
    </row>
    <row r="155" ht="15.75" customHeight="1">
      <c r="J155" s="15"/>
      <c r="K155" s="188"/>
      <c r="L155" s="15"/>
      <c r="M155" s="15"/>
      <c r="N155" s="15"/>
      <c r="O155" s="15"/>
      <c r="P155" s="15"/>
      <c r="Q155" s="15"/>
      <c r="R155" s="15"/>
      <c r="S155" s="15"/>
      <c r="T155" s="15"/>
      <c r="U155" s="15"/>
      <c r="V155" s="15"/>
      <c r="W155" s="15"/>
      <c r="X155" s="14"/>
      <c r="Y155" s="14"/>
      <c r="Z155" s="15"/>
      <c r="AA155" s="3"/>
      <c r="AB155" s="3"/>
      <c r="AC155" s="3"/>
      <c r="AD155" s="3"/>
      <c r="AE155" s="3"/>
      <c r="AF155" s="3"/>
    </row>
    <row r="156" ht="15.75" customHeight="1">
      <c r="J156" s="15"/>
      <c r="K156" s="188"/>
      <c r="L156" s="15"/>
      <c r="M156" s="15"/>
      <c r="N156" s="15"/>
      <c r="O156" s="15"/>
      <c r="P156" s="15"/>
      <c r="Q156" s="15"/>
      <c r="R156" s="15"/>
      <c r="S156" s="15"/>
      <c r="T156" s="15"/>
      <c r="U156" s="15"/>
      <c r="V156" s="15"/>
      <c r="W156" s="15"/>
      <c r="X156" s="14"/>
      <c r="Y156" s="14"/>
      <c r="Z156" s="15"/>
      <c r="AA156" s="3"/>
      <c r="AB156" s="3"/>
      <c r="AC156" s="3"/>
      <c r="AD156" s="3"/>
      <c r="AE156" s="3"/>
      <c r="AF156" s="3"/>
    </row>
    <row r="157" ht="15.75" customHeight="1">
      <c r="J157" s="15"/>
      <c r="K157" s="188"/>
      <c r="L157" s="15"/>
      <c r="M157" s="15"/>
      <c r="N157" s="15"/>
      <c r="O157" s="15"/>
      <c r="P157" s="15"/>
      <c r="Q157" s="15"/>
      <c r="R157" s="15"/>
      <c r="S157" s="15"/>
      <c r="T157" s="15"/>
      <c r="U157" s="15"/>
      <c r="V157" s="15"/>
      <c r="W157" s="15"/>
      <c r="X157" s="14"/>
      <c r="Y157" s="14"/>
      <c r="Z157" s="15"/>
      <c r="AA157" s="3"/>
      <c r="AB157" s="3"/>
      <c r="AC157" s="3"/>
      <c r="AD157" s="3"/>
      <c r="AE157" s="3"/>
      <c r="AF157" s="3"/>
    </row>
    <row r="158" ht="15.75" customHeight="1">
      <c r="J158" s="15"/>
      <c r="K158" s="188"/>
      <c r="L158" s="15"/>
      <c r="M158" s="15"/>
      <c r="N158" s="15"/>
      <c r="O158" s="15"/>
      <c r="P158" s="15"/>
      <c r="Q158" s="15"/>
      <c r="R158" s="15"/>
      <c r="S158" s="15"/>
      <c r="T158" s="15"/>
      <c r="U158" s="15"/>
      <c r="V158" s="15"/>
      <c r="W158" s="15"/>
      <c r="X158" s="14"/>
      <c r="Y158" s="14"/>
      <c r="Z158" s="15"/>
      <c r="AA158" s="3"/>
      <c r="AB158" s="3"/>
      <c r="AC158" s="3"/>
      <c r="AD158" s="3"/>
      <c r="AE158" s="3"/>
      <c r="AF158" s="3"/>
    </row>
    <row r="159" ht="15.75" customHeight="1">
      <c r="J159" s="15"/>
      <c r="K159" s="188"/>
      <c r="L159" s="15"/>
      <c r="M159" s="15"/>
      <c r="N159" s="15"/>
      <c r="O159" s="15"/>
      <c r="P159" s="15"/>
      <c r="Q159" s="15"/>
      <c r="R159" s="15"/>
      <c r="S159" s="15"/>
      <c r="T159" s="15"/>
      <c r="U159" s="15"/>
      <c r="V159" s="15"/>
      <c r="W159" s="15"/>
      <c r="X159" s="14"/>
      <c r="Y159" s="14"/>
      <c r="Z159" s="15"/>
      <c r="AA159" s="3"/>
      <c r="AB159" s="3"/>
      <c r="AC159" s="3"/>
      <c r="AD159" s="3"/>
      <c r="AE159" s="3"/>
      <c r="AF159" s="3"/>
    </row>
    <row r="160" ht="15.75" customHeight="1">
      <c r="J160" s="15"/>
      <c r="K160" s="188"/>
      <c r="L160" s="15"/>
      <c r="M160" s="15"/>
      <c r="N160" s="15"/>
      <c r="O160" s="15"/>
      <c r="P160" s="15"/>
      <c r="Q160" s="15"/>
      <c r="R160" s="15"/>
      <c r="S160" s="15"/>
      <c r="T160" s="15"/>
      <c r="U160" s="15"/>
      <c r="V160" s="15"/>
      <c r="W160" s="15"/>
      <c r="X160" s="14"/>
      <c r="Y160" s="14"/>
      <c r="Z160" s="15"/>
      <c r="AA160" s="3"/>
      <c r="AB160" s="3"/>
      <c r="AC160" s="3"/>
      <c r="AD160" s="3"/>
      <c r="AE160" s="3"/>
      <c r="AF160" s="3"/>
    </row>
    <row r="161" ht="15.75" customHeight="1">
      <c r="J161" s="15"/>
      <c r="K161" s="188"/>
      <c r="L161" s="15"/>
      <c r="M161" s="15"/>
      <c r="N161" s="15"/>
      <c r="O161" s="15"/>
      <c r="P161" s="15"/>
      <c r="Q161" s="15"/>
      <c r="R161" s="15"/>
      <c r="S161" s="15"/>
      <c r="T161" s="15"/>
      <c r="U161" s="15"/>
      <c r="V161" s="15"/>
      <c r="W161" s="15"/>
      <c r="X161" s="14"/>
      <c r="Y161" s="14"/>
      <c r="Z161" s="15"/>
      <c r="AA161" s="3"/>
      <c r="AB161" s="3"/>
      <c r="AC161" s="3"/>
      <c r="AD161" s="3"/>
      <c r="AE161" s="3"/>
      <c r="AF161" s="3"/>
    </row>
    <row r="162" ht="15.75" customHeight="1">
      <c r="J162" s="15"/>
      <c r="K162" s="188"/>
      <c r="L162" s="15"/>
      <c r="M162" s="15"/>
      <c r="N162" s="15"/>
      <c r="O162" s="15"/>
      <c r="P162" s="15"/>
      <c r="Q162" s="15"/>
      <c r="R162" s="15"/>
      <c r="S162" s="15"/>
      <c r="T162" s="15"/>
      <c r="U162" s="15"/>
      <c r="V162" s="15"/>
      <c r="W162" s="15"/>
      <c r="X162" s="14"/>
      <c r="Y162" s="14"/>
      <c r="Z162" s="15"/>
      <c r="AA162" s="3"/>
      <c r="AB162" s="3"/>
      <c r="AC162" s="3"/>
      <c r="AD162" s="3"/>
      <c r="AE162" s="3"/>
      <c r="AF162" s="3"/>
    </row>
    <row r="163" ht="15.75" customHeight="1">
      <c r="J163" s="15"/>
      <c r="K163" s="188"/>
      <c r="L163" s="15"/>
      <c r="M163" s="15"/>
      <c r="N163" s="15"/>
      <c r="O163" s="15"/>
      <c r="P163" s="15"/>
      <c r="Q163" s="15"/>
      <c r="R163" s="15"/>
      <c r="S163" s="15"/>
      <c r="T163" s="15"/>
      <c r="U163" s="15"/>
      <c r="V163" s="15"/>
      <c r="W163" s="15"/>
      <c r="X163" s="14"/>
      <c r="Y163" s="14"/>
      <c r="Z163" s="15"/>
      <c r="AA163" s="3"/>
      <c r="AB163" s="3"/>
      <c r="AC163" s="3"/>
      <c r="AD163" s="3"/>
      <c r="AE163" s="3"/>
      <c r="AF163" s="3"/>
    </row>
    <row r="164" ht="15.75" customHeight="1">
      <c r="J164" s="15"/>
      <c r="K164" s="188"/>
      <c r="L164" s="15"/>
      <c r="M164" s="15"/>
      <c r="N164" s="15"/>
      <c r="O164" s="15"/>
      <c r="P164" s="15"/>
      <c r="Q164" s="15"/>
      <c r="R164" s="15"/>
      <c r="S164" s="15"/>
      <c r="T164" s="15"/>
      <c r="U164" s="15"/>
      <c r="V164" s="15"/>
      <c r="W164" s="15"/>
      <c r="X164" s="14"/>
      <c r="Y164" s="14"/>
      <c r="Z164" s="15"/>
      <c r="AA164" s="3"/>
      <c r="AB164" s="3"/>
      <c r="AC164" s="3"/>
      <c r="AD164" s="3"/>
      <c r="AE164" s="3"/>
      <c r="AF164" s="3"/>
    </row>
    <row r="165" ht="15.75" customHeight="1">
      <c r="J165" s="15"/>
      <c r="K165" s="188"/>
      <c r="L165" s="15"/>
      <c r="M165" s="15"/>
      <c r="N165" s="15"/>
      <c r="O165" s="15"/>
      <c r="P165" s="15"/>
      <c r="Q165" s="15"/>
      <c r="R165" s="15"/>
      <c r="S165" s="15"/>
      <c r="T165" s="15"/>
      <c r="U165" s="15"/>
      <c r="V165" s="15"/>
      <c r="W165" s="15"/>
      <c r="X165" s="14"/>
      <c r="Y165" s="14"/>
      <c r="Z165" s="15"/>
      <c r="AA165" s="3"/>
      <c r="AB165" s="3"/>
      <c r="AC165" s="3"/>
      <c r="AD165" s="3"/>
      <c r="AE165" s="3"/>
      <c r="AF165" s="3"/>
    </row>
    <row r="166" ht="15.75" customHeight="1">
      <c r="J166" s="15"/>
      <c r="K166" s="188"/>
      <c r="L166" s="15"/>
      <c r="M166" s="15"/>
      <c r="N166" s="15"/>
      <c r="O166" s="15"/>
      <c r="P166" s="15"/>
      <c r="Q166" s="15"/>
      <c r="R166" s="15"/>
      <c r="S166" s="15"/>
      <c r="T166" s="15"/>
      <c r="U166" s="15"/>
      <c r="V166" s="15"/>
      <c r="W166" s="15"/>
      <c r="X166" s="14"/>
      <c r="Y166" s="14"/>
      <c r="Z166" s="15"/>
      <c r="AA166" s="3"/>
      <c r="AB166" s="3"/>
      <c r="AC166" s="3"/>
      <c r="AD166" s="3"/>
      <c r="AE166" s="3"/>
      <c r="AF166" s="3"/>
    </row>
    <row r="167" ht="15.75" customHeight="1">
      <c r="J167" s="15"/>
      <c r="K167" s="188"/>
      <c r="L167" s="15"/>
      <c r="M167" s="15"/>
      <c r="N167" s="15"/>
      <c r="O167" s="15"/>
      <c r="P167" s="15"/>
      <c r="Q167" s="15"/>
      <c r="R167" s="15"/>
      <c r="S167" s="15"/>
      <c r="T167" s="15"/>
      <c r="U167" s="15"/>
      <c r="V167" s="15"/>
      <c r="W167" s="15"/>
      <c r="X167" s="14"/>
      <c r="Y167" s="14"/>
      <c r="Z167" s="15"/>
      <c r="AA167" s="3"/>
      <c r="AB167" s="3"/>
      <c r="AC167" s="3"/>
      <c r="AD167" s="3"/>
      <c r="AE167" s="3"/>
      <c r="AF167" s="3"/>
    </row>
    <row r="168" ht="15.75" customHeight="1">
      <c r="J168" s="15"/>
      <c r="K168" s="188"/>
      <c r="L168" s="15"/>
      <c r="M168" s="15"/>
      <c r="N168" s="15"/>
      <c r="O168" s="15"/>
      <c r="P168" s="15"/>
      <c r="Q168" s="15"/>
      <c r="R168" s="15"/>
      <c r="S168" s="15"/>
      <c r="T168" s="15"/>
      <c r="U168" s="15"/>
      <c r="V168" s="15"/>
      <c r="W168" s="15"/>
      <c r="X168" s="14"/>
      <c r="Y168" s="14"/>
      <c r="Z168" s="15"/>
      <c r="AA168" s="3"/>
      <c r="AB168" s="3"/>
      <c r="AC168" s="3"/>
      <c r="AD168" s="3"/>
      <c r="AE168" s="3"/>
      <c r="AF168" s="3"/>
    </row>
    <row r="169" ht="15.75" customHeight="1">
      <c r="J169" s="15"/>
      <c r="K169" s="188"/>
      <c r="L169" s="15"/>
      <c r="M169" s="15"/>
      <c r="N169" s="15"/>
      <c r="O169" s="15"/>
      <c r="P169" s="15"/>
      <c r="Q169" s="15"/>
      <c r="R169" s="15"/>
      <c r="S169" s="15"/>
      <c r="T169" s="15"/>
      <c r="U169" s="15"/>
      <c r="V169" s="15"/>
      <c r="W169" s="15"/>
      <c r="X169" s="14"/>
      <c r="Y169" s="14"/>
      <c r="Z169" s="15"/>
      <c r="AA169" s="3"/>
      <c r="AB169" s="3"/>
      <c r="AC169" s="3"/>
      <c r="AD169" s="3"/>
      <c r="AE169" s="3"/>
      <c r="AF169" s="3"/>
    </row>
    <row r="170" ht="15.75" customHeight="1">
      <c r="J170" s="15"/>
      <c r="K170" s="188"/>
      <c r="L170" s="15"/>
      <c r="M170" s="15"/>
      <c r="N170" s="15"/>
      <c r="O170" s="15"/>
      <c r="P170" s="15"/>
      <c r="Q170" s="15"/>
      <c r="R170" s="15"/>
      <c r="S170" s="15"/>
      <c r="T170" s="15"/>
      <c r="U170" s="15"/>
      <c r="V170" s="15"/>
      <c r="W170" s="15"/>
      <c r="X170" s="14"/>
      <c r="Y170" s="14"/>
      <c r="Z170" s="15"/>
      <c r="AA170" s="3"/>
      <c r="AB170" s="3"/>
      <c r="AC170" s="3"/>
      <c r="AD170" s="3"/>
      <c r="AE170" s="3"/>
      <c r="AF170" s="3"/>
    </row>
    <row r="171" ht="15.75" customHeight="1">
      <c r="J171" s="15"/>
      <c r="K171" s="188"/>
      <c r="L171" s="15"/>
      <c r="M171" s="15"/>
      <c r="N171" s="15"/>
      <c r="O171" s="15"/>
      <c r="P171" s="15"/>
      <c r="Q171" s="15"/>
      <c r="R171" s="15"/>
      <c r="S171" s="15"/>
      <c r="T171" s="15"/>
      <c r="U171" s="15"/>
      <c r="V171" s="15"/>
      <c r="W171" s="15"/>
      <c r="X171" s="14"/>
      <c r="Y171" s="14"/>
      <c r="Z171" s="15"/>
      <c r="AA171" s="3"/>
      <c r="AB171" s="3"/>
      <c r="AC171" s="3"/>
      <c r="AD171" s="3"/>
      <c r="AE171" s="3"/>
      <c r="AF171" s="3"/>
    </row>
    <row r="172" ht="15.75" customHeight="1">
      <c r="J172" s="15"/>
      <c r="K172" s="188"/>
      <c r="L172" s="15"/>
      <c r="M172" s="15"/>
      <c r="N172" s="15"/>
      <c r="O172" s="15"/>
      <c r="P172" s="15"/>
      <c r="Q172" s="15"/>
      <c r="R172" s="15"/>
      <c r="S172" s="15"/>
      <c r="T172" s="15"/>
      <c r="U172" s="15"/>
      <c r="V172" s="15"/>
      <c r="W172" s="15"/>
      <c r="X172" s="14"/>
      <c r="Y172" s="14"/>
      <c r="Z172" s="15"/>
      <c r="AA172" s="3"/>
      <c r="AB172" s="3"/>
      <c r="AC172" s="3"/>
      <c r="AD172" s="3"/>
      <c r="AE172" s="3"/>
      <c r="AF172" s="3"/>
    </row>
    <row r="173" ht="15.75" customHeight="1">
      <c r="J173" s="15"/>
      <c r="K173" s="188"/>
      <c r="L173" s="15"/>
      <c r="M173" s="15"/>
      <c r="N173" s="15"/>
      <c r="O173" s="15"/>
      <c r="P173" s="15"/>
      <c r="Q173" s="15"/>
      <c r="R173" s="15"/>
      <c r="S173" s="15"/>
      <c r="T173" s="15"/>
      <c r="U173" s="15"/>
      <c r="V173" s="15"/>
      <c r="W173" s="15"/>
      <c r="X173" s="14"/>
      <c r="Y173" s="14"/>
      <c r="Z173" s="15"/>
      <c r="AA173" s="3"/>
      <c r="AB173" s="3"/>
      <c r="AC173" s="3"/>
      <c r="AD173" s="3"/>
      <c r="AE173" s="3"/>
      <c r="AF173" s="3"/>
    </row>
    <row r="174" ht="15.75" customHeight="1">
      <c r="J174" s="15"/>
      <c r="K174" s="188"/>
      <c r="L174" s="15"/>
      <c r="M174" s="15"/>
      <c r="N174" s="15"/>
      <c r="O174" s="15"/>
      <c r="P174" s="15"/>
      <c r="Q174" s="15"/>
      <c r="R174" s="15"/>
      <c r="S174" s="15"/>
      <c r="T174" s="15"/>
      <c r="U174" s="15"/>
      <c r="V174" s="15"/>
      <c r="W174" s="15"/>
      <c r="X174" s="14"/>
      <c r="Y174" s="14"/>
      <c r="Z174" s="15"/>
      <c r="AA174" s="3"/>
      <c r="AB174" s="3"/>
      <c r="AC174" s="3"/>
      <c r="AD174" s="3"/>
      <c r="AE174" s="3"/>
      <c r="AF174" s="3"/>
    </row>
    <row r="175" ht="15.75" customHeight="1">
      <c r="J175" s="15"/>
      <c r="K175" s="188"/>
      <c r="L175" s="15"/>
      <c r="M175" s="15"/>
      <c r="N175" s="15"/>
      <c r="O175" s="15"/>
      <c r="P175" s="15"/>
      <c r="Q175" s="15"/>
      <c r="R175" s="15"/>
      <c r="S175" s="15"/>
      <c r="T175" s="15"/>
      <c r="U175" s="15"/>
      <c r="V175" s="15"/>
      <c r="W175" s="15"/>
      <c r="X175" s="14"/>
      <c r="Y175" s="14"/>
      <c r="Z175" s="15"/>
      <c r="AA175" s="3"/>
      <c r="AB175" s="3"/>
      <c r="AC175" s="3"/>
      <c r="AD175" s="3"/>
      <c r="AE175" s="3"/>
      <c r="AF175" s="3"/>
    </row>
    <row r="176" ht="15.75" customHeight="1">
      <c r="J176" s="15"/>
      <c r="K176" s="188"/>
      <c r="L176" s="15"/>
      <c r="M176" s="15"/>
      <c r="N176" s="15"/>
      <c r="O176" s="15"/>
      <c r="P176" s="15"/>
      <c r="Q176" s="15"/>
      <c r="R176" s="15"/>
      <c r="S176" s="15"/>
      <c r="T176" s="15"/>
      <c r="U176" s="15"/>
      <c r="V176" s="15"/>
      <c r="W176" s="15"/>
      <c r="X176" s="14"/>
      <c r="Y176" s="14"/>
      <c r="Z176" s="15"/>
      <c r="AA176" s="3"/>
      <c r="AB176" s="3"/>
      <c r="AC176" s="3"/>
      <c r="AD176" s="3"/>
      <c r="AE176" s="3"/>
      <c r="AF176" s="3"/>
    </row>
    <row r="177" ht="15.75" customHeight="1">
      <c r="J177" s="15"/>
      <c r="K177" s="188"/>
      <c r="L177" s="15"/>
      <c r="M177" s="15"/>
      <c r="N177" s="15"/>
      <c r="O177" s="15"/>
      <c r="P177" s="15"/>
      <c r="Q177" s="15"/>
      <c r="R177" s="15"/>
      <c r="S177" s="15"/>
      <c r="T177" s="15"/>
      <c r="U177" s="15"/>
      <c r="V177" s="15"/>
      <c r="W177" s="15"/>
      <c r="X177" s="14"/>
      <c r="Y177" s="14"/>
      <c r="Z177" s="15"/>
      <c r="AA177" s="3"/>
      <c r="AB177" s="3"/>
      <c r="AC177" s="3"/>
      <c r="AD177" s="3"/>
      <c r="AE177" s="3"/>
      <c r="AF177" s="3"/>
    </row>
    <row r="178" ht="15.75" customHeight="1">
      <c r="J178" s="15"/>
      <c r="K178" s="188"/>
      <c r="L178" s="15"/>
      <c r="M178" s="15"/>
      <c r="N178" s="15"/>
      <c r="O178" s="15"/>
      <c r="P178" s="15"/>
      <c r="Q178" s="15"/>
      <c r="R178" s="15"/>
      <c r="S178" s="15"/>
      <c r="T178" s="15"/>
      <c r="U178" s="15"/>
      <c r="V178" s="15"/>
      <c r="W178" s="15"/>
      <c r="X178" s="14"/>
      <c r="Y178" s="14"/>
      <c r="Z178" s="15"/>
      <c r="AA178" s="3"/>
      <c r="AB178" s="3"/>
      <c r="AC178" s="3"/>
      <c r="AD178" s="3"/>
      <c r="AE178" s="3"/>
      <c r="AF178" s="3"/>
    </row>
    <row r="179" ht="15.75" customHeight="1">
      <c r="J179" s="15"/>
      <c r="K179" s="188"/>
      <c r="L179" s="15"/>
      <c r="M179" s="15"/>
      <c r="N179" s="15"/>
      <c r="O179" s="15"/>
      <c r="P179" s="15"/>
      <c r="Q179" s="15"/>
      <c r="R179" s="15"/>
      <c r="S179" s="15"/>
      <c r="T179" s="15"/>
      <c r="U179" s="15"/>
      <c r="V179" s="15"/>
      <c r="W179" s="15"/>
      <c r="X179" s="14"/>
      <c r="Y179" s="14"/>
      <c r="Z179" s="15"/>
      <c r="AA179" s="3"/>
      <c r="AB179" s="3"/>
      <c r="AC179" s="3"/>
      <c r="AD179" s="3"/>
      <c r="AE179" s="3"/>
      <c r="AF179" s="3"/>
    </row>
    <row r="180" ht="15.75" customHeight="1">
      <c r="J180" s="15"/>
      <c r="K180" s="188"/>
      <c r="L180" s="15"/>
      <c r="M180" s="15"/>
      <c r="N180" s="15"/>
      <c r="O180" s="15"/>
      <c r="P180" s="15"/>
      <c r="Q180" s="15"/>
      <c r="R180" s="15"/>
      <c r="S180" s="15"/>
      <c r="T180" s="15"/>
      <c r="U180" s="15"/>
      <c r="V180" s="15"/>
      <c r="W180" s="15"/>
      <c r="X180" s="14"/>
      <c r="Y180" s="14"/>
      <c r="Z180" s="15"/>
      <c r="AA180" s="3"/>
      <c r="AB180" s="3"/>
      <c r="AC180" s="3"/>
      <c r="AD180" s="3"/>
      <c r="AE180" s="3"/>
      <c r="AF180" s="3"/>
    </row>
    <row r="181" ht="15.75" customHeight="1">
      <c r="J181" s="15"/>
      <c r="K181" s="188"/>
      <c r="L181" s="15"/>
      <c r="M181" s="15"/>
      <c r="N181" s="15"/>
      <c r="O181" s="15"/>
      <c r="P181" s="15"/>
      <c r="Q181" s="15"/>
      <c r="R181" s="15"/>
      <c r="S181" s="15"/>
      <c r="T181" s="15"/>
      <c r="U181" s="15"/>
      <c r="V181" s="15"/>
      <c r="W181" s="15"/>
      <c r="X181" s="14"/>
      <c r="Y181" s="14"/>
      <c r="Z181" s="15"/>
      <c r="AA181" s="3"/>
      <c r="AB181" s="3"/>
      <c r="AC181" s="3"/>
      <c r="AD181" s="3"/>
      <c r="AE181" s="3"/>
      <c r="AF181" s="3"/>
    </row>
    <row r="182" ht="15.75" customHeight="1">
      <c r="J182" s="15"/>
      <c r="K182" s="188"/>
      <c r="L182" s="15"/>
      <c r="M182" s="15"/>
      <c r="N182" s="15"/>
      <c r="O182" s="15"/>
      <c r="P182" s="15"/>
      <c r="Q182" s="15"/>
      <c r="R182" s="15"/>
      <c r="S182" s="15"/>
      <c r="T182" s="15"/>
      <c r="U182" s="15"/>
      <c r="V182" s="15"/>
      <c r="W182" s="15"/>
      <c r="X182" s="14"/>
      <c r="Y182" s="14"/>
      <c r="Z182" s="15"/>
      <c r="AA182" s="3"/>
      <c r="AB182" s="3"/>
      <c r="AC182" s="3"/>
      <c r="AD182" s="3"/>
      <c r="AE182" s="3"/>
      <c r="AF182" s="3"/>
    </row>
    <row r="183" ht="15.75" customHeight="1">
      <c r="J183" s="15"/>
      <c r="K183" s="188"/>
      <c r="L183" s="15"/>
      <c r="M183" s="15"/>
      <c r="N183" s="15"/>
      <c r="O183" s="15"/>
      <c r="P183" s="15"/>
      <c r="Q183" s="15"/>
      <c r="R183" s="15"/>
      <c r="S183" s="15"/>
      <c r="T183" s="15"/>
      <c r="U183" s="15"/>
      <c r="V183" s="15"/>
      <c r="W183" s="15"/>
      <c r="X183" s="14"/>
      <c r="Y183" s="14"/>
      <c r="Z183" s="15"/>
      <c r="AA183" s="3"/>
      <c r="AB183" s="3"/>
      <c r="AC183" s="3"/>
      <c r="AD183" s="3"/>
      <c r="AE183" s="3"/>
      <c r="AF183" s="3"/>
    </row>
    <row r="184" ht="15.75" customHeight="1">
      <c r="J184" s="15"/>
      <c r="K184" s="188"/>
      <c r="L184" s="15"/>
      <c r="M184" s="15"/>
      <c r="N184" s="15"/>
      <c r="O184" s="15"/>
      <c r="P184" s="15"/>
      <c r="Q184" s="15"/>
      <c r="R184" s="15"/>
      <c r="S184" s="15"/>
      <c r="T184" s="15"/>
      <c r="U184" s="15"/>
      <c r="V184" s="15"/>
      <c r="W184" s="15"/>
      <c r="X184" s="14"/>
      <c r="Y184" s="14"/>
      <c r="Z184" s="15"/>
      <c r="AA184" s="3"/>
      <c r="AB184" s="3"/>
      <c r="AC184" s="3"/>
      <c r="AD184" s="3"/>
      <c r="AE184" s="3"/>
      <c r="AF184" s="3"/>
    </row>
    <row r="185" ht="15.75" customHeight="1">
      <c r="J185" s="15"/>
      <c r="K185" s="188"/>
      <c r="L185" s="15"/>
      <c r="M185" s="15"/>
      <c r="N185" s="15"/>
      <c r="O185" s="15"/>
      <c r="P185" s="15"/>
      <c r="Q185" s="15"/>
      <c r="R185" s="15"/>
      <c r="S185" s="15"/>
      <c r="T185" s="15"/>
      <c r="U185" s="15"/>
      <c r="V185" s="15"/>
      <c r="W185" s="15"/>
      <c r="X185" s="14"/>
      <c r="Y185" s="14"/>
      <c r="Z185" s="15"/>
      <c r="AA185" s="3"/>
      <c r="AB185" s="3"/>
      <c r="AC185" s="3"/>
      <c r="AD185" s="3"/>
      <c r="AE185" s="3"/>
      <c r="AF185" s="3"/>
    </row>
    <row r="186" ht="15.75" customHeight="1">
      <c r="J186" s="15"/>
      <c r="K186" s="188"/>
      <c r="L186" s="15"/>
      <c r="M186" s="15"/>
      <c r="N186" s="15"/>
      <c r="O186" s="15"/>
      <c r="P186" s="15"/>
      <c r="Q186" s="15"/>
      <c r="R186" s="15"/>
      <c r="S186" s="15"/>
      <c r="T186" s="15"/>
      <c r="U186" s="15"/>
      <c r="V186" s="15"/>
      <c r="W186" s="15"/>
      <c r="X186" s="14"/>
      <c r="Y186" s="14"/>
      <c r="Z186" s="15"/>
      <c r="AA186" s="3"/>
      <c r="AB186" s="3"/>
      <c r="AC186" s="3"/>
      <c r="AD186" s="3"/>
      <c r="AE186" s="3"/>
      <c r="AF186" s="3"/>
    </row>
    <row r="187" ht="15.75" customHeight="1">
      <c r="J187" s="15"/>
      <c r="K187" s="188"/>
      <c r="L187" s="15"/>
      <c r="M187" s="15"/>
      <c r="N187" s="15"/>
      <c r="O187" s="15"/>
      <c r="P187" s="15"/>
      <c r="Q187" s="15"/>
      <c r="R187" s="15"/>
      <c r="S187" s="15"/>
      <c r="T187" s="15"/>
      <c r="U187" s="15"/>
      <c r="V187" s="15"/>
      <c r="W187" s="15"/>
      <c r="X187" s="14"/>
      <c r="Y187" s="14"/>
      <c r="Z187" s="15"/>
      <c r="AA187" s="3"/>
      <c r="AB187" s="3"/>
      <c r="AC187" s="3"/>
      <c r="AD187" s="3"/>
      <c r="AE187" s="3"/>
      <c r="AF187" s="3"/>
    </row>
    <row r="188" ht="15.75" customHeight="1">
      <c r="J188" s="15"/>
      <c r="K188" s="188"/>
      <c r="L188" s="15"/>
      <c r="M188" s="15"/>
      <c r="N188" s="15"/>
      <c r="O188" s="15"/>
      <c r="P188" s="15"/>
      <c r="Q188" s="15"/>
      <c r="R188" s="15"/>
      <c r="S188" s="15"/>
      <c r="T188" s="15"/>
      <c r="U188" s="15"/>
      <c r="V188" s="15"/>
      <c r="W188" s="15"/>
      <c r="X188" s="14"/>
      <c r="Y188" s="14"/>
      <c r="Z188" s="15"/>
      <c r="AA188" s="3"/>
      <c r="AB188" s="3"/>
      <c r="AC188" s="3"/>
      <c r="AD188" s="3"/>
      <c r="AE188" s="3"/>
      <c r="AF188" s="3"/>
    </row>
    <row r="189" ht="15.75" customHeight="1">
      <c r="J189" s="15"/>
      <c r="K189" s="188"/>
      <c r="L189" s="15"/>
      <c r="M189" s="15"/>
      <c r="N189" s="15"/>
      <c r="O189" s="15"/>
      <c r="P189" s="15"/>
      <c r="Q189" s="15"/>
      <c r="R189" s="15"/>
      <c r="S189" s="15"/>
      <c r="T189" s="15"/>
      <c r="U189" s="15"/>
      <c r="V189" s="15"/>
      <c r="W189" s="15"/>
      <c r="X189" s="14"/>
      <c r="Y189" s="14"/>
      <c r="Z189" s="15"/>
      <c r="AA189" s="3"/>
      <c r="AB189" s="3"/>
      <c r="AC189" s="3"/>
      <c r="AD189" s="3"/>
      <c r="AE189" s="3"/>
      <c r="AF189" s="3"/>
    </row>
    <row r="190" ht="15.75" customHeight="1">
      <c r="J190" s="15"/>
      <c r="K190" s="188"/>
      <c r="L190" s="15"/>
      <c r="M190" s="15"/>
      <c r="N190" s="15"/>
      <c r="O190" s="15"/>
      <c r="P190" s="15"/>
      <c r="Q190" s="15"/>
      <c r="R190" s="15"/>
      <c r="S190" s="15"/>
      <c r="T190" s="15"/>
      <c r="U190" s="15"/>
      <c r="V190" s="15"/>
      <c r="W190" s="15"/>
      <c r="X190" s="14"/>
      <c r="Y190" s="14"/>
      <c r="Z190" s="15"/>
      <c r="AA190" s="3"/>
      <c r="AB190" s="3"/>
      <c r="AC190" s="3"/>
      <c r="AD190" s="3"/>
      <c r="AE190" s="3"/>
      <c r="AF190" s="3"/>
    </row>
    <row r="191" ht="15.75" customHeight="1">
      <c r="J191" s="15"/>
      <c r="K191" s="188"/>
      <c r="L191" s="15"/>
      <c r="M191" s="15"/>
      <c r="N191" s="15"/>
      <c r="O191" s="15"/>
      <c r="P191" s="15"/>
      <c r="Q191" s="15"/>
      <c r="R191" s="15"/>
      <c r="S191" s="15"/>
      <c r="T191" s="15"/>
      <c r="U191" s="15"/>
      <c r="V191" s="15"/>
      <c r="W191" s="15"/>
      <c r="X191" s="14"/>
      <c r="Y191" s="14"/>
      <c r="Z191" s="15"/>
      <c r="AA191" s="3"/>
      <c r="AB191" s="3"/>
      <c r="AC191" s="3"/>
      <c r="AD191" s="3"/>
      <c r="AE191" s="3"/>
      <c r="AF191" s="3"/>
    </row>
    <row r="192" ht="15.75" customHeight="1">
      <c r="J192" s="15"/>
      <c r="K192" s="188"/>
      <c r="L192" s="15"/>
      <c r="M192" s="15"/>
      <c r="N192" s="15"/>
      <c r="O192" s="15"/>
      <c r="P192" s="15"/>
      <c r="Q192" s="15"/>
      <c r="R192" s="15"/>
      <c r="S192" s="15"/>
      <c r="T192" s="15"/>
      <c r="U192" s="15"/>
      <c r="V192" s="15"/>
      <c r="W192" s="15"/>
      <c r="X192" s="14"/>
      <c r="Y192" s="14"/>
      <c r="Z192" s="15"/>
      <c r="AA192" s="3"/>
      <c r="AB192" s="3"/>
      <c r="AC192" s="3"/>
      <c r="AD192" s="3"/>
      <c r="AE192" s="3"/>
      <c r="AF192" s="3"/>
    </row>
    <row r="193" ht="15.75" customHeight="1">
      <c r="J193" s="15"/>
      <c r="K193" s="188"/>
      <c r="L193" s="15"/>
      <c r="M193" s="15"/>
      <c r="N193" s="15"/>
      <c r="O193" s="15"/>
      <c r="P193" s="15"/>
      <c r="Q193" s="15"/>
      <c r="R193" s="15"/>
      <c r="S193" s="15"/>
      <c r="T193" s="15"/>
      <c r="U193" s="15"/>
      <c r="V193" s="15"/>
      <c r="W193" s="15"/>
      <c r="X193" s="14"/>
      <c r="Y193" s="14"/>
      <c r="Z193" s="15"/>
      <c r="AA193" s="3"/>
      <c r="AB193" s="3"/>
      <c r="AC193" s="3"/>
      <c r="AD193" s="3"/>
      <c r="AE193" s="3"/>
      <c r="AF193" s="3"/>
    </row>
    <row r="194" ht="15.75" customHeight="1">
      <c r="J194" s="15"/>
      <c r="K194" s="188"/>
      <c r="L194" s="15"/>
      <c r="M194" s="15"/>
      <c r="N194" s="15"/>
      <c r="O194" s="15"/>
      <c r="P194" s="15"/>
      <c r="Q194" s="15"/>
      <c r="R194" s="15"/>
      <c r="S194" s="15"/>
      <c r="T194" s="15"/>
      <c r="U194" s="15"/>
      <c r="V194" s="15"/>
      <c r="W194" s="15"/>
      <c r="X194" s="14"/>
      <c r="Y194" s="14"/>
      <c r="Z194" s="15"/>
      <c r="AA194" s="3"/>
      <c r="AB194" s="3"/>
      <c r="AC194" s="3"/>
      <c r="AD194" s="3"/>
      <c r="AE194" s="3"/>
      <c r="AF194" s="3"/>
    </row>
    <row r="195" ht="15.75" customHeight="1">
      <c r="J195" s="15"/>
      <c r="K195" s="188"/>
      <c r="L195" s="15"/>
      <c r="M195" s="15"/>
      <c r="N195" s="15"/>
      <c r="O195" s="15"/>
      <c r="P195" s="15"/>
      <c r="Q195" s="15"/>
      <c r="R195" s="15"/>
      <c r="S195" s="15"/>
      <c r="T195" s="15"/>
      <c r="U195" s="15"/>
      <c r="V195" s="15"/>
      <c r="W195" s="15"/>
      <c r="X195" s="14"/>
      <c r="Y195" s="14"/>
      <c r="Z195" s="15"/>
      <c r="AA195" s="3"/>
      <c r="AB195" s="3"/>
      <c r="AC195" s="3"/>
      <c r="AD195" s="3"/>
      <c r="AE195" s="3"/>
      <c r="AF195" s="3"/>
    </row>
    <row r="196" ht="15.75" customHeight="1">
      <c r="J196" s="15"/>
      <c r="K196" s="188"/>
      <c r="L196" s="15"/>
      <c r="M196" s="15"/>
      <c r="N196" s="15"/>
      <c r="O196" s="15"/>
      <c r="P196" s="15"/>
      <c r="Q196" s="15"/>
      <c r="R196" s="15"/>
      <c r="S196" s="15"/>
      <c r="T196" s="15"/>
      <c r="U196" s="15"/>
      <c r="V196" s="15"/>
      <c r="W196" s="15"/>
      <c r="X196" s="14"/>
      <c r="Y196" s="14"/>
      <c r="Z196" s="15"/>
      <c r="AA196" s="3"/>
      <c r="AB196" s="3"/>
      <c r="AC196" s="3"/>
      <c r="AD196" s="3"/>
      <c r="AE196" s="3"/>
      <c r="AF196" s="3"/>
    </row>
    <row r="197" ht="15.75" customHeight="1">
      <c r="J197" s="15"/>
      <c r="K197" s="188"/>
      <c r="L197" s="15"/>
      <c r="M197" s="15"/>
      <c r="N197" s="15"/>
      <c r="O197" s="15"/>
      <c r="P197" s="15"/>
      <c r="Q197" s="15"/>
      <c r="R197" s="15"/>
      <c r="S197" s="15"/>
      <c r="T197" s="15"/>
      <c r="U197" s="15"/>
      <c r="V197" s="15"/>
      <c r="W197" s="15"/>
      <c r="X197" s="14"/>
      <c r="Y197" s="14"/>
      <c r="Z197" s="15"/>
      <c r="AA197" s="3"/>
      <c r="AB197" s="3"/>
      <c r="AC197" s="3"/>
      <c r="AD197" s="3"/>
      <c r="AE197" s="3"/>
      <c r="AF197" s="3"/>
    </row>
    <row r="198" ht="15.75" customHeight="1">
      <c r="J198" s="15"/>
      <c r="K198" s="188"/>
      <c r="L198" s="15"/>
      <c r="M198" s="15"/>
      <c r="N198" s="15"/>
      <c r="O198" s="15"/>
      <c r="P198" s="15"/>
      <c r="Q198" s="15"/>
      <c r="R198" s="15"/>
      <c r="S198" s="15"/>
      <c r="T198" s="15"/>
      <c r="U198" s="15"/>
      <c r="V198" s="15"/>
      <c r="W198" s="15"/>
      <c r="X198" s="14"/>
      <c r="Y198" s="14"/>
      <c r="Z198" s="15"/>
      <c r="AA198" s="3"/>
      <c r="AB198" s="3"/>
      <c r="AC198" s="3"/>
      <c r="AD198" s="3"/>
      <c r="AE198" s="3"/>
      <c r="AF198" s="3"/>
    </row>
    <row r="199" ht="15.75" customHeight="1">
      <c r="J199" s="15"/>
      <c r="K199" s="188"/>
      <c r="L199" s="15"/>
      <c r="M199" s="15"/>
      <c r="N199" s="15"/>
      <c r="O199" s="15"/>
      <c r="P199" s="15"/>
      <c r="Q199" s="15"/>
      <c r="R199" s="15"/>
      <c r="S199" s="15"/>
      <c r="T199" s="15"/>
      <c r="U199" s="15"/>
      <c r="V199" s="15"/>
      <c r="W199" s="15"/>
      <c r="X199" s="14"/>
      <c r="Y199" s="14"/>
      <c r="Z199" s="15"/>
      <c r="AA199" s="3"/>
      <c r="AB199" s="3"/>
      <c r="AC199" s="3"/>
      <c r="AD199" s="3"/>
      <c r="AE199" s="3"/>
      <c r="AF199" s="3"/>
    </row>
    <row r="200" ht="15.75" customHeight="1">
      <c r="J200" s="15"/>
      <c r="K200" s="188"/>
      <c r="L200" s="15"/>
      <c r="M200" s="15"/>
      <c r="N200" s="15"/>
      <c r="O200" s="15"/>
      <c r="P200" s="15"/>
      <c r="Q200" s="15"/>
      <c r="R200" s="15"/>
      <c r="S200" s="15"/>
      <c r="T200" s="15"/>
      <c r="U200" s="15"/>
      <c r="V200" s="15"/>
      <c r="W200" s="15"/>
      <c r="X200" s="14"/>
      <c r="Y200" s="14"/>
      <c r="Z200" s="15"/>
      <c r="AA200" s="3"/>
      <c r="AB200" s="3"/>
      <c r="AC200" s="3"/>
      <c r="AD200" s="3"/>
      <c r="AE200" s="3"/>
      <c r="AF200" s="3"/>
    </row>
    <row r="201" ht="15.75" customHeight="1">
      <c r="J201" s="15"/>
      <c r="K201" s="188"/>
      <c r="L201" s="15"/>
      <c r="M201" s="15"/>
      <c r="N201" s="15"/>
      <c r="O201" s="15"/>
      <c r="P201" s="15"/>
      <c r="Q201" s="15"/>
      <c r="R201" s="15"/>
      <c r="S201" s="15"/>
      <c r="T201" s="15"/>
      <c r="U201" s="15"/>
      <c r="V201" s="15"/>
      <c r="W201" s="15"/>
      <c r="X201" s="14"/>
      <c r="Y201" s="14"/>
      <c r="Z201" s="15"/>
      <c r="AA201" s="3"/>
      <c r="AB201" s="3"/>
      <c r="AC201" s="3"/>
      <c r="AD201" s="3"/>
      <c r="AE201" s="3"/>
      <c r="AF201" s="3"/>
    </row>
    <row r="202" ht="15.75" customHeight="1">
      <c r="J202" s="15"/>
      <c r="K202" s="188"/>
      <c r="L202" s="15"/>
      <c r="M202" s="15"/>
      <c r="N202" s="15"/>
      <c r="O202" s="15"/>
      <c r="P202" s="15"/>
      <c r="Q202" s="15"/>
      <c r="R202" s="15"/>
      <c r="S202" s="15"/>
      <c r="T202" s="15"/>
      <c r="U202" s="15"/>
      <c r="V202" s="15"/>
      <c r="W202" s="15"/>
      <c r="X202" s="14"/>
      <c r="Y202" s="14"/>
      <c r="Z202" s="15"/>
      <c r="AA202" s="3"/>
      <c r="AB202" s="3"/>
      <c r="AC202" s="3"/>
      <c r="AD202" s="3"/>
      <c r="AE202" s="3"/>
      <c r="AF202" s="3"/>
    </row>
    <row r="203" ht="15.75" customHeight="1">
      <c r="J203" s="15"/>
      <c r="K203" s="188"/>
      <c r="L203" s="15"/>
      <c r="M203" s="15"/>
      <c r="N203" s="15"/>
      <c r="O203" s="15"/>
      <c r="P203" s="15"/>
      <c r="Q203" s="15"/>
      <c r="R203" s="15"/>
      <c r="S203" s="15"/>
      <c r="T203" s="15"/>
      <c r="U203" s="15"/>
      <c r="V203" s="15"/>
      <c r="W203" s="15"/>
      <c r="X203" s="14"/>
      <c r="Y203" s="14"/>
      <c r="Z203" s="15"/>
      <c r="AA203" s="3"/>
      <c r="AB203" s="3"/>
      <c r="AC203" s="3"/>
      <c r="AD203" s="3"/>
      <c r="AE203" s="3"/>
      <c r="AF203" s="3"/>
    </row>
    <row r="204" ht="15.75" customHeight="1">
      <c r="J204" s="15"/>
      <c r="K204" s="188"/>
      <c r="L204" s="15"/>
      <c r="M204" s="15"/>
      <c r="N204" s="15"/>
      <c r="O204" s="15"/>
      <c r="P204" s="15"/>
      <c r="Q204" s="15"/>
      <c r="R204" s="15"/>
      <c r="S204" s="15"/>
      <c r="T204" s="15"/>
      <c r="U204" s="15"/>
      <c r="V204" s="15"/>
      <c r="W204" s="15"/>
      <c r="X204" s="14"/>
      <c r="Y204" s="14"/>
      <c r="Z204" s="15"/>
      <c r="AA204" s="3"/>
      <c r="AB204" s="3"/>
      <c r="AC204" s="3"/>
      <c r="AD204" s="3"/>
      <c r="AE204" s="3"/>
      <c r="AF204" s="3"/>
    </row>
    <row r="205" ht="15.75" customHeight="1">
      <c r="J205" s="15"/>
      <c r="K205" s="188"/>
      <c r="L205" s="15"/>
      <c r="M205" s="15"/>
      <c r="N205" s="15"/>
      <c r="O205" s="15"/>
      <c r="P205" s="15"/>
      <c r="Q205" s="15"/>
      <c r="R205" s="15"/>
      <c r="S205" s="15"/>
      <c r="T205" s="15"/>
      <c r="U205" s="15"/>
      <c r="V205" s="15"/>
      <c r="W205" s="15"/>
      <c r="X205" s="14"/>
      <c r="Y205" s="14"/>
      <c r="Z205" s="15"/>
      <c r="AA205" s="3"/>
      <c r="AB205" s="3"/>
      <c r="AC205" s="3"/>
      <c r="AD205" s="3"/>
      <c r="AE205" s="3"/>
      <c r="AF205" s="3"/>
    </row>
    <row r="206" ht="15.75" customHeight="1">
      <c r="J206" s="15"/>
      <c r="K206" s="188"/>
      <c r="L206" s="15"/>
      <c r="M206" s="15"/>
      <c r="N206" s="15"/>
      <c r="O206" s="15"/>
      <c r="P206" s="15"/>
      <c r="Q206" s="15"/>
      <c r="R206" s="15"/>
      <c r="S206" s="15"/>
      <c r="T206" s="15"/>
      <c r="U206" s="15"/>
      <c r="V206" s="15"/>
      <c r="W206" s="15"/>
      <c r="X206" s="14"/>
      <c r="Y206" s="14"/>
      <c r="Z206" s="15"/>
      <c r="AA206" s="3"/>
      <c r="AB206" s="3"/>
      <c r="AC206" s="3"/>
      <c r="AD206" s="3"/>
      <c r="AE206" s="3"/>
      <c r="AF206" s="3"/>
    </row>
    <row r="207" ht="15.75" customHeight="1">
      <c r="J207" s="15"/>
      <c r="K207" s="188"/>
      <c r="L207" s="15"/>
      <c r="M207" s="15"/>
      <c r="N207" s="15"/>
      <c r="O207" s="15"/>
      <c r="P207" s="15"/>
      <c r="Q207" s="15"/>
      <c r="R207" s="15"/>
      <c r="S207" s="15"/>
      <c r="T207" s="15"/>
      <c r="U207" s="15"/>
      <c r="V207" s="15"/>
      <c r="W207" s="15"/>
      <c r="X207" s="14"/>
      <c r="Y207" s="14"/>
      <c r="Z207" s="15"/>
      <c r="AA207" s="3"/>
      <c r="AB207" s="3"/>
      <c r="AC207" s="3"/>
      <c r="AD207" s="3"/>
      <c r="AE207" s="3"/>
      <c r="AF207" s="3"/>
    </row>
    <row r="208" ht="15.75" customHeight="1">
      <c r="J208" s="15"/>
      <c r="K208" s="188"/>
      <c r="L208" s="15"/>
      <c r="M208" s="15"/>
      <c r="N208" s="15"/>
      <c r="O208" s="15"/>
      <c r="P208" s="15"/>
      <c r="Q208" s="15"/>
      <c r="R208" s="15"/>
      <c r="S208" s="15"/>
      <c r="T208" s="15"/>
      <c r="U208" s="15"/>
      <c r="V208" s="15"/>
      <c r="W208" s="15"/>
      <c r="X208" s="14"/>
      <c r="Y208" s="14"/>
      <c r="Z208" s="15"/>
      <c r="AA208" s="3"/>
      <c r="AB208" s="3"/>
      <c r="AC208" s="3"/>
      <c r="AD208" s="3"/>
      <c r="AE208" s="3"/>
      <c r="AF208" s="3"/>
    </row>
    <row r="209" ht="15.75" customHeight="1">
      <c r="J209" s="15"/>
      <c r="K209" s="188"/>
      <c r="L209" s="15"/>
      <c r="M209" s="15"/>
      <c r="N209" s="15"/>
      <c r="O209" s="15"/>
      <c r="P209" s="15"/>
      <c r="Q209" s="15"/>
      <c r="R209" s="15"/>
      <c r="S209" s="15"/>
      <c r="T209" s="15"/>
      <c r="U209" s="15"/>
      <c r="V209" s="15"/>
      <c r="W209" s="15"/>
      <c r="X209" s="14"/>
      <c r="Y209" s="14"/>
      <c r="Z209" s="15"/>
      <c r="AA209" s="3"/>
      <c r="AB209" s="3"/>
      <c r="AC209" s="3"/>
      <c r="AD209" s="3"/>
      <c r="AE209" s="3"/>
      <c r="AF209" s="3"/>
    </row>
    <row r="210" ht="15.75" customHeight="1">
      <c r="J210" s="15"/>
      <c r="K210" s="188"/>
      <c r="L210" s="15"/>
      <c r="M210" s="15"/>
      <c r="N210" s="15"/>
      <c r="O210" s="15"/>
      <c r="P210" s="15"/>
      <c r="Q210" s="15"/>
      <c r="R210" s="15"/>
      <c r="S210" s="15"/>
      <c r="T210" s="15"/>
      <c r="U210" s="15"/>
      <c r="V210" s="15"/>
      <c r="W210" s="15"/>
      <c r="X210" s="14"/>
      <c r="Y210" s="14"/>
      <c r="Z210" s="15"/>
      <c r="AA210" s="3"/>
      <c r="AB210" s="3"/>
      <c r="AC210" s="3"/>
      <c r="AD210" s="3"/>
      <c r="AE210" s="3"/>
      <c r="AF210" s="3"/>
    </row>
    <row r="211" ht="15.75" customHeight="1">
      <c r="J211" s="15"/>
      <c r="K211" s="188"/>
      <c r="L211" s="15"/>
      <c r="M211" s="15"/>
      <c r="N211" s="15"/>
      <c r="O211" s="15"/>
      <c r="P211" s="15"/>
      <c r="Q211" s="15"/>
      <c r="R211" s="15"/>
      <c r="S211" s="15"/>
      <c r="T211" s="15"/>
      <c r="U211" s="15"/>
      <c r="V211" s="15"/>
      <c r="W211" s="15"/>
      <c r="X211" s="14"/>
      <c r="Y211" s="14"/>
      <c r="Z211" s="15"/>
      <c r="AA211" s="3"/>
      <c r="AB211" s="3"/>
      <c r="AC211" s="3"/>
      <c r="AD211" s="3"/>
      <c r="AE211" s="3"/>
      <c r="AF211" s="3"/>
    </row>
    <row r="212" ht="15.75" customHeight="1">
      <c r="J212" s="15"/>
      <c r="K212" s="188"/>
      <c r="L212" s="15"/>
      <c r="M212" s="15"/>
      <c r="N212" s="15"/>
      <c r="O212" s="15"/>
      <c r="P212" s="15"/>
      <c r="Q212" s="15"/>
      <c r="R212" s="15"/>
      <c r="S212" s="15"/>
      <c r="T212" s="15"/>
      <c r="U212" s="15"/>
      <c r="V212" s="15"/>
      <c r="W212" s="15"/>
      <c r="X212" s="14"/>
      <c r="Y212" s="14"/>
      <c r="Z212" s="15"/>
      <c r="AA212" s="3"/>
      <c r="AB212" s="3"/>
      <c r="AC212" s="3"/>
      <c r="AD212" s="3"/>
      <c r="AE212" s="3"/>
      <c r="AF212" s="3"/>
    </row>
    <row r="213" ht="15.75" customHeight="1">
      <c r="J213" s="15"/>
      <c r="K213" s="188"/>
      <c r="L213" s="15"/>
      <c r="M213" s="15"/>
      <c r="N213" s="15"/>
      <c r="O213" s="15"/>
      <c r="P213" s="15"/>
      <c r="Q213" s="15"/>
      <c r="R213" s="15"/>
      <c r="S213" s="15"/>
      <c r="T213" s="15"/>
      <c r="U213" s="15"/>
      <c r="V213" s="15"/>
      <c r="W213" s="15"/>
      <c r="X213" s="14"/>
      <c r="Y213" s="14"/>
      <c r="Z213" s="15"/>
      <c r="AA213" s="3"/>
      <c r="AB213" s="3"/>
      <c r="AC213" s="3"/>
      <c r="AD213" s="3"/>
      <c r="AE213" s="3"/>
      <c r="AF213" s="3"/>
    </row>
    <row r="214" ht="15.75" customHeight="1">
      <c r="J214" s="15"/>
      <c r="K214" s="188"/>
      <c r="L214" s="15"/>
      <c r="M214" s="15"/>
      <c r="N214" s="15"/>
      <c r="O214" s="15"/>
      <c r="P214" s="15"/>
      <c r="Q214" s="15"/>
      <c r="R214" s="15"/>
      <c r="S214" s="15"/>
      <c r="T214" s="15"/>
      <c r="U214" s="15"/>
      <c r="V214" s="15"/>
      <c r="W214" s="15"/>
      <c r="X214" s="14"/>
      <c r="Y214" s="14"/>
      <c r="Z214" s="15"/>
      <c r="AA214" s="3"/>
      <c r="AB214" s="3"/>
      <c r="AC214" s="3"/>
      <c r="AD214" s="3"/>
      <c r="AE214" s="3"/>
      <c r="AF214" s="3"/>
    </row>
    <row r="215" ht="15.75" customHeight="1">
      <c r="J215" s="15"/>
      <c r="K215" s="188"/>
      <c r="L215" s="15"/>
      <c r="M215" s="15"/>
      <c r="N215" s="15"/>
      <c r="O215" s="15"/>
      <c r="P215" s="15"/>
      <c r="Q215" s="15"/>
      <c r="R215" s="15"/>
      <c r="S215" s="15"/>
      <c r="T215" s="15"/>
      <c r="U215" s="15"/>
      <c r="V215" s="15"/>
      <c r="W215" s="15"/>
      <c r="X215" s="14"/>
      <c r="Y215" s="14"/>
      <c r="Z215" s="15"/>
      <c r="AA215" s="3"/>
      <c r="AB215" s="3"/>
      <c r="AC215" s="3"/>
      <c r="AD215" s="3"/>
      <c r="AE215" s="3"/>
      <c r="AF215" s="3"/>
    </row>
    <row r="216" ht="15.75" customHeight="1">
      <c r="J216" s="15"/>
      <c r="K216" s="188"/>
      <c r="L216" s="15"/>
      <c r="M216" s="15"/>
      <c r="N216" s="15"/>
      <c r="O216" s="15"/>
      <c r="P216" s="15"/>
      <c r="Q216" s="15"/>
      <c r="R216" s="15"/>
      <c r="S216" s="15"/>
      <c r="T216" s="15"/>
      <c r="U216" s="15"/>
      <c r="V216" s="15"/>
      <c r="W216" s="15"/>
      <c r="X216" s="14"/>
      <c r="Y216" s="14"/>
      <c r="Z216" s="15"/>
      <c r="AA216" s="3"/>
      <c r="AB216" s="3"/>
      <c r="AC216" s="3"/>
      <c r="AD216" s="3"/>
      <c r="AE216" s="3"/>
      <c r="AF216" s="3"/>
    </row>
    <row r="217" ht="15.75" customHeight="1">
      <c r="J217" s="15"/>
      <c r="K217" s="188"/>
      <c r="L217" s="15"/>
      <c r="M217" s="15"/>
      <c r="N217" s="15"/>
      <c r="O217" s="15"/>
      <c r="P217" s="15"/>
      <c r="Q217" s="15"/>
      <c r="R217" s="15"/>
      <c r="S217" s="15"/>
      <c r="T217" s="15"/>
      <c r="U217" s="15"/>
      <c r="V217" s="15"/>
      <c r="W217" s="15"/>
      <c r="X217" s="14"/>
      <c r="Y217" s="14"/>
      <c r="Z217" s="15"/>
      <c r="AA217" s="3"/>
      <c r="AB217" s="3"/>
      <c r="AC217" s="3"/>
      <c r="AD217" s="3"/>
      <c r="AE217" s="3"/>
      <c r="AF217" s="3"/>
    </row>
    <row r="218" ht="15.75" customHeight="1">
      <c r="J218" s="15"/>
      <c r="K218" s="188"/>
      <c r="L218" s="15"/>
      <c r="M218" s="15"/>
      <c r="N218" s="15"/>
      <c r="O218" s="15"/>
      <c r="P218" s="15"/>
      <c r="Q218" s="15"/>
      <c r="R218" s="15"/>
      <c r="S218" s="15"/>
      <c r="T218" s="15"/>
      <c r="U218" s="15"/>
      <c r="V218" s="15"/>
      <c r="W218" s="15"/>
      <c r="X218" s="14"/>
      <c r="Y218" s="14"/>
      <c r="Z218" s="15"/>
      <c r="AA218" s="3"/>
      <c r="AB218" s="3"/>
      <c r="AC218" s="3"/>
      <c r="AD218" s="3"/>
      <c r="AE218" s="3"/>
      <c r="AF218" s="3"/>
    </row>
    <row r="219" ht="15.75" customHeight="1">
      <c r="J219" s="15"/>
      <c r="K219" s="188"/>
      <c r="L219" s="15"/>
      <c r="M219" s="15"/>
      <c r="N219" s="15"/>
      <c r="O219" s="15"/>
      <c r="P219" s="15"/>
      <c r="Q219" s="15"/>
      <c r="R219" s="15"/>
      <c r="S219" s="15"/>
      <c r="T219" s="15"/>
      <c r="U219" s="15"/>
      <c r="V219" s="15"/>
      <c r="W219" s="15"/>
      <c r="X219" s="14"/>
      <c r="Y219" s="14"/>
      <c r="Z219" s="15"/>
      <c r="AA219" s="3"/>
      <c r="AB219" s="3"/>
      <c r="AC219" s="3"/>
      <c r="AD219" s="3"/>
      <c r="AE219" s="3"/>
      <c r="AF219" s="3"/>
    </row>
    <row r="220" ht="15.75" customHeight="1">
      <c r="J220" s="15"/>
      <c r="K220" s="188"/>
      <c r="L220" s="15"/>
      <c r="M220" s="15"/>
      <c r="N220" s="15"/>
      <c r="O220" s="15"/>
      <c r="P220" s="15"/>
      <c r="Q220" s="15"/>
      <c r="R220" s="15"/>
      <c r="S220" s="15"/>
      <c r="T220" s="15"/>
      <c r="U220" s="15"/>
      <c r="V220" s="15"/>
      <c r="W220" s="15"/>
      <c r="X220" s="14"/>
      <c r="Y220" s="14"/>
      <c r="Z220" s="15"/>
      <c r="AA220" s="3"/>
      <c r="AB220" s="3"/>
      <c r="AC220" s="3"/>
      <c r="AD220" s="3"/>
      <c r="AE220" s="3"/>
      <c r="AF220" s="3"/>
    </row>
    <row r="221" ht="15.75" customHeight="1">
      <c r="J221" s="15"/>
      <c r="K221" s="188"/>
      <c r="L221" s="15"/>
      <c r="M221" s="15"/>
      <c r="N221" s="15"/>
      <c r="O221" s="15"/>
      <c r="P221" s="15"/>
      <c r="Q221" s="15"/>
      <c r="R221" s="15"/>
      <c r="S221" s="15"/>
      <c r="T221" s="15"/>
      <c r="U221" s="15"/>
      <c r="V221" s="15"/>
      <c r="W221" s="15"/>
      <c r="X221" s="14"/>
      <c r="Y221" s="14"/>
      <c r="Z221" s="15"/>
      <c r="AA221" s="3"/>
      <c r="AB221" s="3"/>
      <c r="AC221" s="3"/>
      <c r="AD221" s="3"/>
      <c r="AE221" s="3"/>
      <c r="AF221" s="3"/>
    </row>
    <row r="222" ht="15.75" customHeight="1">
      <c r="J222" s="15"/>
      <c r="K222" s="188"/>
      <c r="L222" s="15"/>
      <c r="M222" s="15"/>
      <c r="N222" s="15"/>
      <c r="O222" s="15"/>
      <c r="P222" s="15"/>
      <c r="Q222" s="15"/>
      <c r="R222" s="15"/>
      <c r="S222" s="15"/>
      <c r="T222" s="15"/>
      <c r="U222" s="15"/>
      <c r="V222" s="15"/>
      <c r="W222" s="15"/>
      <c r="X222" s="14"/>
      <c r="Y222" s="14"/>
      <c r="Z222" s="15"/>
      <c r="AA222" s="3"/>
      <c r="AB222" s="3"/>
      <c r="AC222" s="3"/>
      <c r="AD222" s="3"/>
      <c r="AE222" s="3"/>
      <c r="AF222" s="3"/>
    </row>
    <row r="223" ht="15.75" customHeight="1">
      <c r="J223" s="15"/>
      <c r="K223" s="188"/>
      <c r="L223" s="15"/>
      <c r="M223" s="15"/>
      <c r="N223" s="15"/>
      <c r="O223" s="15"/>
      <c r="P223" s="15"/>
      <c r="Q223" s="15"/>
      <c r="R223" s="15"/>
      <c r="S223" s="15"/>
      <c r="T223" s="15"/>
      <c r="U223" s="15"/>
      <c r="V223" s="15"/>
      <c r="W223" s="15"/>
      <c r="X223" s="14"/>
      <c r="Y223" s="14"/>
      <c r="Z223" s="15"/>
      <c r="AA223" s="3"/>
      <c r="AB223" s="3"/>
      <c r="AC223" s="3"/>
      <c r="AD223" s="3"/>
      <c r="AE223" s="3"/>
      <c r="AF223" s="3"/>
    </row>
    <row r="224" ht="15.75" customHeight="1">
      <c r="J224" s="15"/>
      <c r="K224" s="188"/>
      <c r="L224" s="15"/>
      <c r="M224" s="15"/>
      <c r="N224" s="15"/>
      <c r="O224" s="15"/>
      <c r="P224" s="15"/>
      <c r="Q224" s="15"/>
      <c r="R224" s="15"/>
      <c r="S224" s="15"/>
      <c r="T224" s="15"/>
      <c r="U224" s="15"/>
      <c r="V224" s="15"/>
      <c r="W224" s="15"/>
      <c r="X224" s="14"/>
      <c r="Y224" s="14"/>
      <c r="Z224" s="15"/>
      <c r="AA224" s="3"/>
      <c r="AB224" s="3"/>
      <c r="AC224" s="3"/>
      <c r="AD224" s="3"/>
      <c r="AE224" s="3"/>
      <c r="AF224" s="3"/>
    </row>
    <row r="225" ht="15.75" customHeight="1">
      <c r="J225" s="15"/>
      <c r="K225" s="188"/>
      <c r="L225" s="15"/>
      <c r="M225" s="15"/>
      <c r="N225" s="15"/>
      <c r="O225" s="15"/>
      <c r="P225" s="15"/>
      <c r="Q225" s="15"/>
      <c r="R225" s="15"/>
      <c r="S225" s="15"/>
      <c r="T225" s="15"/>
      <c r="U225" s="15"/>
      <c r="V225" s="15"/>
      <c r="W225" s="15"/>
      <c r="X225" s="14"/>
      <c r="Y225" s="14"/>
      <c r="Z225" s="15"/>
      <c r="AA225" s="3"/>
      <c r="AB225" s="3"/>
      <c r="AC225" s="3"/>
      <c r="AD225" s="3"/>
      <c r="AE225" s="3"/>
      <c r="AF225" s="3"/>
    </row>
    <row r="226" ht="15.75" customHeight="1">
      <c r="J226" s="15"/>
      <c r="K226" s="188"/>
      <c r="L226" s="15"/>
      <c r="M226" s="15"/>
      <c r="N226" s="15"/>
      <c r="O226" s="15"/>
      <c r="P226" s="15"/>
      <c r="Q226" s="15"/>
      <c r="R226" s="15"/>
      <c r="S226" s="15"/>
      <c r="T226" s="15"/>
      <c r="U226" s="15"/>
      <c r="V226" s="15"/>
      <c r="W226" s="15"/>
      <c r="X226" s="14"/>
      <c r="Y226" s="14"/>
      <c r="Z226" s="15"/>
      <c r="AA226" s="3"/>
      <c r="AB226" s="3"/>
      <c r="AC226" s="3"/>
      <c r="AD226" s="3"/>
      <c r="AE226" s="3"/>
      <c r="AF226" s="3"/>
    </row>
    <row r="227" ht="15.75" customHeight="1">
      <c r="J227" s="15"/>
      <c r="K227" s="188"/>
      <c r="L227" s="15"/>
      <c r="M227" s="15"/>
      <c r="N227" s="15"/>
      <c r="O227" s="15"/>
      <c r="P227" s="15"/>
      <c r="Q227" s="15"/>
      <c r="R227" s="15"/>
      <c r="S227" s="15"/>
      <c r="T227" s="15"/>
      <c r="U227" s="15"/>
      <c r="V227" s="15"/>
      <c r="W227" s="15"/>
      <c r="X227" s="14"/>
      <c r="Y227" s="14"/>
      <c r="Z227" s="15"/>
      <c r="AA227" s="3"/>
      <c r="AB227" s="3"/>
      <c r="AC227" s="3"/>
      <c r="AD227" s="3"/>
      <c r="AE227" s="3"/>
      <c r="AF227" s="3"/>
    </row>
    <row r="228" ht="15.75" customHeight="1">
      <c r="J228" s="15"/>
      <c r="K228" s="188"/>
      <c r="L228" s="15"/>
      <c r="M228" s="15"/>
      <c r="N228" s="15"/>
      <c r="O228" s="15"/>
      <c r="P228" s="15"/>
      <c r="Q228" s="15"/>
      <c r="R228" s="15"/>
      <c r="S228" s="15"/>
      <c r="T228" s="15"/>
      <c r="U228" s="15"/>
      <c r="V228" s="15"/>
      <c r="W228" s="15"/>
      <c r="X228" s="14"/>
      <c r="Y228" s="14"/>
      <c r="Z228" s="15"/>
      <c r="AA228" s="3"/>
      <c r="AB228" s="3"/>
      <c r="AC228" s="3"/>
      <c r="AD228" s="3"/>
      <c r="AE228" s="3"/>
      <c r="AF228" s="3"/>
    </row>
    <row r="229" ht="15.75" customHeight="1">
      <c r="J229" s="15"/>
      <c r="K229" s="188"/>
      <c r="L229" s="15"/>
      <c r="M229" s="15"/>
      <c r="N229" s="15"/>
      <c r="O229" s="15"/>
      <c r="P229" s="15"/>
      <c r="Q229" s="15"/>
      <c r="R229" s="15"/>
      <c r="S229" s="15"/>
      <c r="T229" s="15"/>
      <c r="U229" s="15"/>
      <c r="V229" s="15"/>
      <c r="W229" s="15"/>
      <c r="X229" s="14"/>
      <c r="Y229" s="14"/>
      <c r="Z229" s="15"/>
      <c r="AA229" s="3"/>
      <c r="AB229" s="3"/>
      <c r="AC229" s="3"/>
      <c r="AD229" s="3"/>
      <c r="AE229" s="3"/>
      <c r="AF229" s="3"/>
    </row>
    <row r="230" ht="15.75" customHeight="1">
      <c r="J230" s="15"/>
      <c r="K230" s="188"/>
      <c r="L230" s="15"/>
      <c r="M230" s="15"/>
      <c r="N230" s="15"/>
      <c r="O230" s="15"/>
      <c r="P230" s="15"/>
      <c r="Q230" s="15"/>
      <c r="R230" s="15"/>
      <c r="S230" s="15"/>
      <c r="T230" s="15"/>
      <c r="U230" s="15"/>
      <c r="V230" s="15"/>
      <c r="W230" s="15"/>
      <c r="X230" s="14"/>
      <c r="Y230" s="14"/>
      <c r="Z230" s="15"/>
      <c r="AA230" s="3"/>
      <c r="AB230" s="3"/>
      <c r="AC230" s="3"/>
      <c r="AD230" s="3"/>
      <c r="AE230" s="3"/>
      <c r="AF230" s="3"/>
    </row>
    <row r="231" ht="15.75" customHeight="1">
      <c r="J231" s="15"/>
      <c r="K231" s="188"/>
      <c r="L231" s="15"/>
      <c r="M231" s="15"/>
      <c r="N231" s="15"/>
      <c r="O231" s="15"/>
      <c r="P231" s="15"/>
      <c r="Q231" s="15"/>
      <c r="R231" s="15"/>
      <c r="S231" s="15"/>
      <c r="T231" s="15"/>
      <c r="U231" s="15"/>
      <c r="V231" s="15"/>
      <c r="W231" s="15"/>
      <c r="X231" s="14"/>
      <c r="Y231" s="14"/>
      <c r="Z231" s="15"/>
      <c r="AA231" s="3"/>
      <c r="AB231" s="3"/>
      <c r="AC231" s="3"/>
      <c r="AD231" s="3"/>
      <c r="AE231" s="3"/>
      <c r="AF231" s="3"/>
    </row>
    <row r="232" ht="15.75" customHeight="1">
      <c r="J232" s="15"/>
      <c r="K232" s="188"/>
      <c r="L232" s="15"/>
      <c r="M232" s="15"/>
      <c r="N232" s="15"/>
      <c r="O232" s="15"/>
      <c r="P232" s="15"/>
      <c r="Q232" s="15"/>
      <c r="R232" s="15"/>
      <c r="S232" s="15"/>
      <c r="T232" s="15"/>
      <c r="U232" s="15"/>
      <c r="V232" s="15"/>
      <c r="W232" s="15"/>
      <c r="X232" s="14"/>
      <c r="Y232" s="14"/>
      <c r="Z232" s="15"/>
      <c r="AA232" s="3"/>
      <c r="AB232" s="3"/>
      <c r="AC232" s="3"/>
      <c r="AD232" s="3"/>
      <c r="AE232" s="3"/>
      <c r="AF232" s="3"/>
    </row>
    <row r="233" ht="15.75" customHeight="1">
      <c r="J233" s="15"/>
      <c r="K233" s="188"/>
      <c r="L233" s="15"/>
      <c r="M233" s="15"/>
      <c r="N233" s="15"/>
      <c r="O233" s="15"/>
      <c r="P233" s="15"/>
      <c r="Q233" s="15"/>
      <c r="R233" s="15"/>
      <c r="S233" s="15"/>
      <c r="T233" s="15"/>
      <c r="U233" s="15"/>
      <c r="V233" s="15"/>
      <c r="W233" s="15"/>
      <c r="X233" s="14"/>
      <c r="Y233" s="14"/>
      <c r="Z233" s="15"/>
      <c r="AA233" s="3"/>
      <c r="AB233" s="3"/>
      <c r="AC233" s="3"/>
      <c r="AD233" s="3"/>
      <c r="AE233" s="3"/>
      <c r="AF233" s="3"/>
    </row>
    <row r="234" ht="15.75" customHeight="1">
      <c r="J234" s="15"/>
      <c r="K234" s="188"/>
      <c r="L234" s="15"/>
      <c r="M234" s="15"/>
      <c r="N234" s="15"/>
      <c r="O234" s="15"/>
      <c r="P234" s="15"/>
      <c r="Q234" s="15"/>
      <c r="R234" s="15"/>
      <c r="S234" s="15"/>
      <c r="T234" s="15"/>
      <c r="U234" s="15"/>
      <c r="V234" s="15"/>
      <c r="W234" s="15"/>
      <c r="X234" s="14"/>
      <c r="Y234" s="14"/>
      <c r="Z234" s="15"/>
      <c r="AA234" s="3"/>
      <c r="AB234" s="3"/>
      <c r="AC234" s="3"/>
      <c r="AD234" s="3"/>
      <c r="AE234" s="3"/>
      <c r="AF234" s="3"/>
    </row>
    <row r="235" ht="15.75" customHeight="1">
      <c r="J235" s="15"/>
      <c r="K235" s="188"/>
      <c r="L235" s="15"/>
      <c r="M235" s="15"/>
      <c r="N235" s="15"/>
      <c r="O235" s="15"/>
      <c r="P235" s="15"/>
      <c r="Q235" s="15"/>
      <c r="R235" s="15"/>
      <c r="S235" s="15"/>
      <c r="T235" s="15"/>
      <c r="U235" s="15"/>
      <c r="V235" s="15"/>
      <c r="W235" s="15"/>
      <c r="X235" s="14"/>
      <c r="Y235" s="14"/>
      <c r="Z235" s="15"/>
      <c r="AA235" s="3"/>
      <c r="AB235" s="3"/>
      <c r="AC235" s="3"/>
      <c r="AD235" s="3"/>
      <c r="AE235" s="3"/>
      <c r="AF235" s="3"/>
    </row>
    <row r="236" ht="15.75" customHeight="1">
      <c r="J236" s="15"/>
      <c r="K236" s="188"/>
      <c r="L236" s="15"/>
      <c r="M236" s="15"/>
      <c r="N236" s="15"/>
      <c r="O236" s="15"/>
      <c r="P236" s="15"/>
      <c r="Q236" s="15"/>
      <c r="R236" s="15"/>
      <c r="S236" s="15"/>
      <c r="T236" s="15"/>
      <c r="U236" s="15"/>
      <c r="V236" s="15"/>
      <c r="W236" s="15"/>
      <c r="X236" s="14"/>
      <c r="Y236" s="14"/>
      <c r="Z236" s="15"/>
      <c r="AA236" s="3"/>
      <c r="AB236" s="3"/>
      <c r="AC236" s="3"/>
      <c r="AD236" s="3"/>
      <c r="AE236" s="3"/>
      <c r="AF236" s="3"/>
    </row>
    <row r="237" ht="15.75" customHeight="1">
      <c r="J237" s="15"/>
      <c r="K237" s="188"/>
      <c r="L237" s="15"/>
      <c r="M237" s="15"/>
      <c r="N237" s="15"/>
      <c r="O237" s="15"/>
      <c r="P237" s="15"/>
      <c r="Q237" s="15"/>
      <c r="R237" s="15"/>
      <c r="S237" s="15"/>
      <c r="T237" s="15"/>
      <c r="U237" s="15"/>
      <c r="V237" s="15"/>
      <c r="W237" s="15"/>
      <c r="X237" s="14"/>
      <c r="Y237" s="14"/>
      <c r="Z237" s="15"/>
      <c r="AA237" s="3"/>
      <c r="AB237" s="3"/>
      <c r="AC237" s="3"/>
      <c r="AD237" s="3"/>
      <c r="AE237" s="3"/>
      <c r="AF237" s="3"/>
    </row>
    <row r="238" ht="15.75" customHeight="1">
      <c r="J238" s="15"/>
      <c r="K238" s="188"/>
      <c r="L238" s="15"/>
      <c r="M238" s="15"/>
      <c r="N238" s="15"/>
      <c r="O238" s="15"/>
      <c r="P238" s="15"/>
      <c r="Q238" s="15"/>
      <c r="R238" s="15"/>
      <c r="S238" s="15"/>
      <c r="T238" s="15"/>
      <c r="U238" s="15"/>
      <c r="V238" s="15"/>
      <c r="W238" s="15"/>
      <c r="X238" s="14"/>
      <c r="Y238" s="14"/>
      <c r="Z238" s="15"/>
      <c r="AA238" s="3"/>
      <c r="AB238" s="3"/>
      <c r="AC238" s="3"/>
      <c r="AD238" s="3"/>
      <c r="AE238" s="3"/>
      <c r="AF238" s="3"/>
    </row>
    <row r="239" ht="15.75" customHeight="1">
      <c r="J239" s="15"/>
      <c r="K239" s="188"/>
      <c r="L239" s="15"/>
      <c r="M239" s="15"/>
      <c r="N239" s="15"/>
      <c r="O239" s="15"/>
      <c r="P239" s="15"/>
      <c r="Q239" s="15"/>
      <c r="R239" s="15"/>
      <c r="S239" s="15"/>
      <c r="T239" s="15"/>
      <c r="U239" s="15"/>
      <c r="V239" s="15"/>
      <c r="W239" s="15"/>
      <c r="X239" s="14"/>
      <c r="Y239" s="14"/>
      <c r="Z239" s="15"/>
      <c r="AA239" s="3"/>
      <c r="AB239" s="3"/>
      <c r="AC239" s="3"/>
      <c r="AD239" s="3"/>
      <c r="AE239" s="3"/>
      <c r="AF239" s="3"/>
    </row>
    <row r="240" ht="15.75" customHeight="1">
      <c r="J240" s="15"/>
      <c r="K240" s="188"/>
      <c r="L240" s="15"/>
      <c r="M240" s="15"/>
      <c r="N240" s="15"/>
      <c r="O240" s="15"/>
      <c r="P240" s="15"/>
      <c r="Q240" s="15"/>
      <c r="R240" s="15"/>
      <c r="S240" s="15"/>
      <c r="T240" s="15"/>
      <c r="U240" s="15"/>
      <c r="V240" s="15"/>
      <c r="W240" s="15"/>
      <c r="X240" s="14"/>
      <c r="Y240" s="14"/>
      <c r="Z240" s="15"/>
      <c r="AA240" s="3"/>
      <c r="AB240" s="3"/>
      <c r="AC240" s="3"/>
      <c r="AD240" s="3"/>
      <c r="AE240" s="3"/>
      <c r="AF240" s="3"/>
    </row>
    <row r="241" ht="15.75" customHeight="1">
      <c r="J241" s="15"/>
      <c r="K241" s="188"/>
      <c r="L241" s="15"/>
      <c r="M241" s="15"/>
      <c r="N241" s="15"/>
      <c r="O241" s="15"/>
      <c r="P241" s="15"/>
      <c r="Q241" s="15"/>
      <c r="R241" s="15"/>
      <c r="S241" s="15"/>
      <c r="T241" s="15"/>
      <c r="U241" s="15"/>
      <c r="V241" s="15"/>
      <c r="W241" s="15"/>
      <c r="X241" s="14"/>
      <c r="Y241" s="14"/>
      <c r="Z241" s="15"/>
      <c r="AA241" s="3"/>
      <c r="AB241" s="3"/>
      <c r="AC241" s="3"/>
      <c r="AD241" s="3"/>
      <c r="AE241" s="3"/>
      <c r="AF241" s="3"/>
    </row>
    <row r="242" ht="15.75" customHeight="1">
      <c r="J242" s="15"/>
      <c r="K242" s="188"/>
      <c r="L242" s="15"/>
      <c r="M242" s="15"/>
      <c r="N242" s="15"/>
      <c r="O242" s="15"/>
      <c r="P242" s="15"/>
      <c r="Q242" s="15"/>
      <c r="R242" s="15"/>
      <c r="S242" s="15"/>
      <c r="T242" s="15"/>
      <c r="U242" s="15"/>
      <c r="V242" s="15"/>
      <c r="W242" s="15"/>
      <c r="X242" s="14"/>
      <c r="Y242" s="14"/>
      <c r="Z242" s="15"/>
      <c r="AA242" s="3"/>
      <c r="AB242" s="3"/>
      <c r="AC242" s="3"/>
      <c r="AD242" s="3"/>
      <c r="AE242" s="3"/>
      <c r="AF242" s="3"/>
    </row>
    <row r="243" ht="15.75" customHeight="1">
      <c r="J243" s="15"/>
      <c r="K243" s="188"/>
      <c r="L243" s="15"/>
      <c r="M243" s="15"/>
      <c r="N243" s="15"/>
      <c r="O243" s="15"/>
      <c r="P243" s="15"/>
      <c r="Q243" s="15"/>
      <c r="R243" s="15"/>
      <c r="S243" s="15"/>
      <c r="T243" s="15"/>
      <c r="U243" s="15"/>
      <c r="V243" s="15"/>
      <c r="W243" s="15"/>
      <c r="X243" s="14"/>
      <c r="Y243" s="14"/>
      <c r="Z243" s="15"/>
      <c r="AA243" s="3"/>
      <c r="AB243" s="3"/>
      <c r="AC243" s="3"/>
      <c r="AD243" s="3"/>
      <c r="AE243" s="3"/>
      <c r="AF243" s="3"/>
    </row>
    <row r="244" ht="15.75" customHeight="1">
      <c r="J244" s="15"/>
      <c r="K244" s="188"/>
      <c r="L244" s="15"/>
      <c r="M244" s="15"/>
      <c r="N244" s="15"/>
      <c r="O244" s="15"/>
      <c r="P244" s="15"/>
      <c r="Q244" s="15"/>
      <c r="R244" s="15"/>
      <c r="S244" s="15"/>
      <c r="T244" s="15"/>
      <c r="U244" s="15"/>
      <c r="V244" s="15"/>
      <c r="W244" s="15"/>
      <c r="X244" s="14"/>
      <c r="Y244" s="14"/>
      <c r="Z244" s="15"/>
      <c r="AA244" s="3"/>
      <c r="AB244" s="3"/>
      <c r="AC244" s="3"/>
      <c r="AD244" s="3"/>
      <c r="AE244" s="3"/>
      <c r="AF244" s="3"/>
    </row>
    <row r="245" ht="15.75" customHeight="1">
      <c r="J245" s="15"/>
      <c r="K245" s="188"/>
      <c r="L245" s="15"/>
      <c r="M245" s="15"/>
      <c r="N245" s="15"/>
      <c r="O245" s="15"/>
      <c r="P245" s="15"/>
      <c r="Q245" s="15"/>
      <c r="R245" s="15"/>
      <c r="S245" s="15"/>
      <c r="T245" s="15"/>
      <c r="U245" s="15"/>
      <c r="V245" s="15"/>
      <c r="W245" s="15"/>
      <c r="X245" s="14"/>
      <c r="Y245" s="14"/>
      <c r="Z245" s="15"/>
      <c r="AA245" s="3"/>
      <c r="AB245" s="3"/>
      <c r="AC245" s="3"/>
      <c r="AD245" s="3"/>
      <c r="AE245" s="3"/>
      <c r="AF245" s="3"/>
    </row>
    <row r="246" ht="15.75" customHeight="1">
      <c r="J246" s="15"/>
      <c r="K246" s="188"/>
      <c r="L246" s="15"/>
      <c r="M246" s="15"/>
      <c r="N246" s="15"/>
      <c r="O246" s="15"/>
      <c r="P246" s="15"/>
      <c r="Q246" s="15"/>
      <c r="R246" s="15"/>
      <c r="S246" s="15"/>
      <c r="T246" s="15"/>
      <c r="U246" s="15"/>
      <c r="V246" s="15"/>
      <c r="W246" s="15"/>
      <c r="X246" s="14"/>
      <c r="Y246" s="14"/>
      <c r="Z246" s="15"/>
      <c r="AA246" s="3"/>
      <c r="AB246" s="3"/>
      <c r="AC246" s="3"/>
      <c r="AD246" s="3"/>
      <c r="AE246" s="3"/>
      <c r="AF246" s="3"/>
    </row>
    <row r="247" ht="15.75" customHeight="1">
      <c r="J247" s="15"/>
      <c r="K247" s="188"/>
      <c r="L247" s="15"/>
      <c r="M247" s="15"/>
      <c r="N247" s="15"/>
      <c r="O247" s="15"/>
      <c r="P247" s="15"/>
      <c r="Q247" s="15"/>
      <c r="R247" s="15"/>
      <c r="S247" s="15"/>
      <c r="T247" s="15"/>
      <c r="U247" s="15"/>
      <c r="V247" s="15"/>
      <c r="W247" s="15"/>
      <c r="X247" s="14"/>
      <c r="Y247" s="14"/>
      <c r="Z247" s="15"/>
      <c r="AA247" s="3"/>
      <c r="AB247" s="3"/>
      <c r="AC247" s="3"/>
      <c r="AD247" s="3"/>
      <c r="AE247" s="3"/>
      <c r="AF247" s="3"/>
    </row>
    <row r="248" ht="15.75" customHeight="1">
      <c r="J248" s="15"/>
      <c r="K248" s="188"/>
      <c r="L248" s="15"/>
      <c r="M248" s="15"/>
      <c r="N248" s="15"/>
      <c r="O248" s="15"/>
      <c r="P248" s="15"/>
      <c r="Q248" s="15"/>
      <c r="R248" s="15"/>
      <c r="S248" s="15"/>
      <c r="T248" s="15"/>
      <c r="U248" s="15"/>
      <c r="V248" s="15"/>
      <c r="W248" s="15"/>
      <c r="X248" s="14"/>
      <c r="Y248" s="14"/>
      <c r="Z248" s="15"/>
      <c r="AA248" s="3"/>
      <c r="AB248" s="3"/>
      <c r="AC248" s="3"/>
      <c r="AD248" s="3"/>
      <c r="AE248" s="3"/>
      <c r="AF248" s="3"/>
    </row>
    <row r="249" ht="15.75" customHeight="1">
      <c r="J249" s="15"/>
      <c r="K249" s="188"/>
      <c r="L249" s="15"/>
      <c r="M249" s="15"/>
      <c r="N249" s="15"/>
      <c r="O249" s="15"/>
      <c r="P249" s="15"/>
      <c r="Q249" s="15"/>
      <c r="R249" s="15"/>
      <c r="S249" s="15"/>
      <c r="T249" s="15"/>
      <c r="U249" s="15"/>
      <c r="V249" s="15"/>
      <c r="W249" s="15"/>
      <c r="X249" s="14"/>
      <c r="Y249" s="14"/>
      <c r="Z249" s="15"/>
      <c r="AA249" s="3"/>
      <c r="AB249" s="3"/>
      <c r="AC249" s="3"/>
      <c r="AD249" s="3"/>
      <c r="AE249" s="3"/>
      <c r="AF249" s="3"/>
    </row>
    <row r="250" ht="15.75" customHeight="1">
      <c r="J250" s="15"/>
      <c r="K250" s="188"/>
      <c r="L250" s="15"/>
      <c r="M250" s="15"/>
      <c r="N250" s="15"/>
      <c r="O250" s="15"/>
      <c r="P250" s="15"/>
      <c r="Q250" s="15"/>
      <c r="R250" s="15"/>
      <c r="S250" s="15"/>
      <c r="T250" s="15"/>
      <c r="U250" s="15"/>
      <c r="V250" s="15"/>
      <c r="W250" s="15"/>
      <c r="X250" s="14"/>
      <c r="Y250" s="14"/>
      <c r="Z250" s="15"/>
      <c r="AA250" s="3"/>
      <c r="AB250" s="3"/>
      <c r="AC250" s="3"/>
      <c r="AD250" s="3"/>
      <c r="AE250" s="3"/>
      <c r="AF250" s="3"/>
    </row>
    <row r="251" ht="15.75" customHeight="1">
      <c r="J251" s="15"/>
      <c r="K251" s="188"/>
      <c r="L251" s="15"/>
      <c r="M251" s="15"/>
      <c r="N251" s="15"/>
      <c r="O251" s="15"/>
      <c r="P251" s="15"/>
      <c r="Q251" s="15"/>
      <c r="R251" s="15"/>
      <c r="S251" s="15"/>
      <c r="T251" s="15"/>
      <c r="U251" s="15"/>
      <c r="V251" s="15"/>
      <c r="W251" s="15"/>
      <c r="X251" s="14"/>
      <c r="Y251" s="14"/>
      <c r="Z251" s="15"/>
      <c r="AA251" s="3"/>
      <c r="AB251" s="3"/>
      <c r="AC251" s="3"/>
      <c r="AD251" s="3"/>
      <c r="AE251" s="3"/>
      <c r="AF251" s="3"/>
    </row>
    <row r="252" ht="15.75" customHeight="1">
      <c r="J252" s="15"/>
      <c r="K252" s="188"/>
      <c r="L252" s="15"/>
      <c r="M252" s="15"/>
      <c r="N252" s="15"/>
      <c r="O252" s="15"/>
      <c r="P252" s="15"/>
      <c r="Q252" s="15"/>
      <c r="R252" s="15"/>
      <c r="S252" s="15"/>
      <c r="T252" s="15"/>
      <c r="U252" s="15"/>
      <c r="V252" s="15"/>
      <c r="W252" s="15"/>
      <c r="X252" s="14"/>
      <c r="Y252" s="14"/>
      <c r="Z252" s="15"/>
      <c r="AA252" s="3"/>
      <c r="AB252" s="3"/>
      <c r="AC252" s="3"/>
      <c r="AD252" s="3"/>
      <c r="AE252" s="3"/>
      <c r="AF252" s="3"/>
    </row>
    <row r="253" ht="15.75" customHeight="1">
      <c r="J253" s="15"/>
      <c r="K253" s="188"/>
      <c r="L253" s="15"/>
      <c r="M253" s="15"/>
      <c r="N253" s="15"/>
      <c r="O253" s="15"/>
      <c r="P253" s="15"/>
      <c r="Q253" s="15"/>
      <c r="R253" s="15"/>
      <c r="S253" s="15"/>
      <c r="T253" s="15"/>
      <c r="U253" s="15"/>
      <c r="V253" s="15"/>
      <c r="W253" s="15"/>
      <c r="X253" s="14"/>
      <c r="Y253" s="14"/>
      <c r="Z253" s="15"/>
      <c r="AA253" s="3"/>
      <c r="AB253" s="3"/>
      <c r="AC253" s="3"/>
      <c r="AD253" s="3"/>
      <c r="AE253" s="3"/>
      <c r="AF253" s="3"/>
    </row>
    <row r="254" ht="15.75" customHeight="1">
      <c r="J254" s="15"/>
      <c r="K254" s="188"/>
      <c r="L254" s="15"/>
      <c r="M254" s="15"/>
      <c r="N254" s="15"/>
      <c r="O254" s="15"/>
      <c r="P254" s="15"/>
      <c r="Q254" s="15"/>
      <c r="R254" s="15"/>
      <c r="S254" s="15"/>
      <c r="T254" s="15"/>
      <c r="U254" s="15"/>
      <c r="V254" s="15"/>
      <c r="W254" s="15"/>
      <c r="X254" s="14"/>
      <c r="Y254" s="14"/>
      <c r="Z254" s="15"/>
      <c r="AA254" s="3"/>
      <c r="AB254" s="3"/>
      <c r="AC254" s="3"/>
      <c r="AD254" s="3"/>
      <c r="AE254" s="3"/>
      <c r="AF254" s="3"/>
    </row>
    <row r="255" ht="15.75" customHeight="1">
      <c r="J255" s="15"/>
      <c r="K255" s="188"/>
      <c r="L255" s="15"/>
      <c r="M255" s="15"/>
      <c r="N255" s="15"/>
      <c r="O255" s="15"/>
      <c r="P255" s="15"/>
      <c r="Q255" s="15"/>
      <c r="R255" s="15"/>
      <c r="S255" s="15"/>
      <c r="T255" s="15"/>
      <c r="U255" s="15"/>
      <c r="V255" s="15"/>
      <c r="W255" s="15"/>
      <c r="X255" s="14"/>
      <c r="Y255" s="14"/>
      <c r="Z255" s="15"/>
      <c r="AA255" s="3"/>
      <c r="AB255" s="3"/>
      <c r="AC255" s="3"/>
      <c r="AD255" s="3"/>
      <c r="AE255" s="3"/>
      <c r="AF255" s="3"/>
    </row>
    <row r="256" ht="15.75" customHeight="1">
      <c r="J256" s="15"/>
      <c r="K256" s="188"/>
      <c r="L256" s="15"/>
      <c r="M256" s="15"/>
      <c r="N256" s="15"/>
      <c r="O256" s="15"/>
      <c r="P256" s="15"/>
      <c r="Q256" s="15"/>
      <c r="R256" s="15"/>
      <c r="S256" s="15"/>
      <c r="T256" s="15"/>
      <c r="U256" s="15"/>
      <c r="V256" s="15"/>
      <c r="W256" s="15"/>
      <c r="X256" s="14"/>
      <c r="Y256" s="14"/>
      <c r="Z256" s="15"/>
      <c r="AA256" s="3"/>
      <c r="AB256" s="3"/>
      <c r="AC256" s="3"/>
      <c r="AD256" s="3"/>
      <c r="AE256" s="3"/>
      <c r="AF256" s="3"/>
    </row>
    <row r="257" ht="15.75" customHeight="1">
      <c r="J257" s="15"/>
      <c r="K257" s="188"/>
      <c r="L257" s="15"/>
      <c r="M257" s="15"/>
      <c r="N257" s="15"/>
      <c r="O257" s="15"/>
      <c r="P257" s="15"/>
      <c r="Q257" s="15"/>
      <c r="R257" s="15"/>
      <c r="S257" s="15"/>
      <c r="T257" s="15"/>
      <c r="U257" s="15"/>
      <c r="V257" s="15"/>
      <c r="W257" s="15"/>
      <c r="X257" s="14"/>
      <c r="Y257" s="14"/>
      <c r="Z257" s="15"/>
      <c r="AA257" s="3"/>
      <c r="AB257" s="3"/>
      <c r="AC257" s="3"/>
      <c r="AD257" s="3"/>
      <c r="AE257" s="3"/>
      <c r="AF257" s="3"/>
    </row>
    <row r="258" ht="15.75" customHeight="1">
      <c r="J258" s="15"/>
      <c r="K258" s="188"/>
      <c r="L258" s="15"/>
      <c r="M258" s="15"/>
      <c r="N258" s="15"/>
      <c r="O258" s="15"/>
      <c r="P258" s="15"/>
      <c r="Q258" s="15"/>
      <c r="R258" s="15"/>
      <c r="S258" s="15"/>
      <c r="T258" s="15"/>
      <c r="U258" s="15"/>
      <c r="V258" s="15"/>
      <c r="W258" s="15"/>
      <c r="X258" s="14"/>
      <c r="Y258" s="14"/>
      <c r="Z258" s="15"/>
      <c r="AA258" s="3"/>
      <c r="AB258" s="3"/>
      <c r="AC258" s="3"/>
      <c r="AD258" s="3"/>
      <c r="AE258" s="3"/>
      <c r="AF258" s="3"/>
    </row>
    <row r="259" ht="15.75" customHeight="1">
      <c r="J259" s="15"/>
      <c r="K259" s="188"/>
      <c r="L259" s="15"/>
      <c r="M259" s="15"/>
      <c r="N259" s="15"/>
      <c r="O259" s="15"/>
      <c r="P259" s="15"/>
      <c r="Q259" s="15"/>
      <c r="R259" s="15"/>
      <c r="S259" s="15"/>
      <c r="T259" s="15"/>
      <c r="U259" s="15"/>
      <c r="V259" s="15"/>
      <c r="W259" s="15"/>
      <c r="X259" s="14"/>
      <c r="Y259" s="14"/>
      <c r="Z259" s="15"/>
      <c r="AA259" s="3"/>
      <c r="AB259" s="3"/>
      <c r="AC259" s="3"/>
      <c r="AD259" s="3"/>
      <c r="AE259" s="3"/>
      <c r="AF259" s="3"/>
    </row>
    <row r="260" ht="15.75" customHeight="1">
      <c r="J260" s="15"/>
      <c r="K260" s="188"/>
      <c r="L260" s="15"/>
      <c r="M260" s="15"/>
      <c r="N260" s="15"/>
      <c r="O260" s="15"/>
      <c r="P260" s="15"/>
      <c r="Q260" s="15"/>
      <c r="R260" s="15"/>
      <c r="S260" s="15"/>
      <c r="T260" s="15"/>
      <c r="U260" s="15"/>
      <c r="V260" s="15"/>
      <c r="W260" s="15"/>
      <c r="X260" s="14"/>
      <c r="Y260" s="14"/>
      <c r="Z260" s="15"/>
      <c r="AA260" s="3"/>
      <c r="AB260" s="3"/>
      <c r="AC260" s="3"/>
      <c r="AD260" s="3"/>
      <c r="AE260" s="3"/>
      <c r="AF260" s="3"/>
    </row>
    <row r="261" ht="15.75" customHeight="1">
      <c r="J261" s="15"/>
      <c r="K261" s="188"/>
      <c r="L261" s="15"/>
      <c r="M261" s="15"/>
      <c r="N261" s="15"/>
      <c r="O261" s="15"/>
      <c r="P261" s="15"/>
      <c r="Q261" s="15"/>
      <c r="R261" s="15"/>
      <c r="S261" s="15"/>
      <c r="T261" s="15"/>
      <c r="U261" s="15"/>
      <c r="V261" s="15"/>
      <c r="W261" s="15"/>
      <c r="X261" s="14"/>
      <c r="Y261" s="14"/>
      <c r="Z261" s="15"/>
      <c r="AA261" s="3"/>
      <c r="AB261" s="3"/>
      <c r="AC261" s="3"/>
      <c r="AD261" s="3"/>
      <c r="AE261" s="3"/>
      <c r="AF261" s="3"/>
    </row>
    <row r="262" ht="15.75" customHeight="1">
      <c r="J262" s="15"/>
      <c r="K262" s="188"/>
      <c r="L262" s="15"/>
      <c r="M262" s="15"/>
      <c r="N262" s="15"/>
      <c r="O262" s="15"/>
      <c r="P262" s="15"/>
      <c r="Q262" s="15"/>
      <c r="R262" s="15"/>
      <c r="S262" s="15"/>
      <c r="T262" s="15"/>
      <c r="U262" s="15"/>
      <c r="V262" s="15"/>
      <c r="W262" s="15"/>
      <c r="X262" s="14"/>
      <c r="Y262" s="14"/>
      <c r="Z262" s="15"/>
      <c r="AA262" s="3"/>
      <c r="AB262" s="3"/>
      <c r="AC262" s="3"/>
      <c r="AD262" s="3"/>
      <c r="AE262" s="3"/>
      <c r="AF262" s="3"/>
    </row>
    <row r="263" ht="15.75" customHeight="1">
      <c r="J263" s="15"/>
      <c r="K263" s="188"/>
      <c r="L263" s="15"/>
      <c r="M263" s="15"/>
      <c r="N263" s="15"/>
      <c r="O263" s="15"/>
      <c r="P263" s="15"/>
      <c r="Q263" s="15"/>
      <c r="R263" s="15"/>
      <c r="S263" s="15"/>
      <c r="T263" s="15"/>
      <c r="U263" s="15"/>
      <c r="V263" s="15"/>
      <c r="W263" s="15"/>
      <c r="X263" s="14"/>
      <c r="Y263" s="14"/>
      <c r="Z263" s="15"/>
      <c r="AA263" s="3"/>
      <c r="AB263" s="3"/>
      <c r="AC263" s="3"/>
      <c r="AD263" s="3"/>
      <c r="AE263" s="3"/>
      <c r="AF263" s="3"/>
    </row>
    <row r="264" ht="15.75" customHeight="1">
      <c r="J264" s="15"/>
      <c r="K264" s="188"/>
      <c r="L264" s="15"/>
      <c r="M264" s="15"/>
      <c r="N264" s="15"/>
      <c r="O264" s="15"/>
      <c r="P264" s="15"/>
      <c r="Q264" s="15"/>
      <c r="R264" s="15"/>
      <c r="S264" s="15"/>
      <c r="T264" s="15"/>
      <c r="U264" s="15"/>
      <c r="V264" s="15"/>
      <c r="W264" s="15"/>
      <c r="X264" s="14"/>
      <c r="Y264" s="14"/>
      <c r="Z264" s="15"/>
      <c r="AA264" s="3"/>
      <c r="AB264" s="3"/>
      <c r="AC264" s="3"/>
      <c r="AD264" s="3"/>
      <c r="AE264" s="3"/>
      <c r="AF264" s="3"/>
    </row>
    <row r="265" ht="15.75" customHeight="1">
      <c r="J265" s="15"/>
      <c r="K265" s="188"/>
      <c r="L265" s="15"/>
      <c r="M265" s="15"/>
      <c r="N265" s="15"/>
      <c r="O265" s="15"/>
      <c r="P265" s="15"/>
      <c r="Q265" s="15"/>
      <c r="R265" s="15"/>
      <c r="S265" s="15"/>
      <c r="T265" s="15"/>
      <c r="U265" s="15"/>
      <c r="V265" s="15"/>
      <c r="W265" s="15"/>
      <c r="X265" s="14"/>
      <c r="Y265" s="14"/>
      <c r="Z265" s="15"/>
      <c r="AA265" s="3"/>
      <c r="AB265" s="3"/>
      <c r="AC265" s="3"/>
      <c r="AD265" s="3"/>
      <c r="AE265" s="3"/>
      <c r="AF265" s="3"/>
    </row>
    <row r="266" ht="15.75" customHeight="1">
      <c r="J266" s="15"/>
      <c r="K266" s="188"/>
      <c r="L266" s="15"/>
      <c r="M266" s="15"/>
      <c r="N266" s="15"/>
      <c r="O266" s="15"/>
      <c r="P266" s="15"/>
      <c r="Q266" s="15"/>
      <c r="R266" s="15"/>
      <c r="S266" s="15"/>
      <c r="T266" s="15"/>
      <c r="U266" s="15"/>
      <c r="V266" s="15"/>
      <c r="W266" s="15"/>
      <c r="X266" s="14"/>
      <c r="Y266" s="14"/>
      <c r="Z266" s="15"/>
      <c r="AA266" s="3"/>
      <c r="AB266" s="3"/>
      <c r="AC266" s="3"/>
      <c r="AD266" s="3"/>
      <c r="AE266" s="3"/>
      <c r="AF266" s="3"/>
    </row>
    <row r="267" ht="15.75" customHeight="1">
      <c r="J267" s="15"/>
      <c r="K267" s="188"/>
      <c r="L267" s="15"/>
      <c r="M267" s="15"/>
      <c r="N267" s="15"/>
      <c r="O267" s="15"/>
      <c r="P267" s="15"/>
      <c r="Q267" s="15"/>
      <c r="R267" s="15"/>
      <c r="S267" s="15"/>
      <c r="T267" s="15"/>
      <c r="U267" s="15"/>
      <c r="V267" s="15"/>
      <c r="W267" s="15"/>
      <c r="X267" s="14"/>
      <c r="Y267" s="14"/>
      <c r="Z267" s="15"/>
      <c r="AA267" s="3"/>
      <c r="AB267" s="3"/>
      <c r="AC267" s="3"/>
      <c r="AD267" s="3"/>
      <c r="AE267" s="3"/>
      <c r="AF267" s="3"/>
    </row>
    <row r="268" ht="15.75" customHeight="1">
      <c r="J268" s="15"/>
      <c r="K268" s="188"/>
      <c r="L268" s="15"/>
      <c r="M268" s="15"/>
      <c r="N268" s="15"/>
      <c r="O268" s="15"/>
      <c r="P268" s="15"/>
      <c r="Q268" s="15"/>
      <c r="R268" s="15"/>
      <c r="S268" s="15"/>
      <c r="T268" s="15"/>
      <c r="U268" s="15"/>
      <c r="V268" s="15"/>
      <c r="W268" s="15"/>
      <c r="X268" s="14"/>
      <c r="Y268" s="14"/>
      <c r="Z268" s="15"/>
      <c r="AA268" s="3"/>
      <c r="AB268" s="3"/>
      <c r="AC268" s="3"/>
      <c r="AD268" s="3"/>
      <c r="AE268" s="3"/>
      <c r="AF268" s="3"/>
    </row>
    <row r="269" ht="15.75" customHeight="1">
      <c r="J269" s="15"/>
      <c r="K269" s="188"/>
      <c r="L269" s="15"/>
      <c r="M269" s="15"/>
      <c r="N269" s="15"/>
      <c r="O269" s="15"/>
      <c r="P269" s="15"/>
      <c r="Q269" s="15"/>
      <c r="R269" s="15"/>
      <c r="S269" s="15"/>
      <c r="T269" s="15"/>
      <c r="U269" s="15"/>
      <c r="V269" s="15"/>
      <c r="W269" s="15"/>
      <c r="X269" s="14"/>
      <c r="Y269" s="14"/>
      <c r="Z269" s="15"/>
      <c r="AA269" s="3"/>
      <c r="AB269" s="3"/>
      <c r="AC269" s="3"/>
      <c r="AD269" s="3"/>
      <c r="AE269" s="3"/>
      <c r="AF269" s="3"/>
    </row>
    <row r="270" ht="15.75" customHeight="1">
      <c r="J270" s="15"/>
      <c r="K270" s="188"/>
      <c r="L270" s="15"/>
      <c r="M270" s="15"/>
      <c r="N270" s="15"/>
      <c r="O270" s="15"/>
      <c r="P270" s="15"/>
      <c r="Q270" s="15"/>
      <c r="R270" s="15"/>
      <c r="S270" s="15"/>
      <c r="T270" s="15"/>
      <c r="U270" s="15"/>
      <c r="V270" s="15"/>
      <c r="W270" s="15"/>
      <c r="X270" s="14"/>
      <c r="Y270" s="14"/>
      <c r="Z270" s="15"/>
      <c r="AA270" s="3"/>
      <c r="AB270" s="3"/>
      <c r="AC270" s="3"/>
      <c r="AD270" s="3"/>
      <c r="AE270" s="3"/>
      <c r="AF270" s="3"/>
    </row>
    <row r="271" ht="15.75" customHeight="1">
      <c r="J271" s="15"/>
      <c r="K271" s="188"/>
      <c r="L271" s="15"/>
      <c r="M271" s="15"/>
      <c r="N271" s="15"/>
      <c r="O271" s="15"/>
      <c r="P271" s="15"/>
      <c r="Q271" s="15"/>
      <c r="R271" s="15"/>
      <c r="S271" s="15"/>
      <c r="T271" s="15"/>
      <c r="U271" s="15"/>
      <c r="V271" s="15"/>
      <c r="W271" s="15"/>
      <c r="X271" s="14"/>
      <c r="Y271" s="14"/>
      <c r="Z271" s="15"/>
      <c r="AA271" s="3"/>
      <c r="AB271" s="3"/>
      <c r="AC271" s="3"/>
      <c r="AD271" s="3"/>
      <c r="AE271" s="3"/>
      <c r="AF271" s="3"/>
    </row>
    <row r="272" ht="15.75" customHeight="1">
      <c r="J272" s="15"/>
      <c r="K272" s="188"/>
      <c r="L272" s="15"/>
      <c r="M272" s="15"/>
      <c r="N272" s="15"/>
      <c r="O272" s="15"/>
      <c r="P272" s="15"/>
      <c r="Q272" s="15"/>
      <c r="R272" s="15"/>
      <c r="S272" s="15"/>
      <c r="T272" s="15"/>
      <c r="U272" s="15"/>
      <c r="V272" s="15"/>
      <c r="W272" s="15"/>
      <c r="X272" s="14"/>
      <c r="Y272" s="14"/>
      <c r="Z272" s="15"/>
      <c r="AA272" s="3"/>
      <c r="AB272" s="3"/>
      <c r="AC272" s="3"/>
      <c r="AD272" s="3"/>
      <c r="AE272" s="3"/>
      <c r="AF272" s="3"/>
    </row>
    <row r="273" ht="15.75" customHeight="1">
      <c r="J273" s="15"/>
      <c r="K273" s="188"/>
      <c r="L273" s="15"/>
      <c r="M273" s="15"/>
      <c r="N273" s="15"/>
      <c r="O273" s="15"/>
      <c r="P273" s="15"/>
      <c r="Q273" s="15"/>
      <c r="R273" s="15"/>
      <c r="S273" s="15"/>
      <c r="T273" s="15"/>
      <c r="U273" s="15"/>
      <c r="V273" s="15"/>
      <c r="W273" s="15"/>
      <c r="X273" s="14"/>
      <c r="Y273" s="14"/>
      <c r="Z273" s="15"/>
      <c r="AA273" s="3"/>
      <c r="AB273" s="3"/>
      <c r="AC273" s="3"/>
      <c r="AD273" s="3"/>
      <c r="AE273" s="3"/>
      <c r="AF273" s="3"/>
    </row>
    <row r="274" ht="15.75" customHeight="1">
      <c r="J274" s="15"/>
      <c r="K274" s="188"/>
      <c r="L274" s="15"/>
      <c r="M274" s="15"/>
      <c r="N274" s="15"/>
      <c r="O274" s="15"/>
      <c r="P274" s="15"/>
      <c r="Q274" s="15"/>
      <c r="R274" s="15"/>
      <c r="S274" s="15"/>
      <c r="T274" s="15"/>
      <c r="U274" s="15"/>
      <c r="V274" s="15"/>
      <c r="W274" s="15"/>
      <c r="X274" s="14"/>
      <c r="Y274" s="14"/>
      <c r="Z274" s="15"/>
      <c r="AA274" s="3"/>
      <c r="AB274" s="3"/>
      <c r="AC274" s="3"/>
      <c r="AD274" s="3"/>
      <c r="AE274" s="3"/>
      <c r="AF274" s="3"/>
    </row>
    <row r="275" ht="15.75" customHeight="1">
      <c r="J275" s="15"/>
      <c r="K275" s="188"/>
      <c r="L275" s="15"/>
      <c r="M275" s="15"/>
      <c r="N275" s="15"/>
      <c r="O275" s="15"/>
      <c r="P275" s="15"/>
      <c r="Q275" s="15"/>
      <c r="R275" s="15"/>
      <c r="S275" s="15"/>
      <c r="T275" s="15"/>
      <c r="U275" s="15"/>
      <c r="V275" s="15"/>
      <c r="W275" s="15"/>
      <c r="X275" s="14"/>
      <c r="Y275" s="14"/>
      <c r="Z275" s="15"/>
      <c r="AA275" s="3"/>
      <c r="AB275" s="3"/>
      <c r="AC275" s="3"/>
      <c r="AD275" s="3"/>
      <c r="AE275" s="3"/>
      <c r="AF275" s="3"/>
    </row>
    <row r="276" ht="15.75" customHeight="1">
      <c r="J276" s="15"/>
      <c r="K276" s="188"/>
      <c r="L276" s="15"/>
      <c r="M276" s="15"/>
      <c r="N276" s="15"/>
      <c r="O276" s="15"/>
      <c r="P276" s="15"/>
      <c r="Q276" s="15"/>
      <c r="R276" s="15"/>
      <c r="S276" s="15"/>
      <c r="T276" s="15"/>
      <c r="U276" s="15"/>
      <c r="V276" s="15"/>
      <c r="W276" s="15"/>
      <c r="X276" s="14"/>
      <c r="Y276" s="14"/>
      <c r="Z276" s="15"/>
      <c r="AA276" s="3"/>
      <c r="AB276" s="3"/>
      <c r="AC276" s="3"/>
      <c r="AD276" s="3"/>
      <c r="AE276" s="3"/>
      <c r="AF276" s="3"/>
    </row>
    <row r="277" ht="15.75" customHeight="1">
      <c r="J277" s="15"/>
      <c r="K277" s="188"/>
      <c r="L277" s="15"/>
      <c r="M277" s="15"/>
      <c r="N277" s="15"/>
      <c r="O277" s="15"/>
      <c r="P277" s="15"/>
      <c r="Q277" s="15"/>
      <c r="R277" s="15"/>
      <c r="S277" s="15"/>
      <c r="T277" s="15"/>
      <c r="U277" s="15"/>
      <c r="V277" s="15"/>
      <c r="W277" s="15"/>
      <c r="X277" s="14"/>
      <c r="Y277" s="14"/>
      <c r="Z277" s="15"/>
      <c r="AA277" s="3"/>
      <c r="AB277" s="3"/>
      <c r="AC277" s="3"/>
      <c r="AD277" s="3"/>
      <c r="AE277" s="3"/>
      <c r="AF277" s="3"/>
    </row>
    <row r="278" ht="15.75" customHeight="1">
      <c r="J278" s="15"/>
      <c r="K278" s="188"/>
      <c r="L278" s="15"/>
      <c r="M278" s="15"/>
      <c r="N278" s="15"/>
      <c r="O278" s="15"/>
      <c r="P278" s="15"/>
      <c r="Q278" s="15"/>
      <c r="R278" s="15"/>
      <c r="S278" s="15"/>
      <c r="T278" s="15"/>
      <c r="U278" s="15"/>
      <c r="V278" s="15"/>
      <c r="W278" s="15"/>
      <c r="X278" s="14"/>
      <c r="Y278" s="14"/>
      <c r="Z278" s="15"/>
      <c r="AA278" s="3"/>
      <c r="AB278" s="3"/>
      <c r="AC278" s="3"/>
      <c r="AD278" s="3"/>
      <c r="AE278" s="3"/>
      <c r="AF278" s="3"/>
    </row>
    <row r="279" ht="15.75" customHeight="1">
      <c r="J279" s="15"/>
      <c r="K279" s="188"/>
      <c r="L279" s="15"/>
      <c r="M279" s="15"/>
      <c r="N279" s="15"/>
      <c r="O279" s="15"/>
      <c r="P279" s="15"/>
      <c r="Q279" s="15"/>
      <c r="R279" s="15"/>
      <c r="S279" s="15"/>
      <c r="T279" s="15"/>
      <c r="U279" s="15"/>
      <c r="V279" s="15"/>
      <c r="W279" s="15"/>
      <c r="X279" s="14"/>
      <c r="Y279" s="14"/>
      <c r="Z279" s="15"/>
      <c r="AA279" s="3"/>
      <c r="AB279" s="3"/>
      <c r="AC279" s="3"/>
      <c r="AD279" s="3"/>
      <c r="AE279" s="3"/>
      <c r="AF279" s="3"/>
    </row>
    <row r="280" ht="15.75" customHeight="1">
      <c r="J280" s="15"/>
      <c r="K280" s="188"/>
      <c r="L280" s="15"/>
      <c r="M280" s="15"/>
      <c r="N280" s="15"/>
      <c r="O280" s="15"/>
      <c r="P280" s="15"/>
      <c r="Q280" s="15"/>
      <c r="R280" s="15"/>
      <c r="S280" s="15"/>
      <c r="T280" s="15"/>
      <c r="U280" s="15"/>
      <c r="V280" s="15"/>
      <c r="W280" s="15"/>
      <c r="X280" s="14"/>
      <c r="Y280" s="14"/>
      <c r="Z280" s="15"/>
      <c r="AA280" s="3"/>
      <c r="AB280" s="3"/>
      <c r="AC280" s="3"/>
      <c r="AD280" s="3"/>
      <c r="AE280" s="3"/>
      <c r="AF280" s="3"/>
    </row>
    <row r="281" ht="15.75" customHeight="1">
      <c r="J281" s="15"/>
      <c r="K281" s="188"/>
      <c r="L281" s="15"/>
      <c r="M281" s="15"/>
      <c r="N281" s="15"/>
      <c r="O281" s="15"/>
      <c r="P281" s="15"/>
      <c r="Q281" s="15"/>
      <c r="R281" s="15"/>
      <c r="S281" s="15"/>
      <c r="T281" s="15"/>
      <c r="U281" s="15"/>
      <c r="V281" s="15"/>
      <c r="W281" s="15"/>
      <c r="X281" s="14"/>
      <c r="Y281" s="14"/>
      <c r="Z281" s="15"/>
      <c r="AA281" s="3"/>
      <c r="AB281" s="3"/>
      <c r="AC281" s="3"/>
      <c r="AD281" s="3"/>
      <c r="AE281" s="3"/>
      <c r="AF281" s="3"/>
    </row>
    <row r="282" ht="15.75" customHeight="1">
      <c r="J282" s="15"/>
      <c r="K282" s="188"/>
      <c r="L282" s="15"/>
      <c r="M282" s="15"/>
      <c r="N282" s="15"/>
      <c r="O282" s="15"/>
      <c r="P282" s="15"/>
      <c r="Q282" s="15"/>
      <c r="R282" s="15"/>
      <c r="S282" s="15"/>
      <c r="T282" s="15"/>
      <c r="U282" s="15"/>
      <c r="V282" s="15"/>
      <c r="W282" s="15"/>
      <c r="X282" s="14"/>
      <c r="Y282" s="14"/>
      <c r="Z282" s="15"/>
      <c r="AA282" s="3"/>
      <c r="AB282" s="3"/>
      <c r="AC282" s="3"/>
      <c r="AD282" s="3"/>
      <c r="AE282" s="3"/>
      <c r="AF282" s="3"/>
    </row>
    <row r="283" ht="15.75" customHeight="1">
      <c r="J283" s="15"/>
      <c r="K283" s="188"/>
      <c r="L283" s="15"/>
      <c r="M283" s="15"/>
      <c r="N283" s="15"/>
      <c r="O283" s="15"/>
      <c r="P283" s="15"/>
      <c r="Q283" s="15"/>
      <c r="R283" s="15"/>
      <c r="S283" s="15"/>
      <c r="T283" s="15"/>
      <c r="U283" s="15"/>
      <c r="V283" s="15"/>
      <c r="W283" s="15"/>
      <c r="X283" s="14"/>
      <c r="Y283" s="14"/>
      <c r="Z283" s="15"/>
      <c r="AA283" s="3"/>
      <c r="AB283" s="3"/>
      <c r="AC283" s="3"/>
      <c r="AD283" s="3"/>
      <c r="AE283" s="3"/>
      <c r="AF283" s="3"/>
    </row>
    <row r="284" ht="15.75" customHeight="1">
      <c r="J284" s="15"/>
      <c r="K284" s="188"/>
      <c r="L284" s="15"/>
      <c r="M284" s="15"/>
      <c r="N284" s="15"/>
      <c r="O284" s="15"/>
      <c r="P284" s="15"/>
      <c r="Q284" s="15"/>
      <c r="R284" s="15"/>
      <c r="S284" s="15"/>
      <c r="T284" s="15"/>
      <c r="U284" s="15"/>
      <c r="V284" s="15"/>
      <c r="W284" s="15"/>
      <c r="X284" s="14"/>
      <c r="Y284" s="14"/>
      <c r="Z284" s="15"/>
      <c r="AA284" s="3"/>
      <c r="AB284" s="3"/>
      <c r="AC284" s="3"/>
      <c r="AD284" s="3"/>
      <c r="AE284" s="3"/>
      <c r="AF284" s="3"/>
    </row>
    <row r="285" ht="15.75" customHeight="1">
      <c r="J285" s="15"/>
      <c r="K285" s="188"/>
      <c r="L285" s="15"/>
      <c r="M285" s="15"/>
      <c r="N285" s="15"/>
      <c r="O285" s="15"/>
      <c r="P285" s="15"/>
      <c r="Q285" s="15"/>
      <c r="R285" s="15"/>
      <c r="S285" s="15"/>
      <c r="T285" s="15"/>
      <c r="U285" s="15"/>
      <c r="V285" s="15"/>
      <c r="W285" s="15"/>
      <c r="X285" s="14"/>
      <c r="Y285" s="14"/>
      <c r="Z285" s="15"/>
      <c r="AA285" s="3"/>
      <c r="AB285" s="3"/>
      <c r="AC285" s="3"/>
      <c r="AD285" s="3"/>
      <c r="AE285" s="3"/>
      <c r="AF285" s="3"/>
    </row>
    <row r="286" ht="15.75" customHeight="1">
      <c r="J286" s="15"/>
      <c r="K286" s="188"/>
      <c r="L286" s="15"/>
      <c r="M286" s="15"/>
      <c r="N286" s="15"/>
      <c r="O286" s="15"/>
      <c r="P286" s="15"/>
      <c r="Q286" s="15"/>
      <c r="R286" s="15"/>
      <c r="S286" s="15"/>
      <c r="T286" s="15"/>
      <c r="U286" s="15"/>
      <c r="V286" s="15"/>
      <c r="W286" s="15"/>
      <c r="X286" s="14"/>
      <c r="Y286" s="14"/>
      <c r="Z286" s="15"/>
      <c r="AA286" s="3"/>
      <c r="AB286" s="3"/>
      <c r="AC286" s="3"/>
      <c r="AD286" s="3"/>
      <c r="AE286" s="3"/>
      <c r="AF286" s="3"/>
    </row>
    <row r="287" ht="15.75" customHeight="1">
      <c r="J287" s="15"/>
      <c r="K287" s="188"/>
      <c r="L287" s="15"/>
      <c r="M287" s="15"/>
      <c r="N287" s="15"/>
      <c r="O287" s="15"/>
      <c r="P287" s="15"/>
      <c r="Q287" s="15"/>
      <c r="R287" s="15"/>
      <c r="S287" s="15"/>
      <c r="T287" s="15"/>
      <c r="U287" s="15"/>
      <c r="V287" s="15"/>
      <c r="W287" s="15"/>
      <c r="X287" s="14"/>
      <c r="Y287" s="14"/>
      <c r="Z287" s="15"/>
      <c r="AA287" s="3"/>
      <c r="AB287" s="3"/>
      <c r="AC287" s="3"/>
      <c r="AD287" s="3"/>
      <c r="AE287" s="3"/>
      <c r="AF287" s="3"/>
    </row>
    <row r="288" ht="15.75" customHeight="1">
      <c r="J288" s="15"/>
      <c r="K288" s="188"/>
      <c r="L288" s="15"/>
      <c r="M288" s="15"/>
      <c r="N288" s="15"/>
      <c r="O288" s="15"/>
      <c r="P288" s="15"/>
      <c r="Q288" s="15"/>
      <c r="R288" s="15"/>
      <c r="S288" s="15"/>
      <c r="T288" s="15"/>
      <c r="U288" s="15"/>
      <c r="V288" s="15"/>
      <c r="W288" s="15"/>
      <c r="X288" s="14"/>
      <c r="Y288" s="14"/>
      <c r="Z288" s="15"/>
      <c r="AA288" s="3"/>
      <c r="AB288" s="3"/>
      <c r="AC288" s="3"/>
      <c r="AD288" s="3"/>
      <c r="AE288" s="3"/>
      <c r="AF288" s="3"/>
    </row>
    <row r="289" ht="15.75" customHeight="1">
      <c r="J289" s="15"/>
      <c r="K289" s="188"/>
      <c r="L289" s="15"/>
      <c r="M289" s="15"/>
      <c r="N289" s="15"/>
      <c r="O289" s="15"/>
      <c r="P289" s="15"/>
      <c r="Q289" s="15"/>
      <c r="R289" s="15"/>
      <c r="S289" s="15"/>
      <c r="T289" s="15"/>
      <c r="U289" s="15"/>
      <c r="V289" s="15"/>
      <c r="W289" s="15"/>
      <c r="X289" s="14"/>
      <c r="Y289" s="14"/>
      <c r="Z289" s="15"/>
      <c r="AA289" s="3"/>
      <c r="AB289" s="3"/>
      <c r="AC289" s="3"/>
      <c r="AD289" s="3"/>
      <c r="AE289" s="3"/>
      <c r="AF289" s="3"/>
    </row>
    <row r="290" ht="15.75" customHeight="1">
      <c r="J290" s="15"/>
      <c r="K290" s="188"/>
      <c r="L290" s="15"/>
      <c r="M290" s="15"/>
      <c r="N290" s="15"/>
      <c r="O290" s="15"/>
      <c r="P290" s="15"/>
      <c r="Q290" s="15"/>
      <c r="R290" s="15"/>
      <c r="S290" s="15"/>
      <c r="T290" s="15"/>
      <c r="U290" s="15"/>
      <c r="V290" s="15"/>
      <c r="W290" s="15"/>
      <c r="X290" s="14"/>
      <c r="Y290" s="14"/>
      <c r="Z290" s="15"/>
      <c r="AA290" s="3"/>
      <c r="AB290" s="3"/>
      <c r="AC290" s="3"/>
      <c r="AD290" s="3"/>
      <c r="AE290" s="3"/>
      <c r="AF290" s="3"/>
    </row>
    <row r="291" ht="15.75" customHeight="1">
      <c r="J291" s="15"/>
      <c r="K291" s="188"/>
      <c r="L291" s="15"/>
      <c r="M291" s="15"/>
      <c r="N291" s="15"/>
      <c r="O291" s="15"/>
      <c r="P291" s="15"/>
      <c r="Q291" s="15"/>
      <c r="R291" s="15"/>
      <c r="S291" s="15"/>
      <c r="T291" s="15"/>
      <c r="U291" s="15"/>
      <c r="V291" s="15"/>
      <c r="W291" s="15"/>
      <c r="X291" s="14"/>
      <c r="Y291" s="14"/>
      <c r="Z291" s="15"/>
      <c r="AA291" s="3"/>
      <c r="AB291" s="3"/>
      <c r="AC291" s="3"/>
      <c r="AD291" s="3"/>
      <c r="AE291" s="3"/>
      <c r="AF291" s="3"/>
    </row>
    <row r="292" ht="15.75" customHeight="1">
      <c r="J292" s="15"/>
      <c r="K292" s="188"/>
      <c r="L292" s="15"/>
      <c r="M292" s="15"/>
      <c r="N292" s="15"/>
      <c r="O292" s="15"/>
      <c r="P292" s="15"/>
      <c r="Q292" s="15"/>
      <c r="R292" s="15"/>
      <c r="S292" s="15"/>
      <c r="T292" s="15"/>
      <c r="U292" s="15"/>
      <c r="V292" s="15"/>
      <c r="W292" s="15"/>
      <c r="X292" s="14"/>
      <c r="Y292" s="14"/>
      <c r="Z292" s="15"/>
      <c r="AA292" s="3"/>
      <c r="AB292" s="3"/>
      <c r="AC292" s="3"/>
      <c r="AD292" s="3"/>
      <c r="AE292" s="3"/>
      <c r="AF292" s="3"/>
    </row>
    <row r="293" ht="15.75" customHeight="1">
      <c r="J293" s="15"/>
      <c r="K293" s="188"/>
      <c r="L293" s="15"/>
      <c r="M293" s="15"/>
      <c r="N293" s="15"/>
      <c r="O293" s="15"/>
      <c r="P293" s="15"/>
      <c r="Q293" s="15"/>
      <c r="R293" s="15"/>
      <c r="S293" s="15"/>
      <c r="T293" s="15"/>
      <c r="U293" s="15"/>
      <c r="V293" s="15"/>
      <c r="W293" s="15"/>
      <c r="X293" s="14"/>
      <c r="Y293" s="14"/>
      <c r="Z293" s="15"/>
      <c r="AA293" s="3"/>
      <c r="AB293" s="3"/>
      <c r="AC293" s="3"/>
      <c r="AD293" s="3"/>
      <c r="AE293" s="3"/>
      <c r="AF293" s="3"/>
    </row>
    <row r="294" ht="15.75" customHeight="1">
      <c r="J294" s="15"/>
      <c r="K294" s="188"/>
      <c r="L294" s="15"/>
      <c r="M294" s="15"/>
      <c r="N294" s="15"/>
      <c r="O294" s="15"/>
      <c r="P294" s="15"/>
      <c r="Q294" s="15"/>
      <c r="R294" s="15"/>
      <c r="S294" s="15"/>
      <c r="T294" s="15"/>
      <c r="U294" s="15"/>
      <c r="V294" s="15"/>
      <c r="W294" s="15"/>
      <c r="X294" s="14"/>
      <c r="Y294" s="14"/>
      <c r="Z294" s="15"/>
      <c r="AA294" s="3"/>
      <c r="AB294" s="3"/>
      <c r="AC294" s="3"/>
      <c r="AD294" s="3"/>
      <c r="AE294" s="3"/>
      <c r="AF294" s="3"/>
    </row>
    <row r="295" ht="15.75" customHeight="1">
      <c r="J295" s="15"/>
      <c r="K295" s="188"/>
      <c r="L295" s="15"/>
      <c r="M295" s="15"/>
      <c r="N295" s="15"/>
      <c r="O295" s="15"/>
      <c r="P295" s="15"/>
      <c r="Q295" s="15"/>
      <c r="R295" s="15"/>
      <c r="S295" s="15"/>
      <c r="T295" s="15"/>
      <c r="U295" s="15"/>
      <c r="V295" s="15"/>
      <c r="W295" s="15"/>
      <c r="X295" s="14"/>
      <c r="Y295" s="14"/>
      <c r="Z295" s="15"/>
      <c r="AA295" s="3"/>
      <c r="AB295" s="3"/>
      <c r="AC295" s="3"/>
      <c r="AD295" s="3"/>
      <c r="AE295" s="3"/>
      <c r="AF295" s="3"/>
    </row>
    <row r="296" ht="15.75" customHeight="1">
      <c r="J296" s="15"/>
      <c r="K296" s="188"/>
      <c r="L296" s="15"/>
      <c r="M296" s="15"/>
      <c r="N296" s="15"/>
      <c r="O296" s="15"/>
      <c r="P296" s="15"/>
      <c r="Q296" s="15"/>
      <c r="R296" s="15"/>
      <c r="S296" s="15"/>
      <c r="T296" s="15"/>
      <c r="U296" s="15"/>
      <c r="V296" s="15"/>
      <c r="W296" s="15"/>
      <c r="X296" s="14"/>
      <c r="Y296" s="14"/>
      <c r="Z296" s="15"/>
      <c r="AA296" s="3"/>
      <c r="AB296" s="3"/>
      <c r="AC296" s="3"/>
      <c r="AD296" s="3"/>
      <c r="AE296" s="3"/>
      <c r="AF296" s="3"/>
    </row>
    <row r="297" ht="15.75" customHeight="1">
      <c r="J297" s="15"/>
      <c r="K297" s="188"/>
      <c r="L297" s="15"/>
      <c r="M297" s="15"/>
      <c r="N297" s="15"/>
      <c r="O297" s="15"/>
      <c r="P297" s="15"/>
      <c r="Q297" s="15"/>
      <c r="R297" s="15"/>
      <c r="S297" s="15"/>
      <c r="T297" s="15"/>
      <c r="U297" s="15"/>
      <c r="V297" s="15"/>
      <c r="W297" s="15"/>
      <c r="X297" s="14"/>
      <c r="Y297" s="14"/>
      <c r="Z297" s="15"/>
      <c r="AA297" s="3"/>
      <c r="AB297" s="3"/>
      <c r="AC297" s="3"/>
      <c r="AD297" s="3"/>
      <c r="AE297" s="3"/>
      <c r="AF297" s="3"/>
    </row>
    <row r="298" ht="15.75" customHeight="1">
      <c r="J298" s="15"/>
      <c r="K298" s="188"/>
      <c r="L298" s="15"/>
      <c r="M298" s="15"/>
      <c r="N298" s="15"/>
      <c r="O298" s="15"/>
      <c r="P298" s="15"/>
      <c r="Q298" s="15"/>
      <c r="R298" s="15"/>
      <c r="S298" s="15"/>
      <c r="T298" s="15"/>
      <c r="U298" s="15"/>
      <c r="V298" s="15"/>
      <c r="W298" s="15"/>
      <c r="X298" s="14"/>
      <c r="Y298" s="14"/>
      <c r="Z298" s="15"/>
      <c r="AA298" s="3"/>
      <c r="AB298" s="3"/>
      <c r="AC298" s="3"/>
      <c r="AD298" s="3"/>
      <c r="AE298" s="3"/>
      <c r="AF298" s="3"/>
    </row>
    <row r="299" ht="15.75" customHeight="1">
      <c r="J299" s="15"/>
      <c r="K299" s="188"/>
      <c r="L299" s="15"/>
      <c r="M299" s="15"/>
      <c r="N299" s="15"/>
      <c r="O299" s="15"/>
      <c r="P299" s="15"/>
      <c r="Q299" s="15"/>
      <c r="R299" s="15"/>
      <c r="S299" s="15"/>
      <c r="T299" s="15"/>
      <c r="U299" s="15"/>
      <c r="V299" s="15"/>
      <c r="W299" s="15"/>
      <c r="X299" s="14"/>
      <c r="Y299" s="14"/>
      <c r="Z299" s="15"/>
      <c r="AA299" s="3"/>
      <c r="AB299" s="3"/>
      <c r="AC299" s="3"/>
      <c r="AD299" s="3"/>
      <c r="AE299" s="3"/>
      <c r="AF299" s="3"/>
    </row>
    <row r="300" ht="15.75" customHeight="1">
      <c r="J300" s="15"/>
      <c r="K300" s="188"/>
      <c r="L300" s="15"/>
      <c r="M300" s="15"/>
      <c r="N300" s="15"/>
      <c r="O300" s="15"/>
      <c r="P300" s="15"/>
      <c r="Q300" s="15"/>
      <c r="R300" s="15"/>
      <c r="S300" s="15"/>
      <c r="T300" s="15"/>
      <c r="U300" s="15"/>
      <c r="V300" s="15"/>
      <c r="W300" s="15"/>
      <c r="X300" s="14"/>
      <c r="Y300" s="14"/>
      <c r="Z300" s="15"/>
      <c r="AA300" s="3"/>
      <c r="AB300" s="3"/>
      <c r="AC300" s="3"/>
      <c r="AD300" s="3"/>
      <c r="AE300" s="3"/>
      <c r="AF300" s="3"/>
    </row>
    <row r="301" ht="15.75" customHeight="1">
      <c r="J301" s="15"/>
      <c r="K301" s="188"/>
      <c r="L301" s="15"/>
      <c r="M301" s="15"/>
      <c r="N301" s="15"/>
      <c r="O301" s="15"/>
      <c r="P301" s="15"/>
      <c r="Q301" s="15"/>
      <c r="R301" s="15"/>
      <c r="S301" s="15"/>
      <c r="T301" s="15"/>
      <c r="U301" s="15"/>
      <c r="V301" s="15"/>
      <c r="W301" s="15"/>
      <c r="X301" s="14"/>
      <c r="Y301" s="14"/>
      <c r="Z301" s="15"/>
      <c r="AA301" s="3"/>
      <c r="AB301" s="3"/>
      <c r="AC301" s="3"/>
      <c r="AD301" s="3"/>
      <c r="AE301" s="3"/>
      <c r="AF301" s="3"/>
    </row>
    <row r="302" ht="15.75" customHeight="1">
      <c r="J302" s="15"/>
      <c r="K302" s="188"/>
      <c r="L302" s="15"/>
      <c r="M302" s="15"/>
      <c r="N302" s="15"/>
      <c r="O302" s="15"/>
      <c r="P302" s="15"/>
      <c r="Q302" s="15"/>
      <c r="R302" s="15"/>
      <c r="S302" s="15"/>
      <c r="T302" s="15"/>
      <c r="U302" s="15"/>
      <c r="V302" s="15"/>
      <c r="W302" s="15"/>
      <c r="X302" s="14"/>
      <c r="Y302" s="14"/>
      <c r="Z302" s="15"/>
      <c r="AA302" s="3"/>
      <c r="AB302" s="3"/>
      <c r="AC302" s="3"/>
      <c r="AD302" s="3"/>
      <c r="AE302" s="3"/>
      <c r="AF302" s="3"/>
    </row>
    <row r="303" ht="15.75" customHeight="1">
      <c r="J303" s="15"/>
      <c r="K303" s="188"/>
      <c r="L303" s="15"/>
      <c r="M303" s="15"/>
      <c r="N303" s="15"/>
      <c r="O303" s="15"/>
      <c r="P303" s="15"/>
      <c r="Q303" s="15"/>
      <c r="R303" s="15"/>
      <c r="S303" s="15"/>
      <c r="T303" s="15"/>
      <c r="U303" s="15"/>
      <c r="V303" s="15"/>
      <c r="W303" s="15"/>
      <c r="X303" s="14"/>
      <c r="Y303" s="14"/>
      <c r="Z303" s="15"/>
      <c r="AA303" s="3"/>
      <c r="AB303" s="3"/>
      <c r="AC303" s="3"/>
      <c r="AD303" s="3"/>
      <c r="AE303" s="3"/>
      <c r="AF303" s="3"/>
    </row>
    <row r="304" ht="15.75" customHeight="1">
      <c r="J304" s="15"/>
      <c r="K304" s="188"/>
      <c r="L304" s="15"/>
      <c r="M304" s="15"/>
      <c r="N304" s="15"/>
      <c r="O304" s="15"/>
      <c r="P304" s="15"/>
      <c r="Q304" s="15"/>
      <c r="R304" s="15"/>
      <c r="S304" s="15"/>
      <c r="T304" s="15"/>
      <c r="U304" s="15"/>
      <c r="V304" s="15"/>
      <c r="W304" s="15"/>
      <c r="X304" s="14"/>
      <c r="Y304" s="14"/>
      <c r="Z304" s="15"/>
      <c r="AA304" s="3"/>
      <c r="AB304" s="3"/>
      <c r="AC304" s="3"/>
      <c r="AD304" s="3"/>
      <c r="AE304" s="3"/>
      <c r="AF304" s="3"/>
    </row>
    <row r="305" ht="15.75" customHeight="1">
      <c r="J305" s="15"/>
      <c r="K305" s="188"/>
      <c r="L305" s="15"/>
      <c r="M305" s="15"/>
      <c r="N305" s="15"/>
      <c r="O305" s="15"/>
      <c r="P305" s="15"/>
      <c r="Q305" s="15"/>
      <c r="R305" s="15"/>
      <c r="S305" s="15"/>
      <c r="T305" s="15"/>
      <c r="U305" s="15"/>
      <c r="V305" s="15"/>
      <c r="W305" s="15"/>
      <c r="X305" s="14"/>
      <c r="Y305" s="14"/>
      <c r="Z305" s="15"/>
      <c r="AA305" s="3"/>
      <c r="AB305" s="3"/>
      <c r="AC305" s="3"/>
      <c r="AD305" s="3"/>
      <c r="AE305" s="3"/>
      <c r="AF305" s="3"/>
    </row>
    <row r="306" ht="15.75" customHeight="1">
      <c r="J306" s="15"/>
      <c r="K306" s="188"/>
      <c r="L306" s="15"/>
      <c r="M306" s="15"/>
      <c r="N306" s="15"/>
      <c r="O306" s="15"/>
      <c r="P306" s="15"/>
      <c r="Q306" s="15"/>
      <c r="R306" s="15"/>
      <c r="S306" s="15"/>
      <c r="T306" s="15"/>
      <c r="U306" s="15"/>
      <c r="V306" s="15"/>
      <c r="W306" s="15"/>
      <c r="X306" s="14"/>
      <c r="Y306" s="14"/>
      <c r="Z306" s="15"/>
      <c r="AA306" s="3"/>
      <c r="AB306" s="3"/>
      <c r="AC306" s="3"/>
      <c r="AD306" s="3"/>
      <c r="AE306" s="3"/>
      <c r="AF306" s="3"/>
    </row>
    <row r="307" ht="15.75" customHeight="1">
      <c r="J307" s="15"/>
      <c r="K307" s="188"/>
      <c r="L307" s="15"/>
      <c r="M307" s="15"/>
      <c r="N307" s="15"/>
      <c r="O307" s="15"/>
      <c r="P307" s="15"/>
      <c r="Q307" s="15"/>
      <c r="R307" s="15"/>
      <c r="S307" s="15"/>
      <c r="T307" s="15"/>
      <c r="U307" s="15"/>
      <c r="V307" s="15"/>
      <c r="W307" s="15"/>
      <c r="X307" s="14"/>
      <c r="Y307" s="14"/>
      <c r="Z307" s="15"/>
      <c r="AA307" s="3"/>
      <c r="AB307" s="3"/>
      <c r="AC307" s="3"/>
      <c r="AD307" s="3"/>
      <c r="AE307" s="3"/>
      <c r="AF307" s="3"/>
    </row>
    <row r="308" ht="15.75" customHeight="1">
      <c r="J308" s="15"/>
      <c r="K308" s="188"/>
      <c r="L308" s="15"/>
      <c r="M308" s="15"/>
      <c r="N308" s="15"/>
      <c r="O308" s="15"/>
      <c r="P308" s="15"/>
      <c r="Q308" s="15"/>
      <c r="R308" s="15"/>
      <c r="S308" s="15"/>
      <c r="T308" s="15"/>
      <c r="U308" s="15"/>
      <c r="V308" s="15"/>
      <c r="W308" s="15"/>
      <c r="X308" s="14"/>
      <c r="Y308" s="14"/>
      <c r="Z308" s="15"/>
      <c r="AA308" s="3"/>
      <c r="AB308" s="3"/>
      <c r="AC308" s="3"/>
      <c r="AD308" s="3"/>
      <c r="AE308" s="3"/>
      <c r="AF308" s="3"/>
    </row>
    <row r="309" ht="15.75" customHeight="1">
      <c r="J309" s="15"/>
      <c r="K309" s="188"/>
      <c r="L309" s="15"/>
      <c r="M309" s="15"/>
      <c r="N309" s="15"/>
      <c r="O309" s="15"/>
      <c r="P309" s="15"/>
      <c r="Q309" s="15"/>
      <c r="R309" s="15"/>
      <c r="S309" s="15"/>
      <c r="T309" s="15"/>
      <c r="U309" s="15"/>
      <c r="V309" s="15"/>
      <c r="W309" s="15"/>
      <c r="X309" s="14"/>
      <c r="Y309" s="14"/>
      <c r="Z309" s="15"/>
      <c r="AA309" s="3"/>
      <c r="AB309" s="3"/>
      <c r="AC309" s="3"/>
      <c r="AD309" s="3"/>
      <c r="AE309" s="3"/>
      <c r="AF309" s="3"/>
    </row>
    <row r="310" ht="15.75" customHeight="1">
      <c r="J310" s="15"/>
      <c r="K310" s="188"/>
      <c r="L310" s="15"/>
      <c r="M310" s="15"/>
      <c r="N310" s="15"/>
      <c r="O310" s="15"/>
      <c r="P310" s="15"/>
      <c r="Q310" s="15"/>
      <c r="R310" s="15"/>
      <c r="S310" s="15"/>
      <c r="T310" s="15"/>
      <c r="U310" s="15"/>
      <c r="V310" s="15"/>
      <c r="W310" s="15"/>
      <c r="X310" s="14"/>
      <c r="Y310" s="14"/>
      <c r="Z310" s="15"/>
      <c r="AA310" s="3"/>
      <c r="AB310" s="3"/>
      <c r="AC310" s="3"/>
      <c r="AD310" s="3"/>
      <c r="AE310" s="3"/>
      <c r="AF310" s="3"/>
    </row>
    <row r="311" ht="15.75" customHeight="1">
      <c r="J311" s="15"/>
      <c r="K311" s="188"/>
      <c r="L311" s="15"/>
      <c r="M311" s="15"/>
      <c r="N311" s="15"/>
      <c r="O311" s="15"/>
      <c r="P311" s="15"/>
      <c r="Q311" s="15"/>
      <c r="R311" s="15"/>
      <c r="S311" s="15"/>
      <c r="T311" s="15"/>
      <c r="U311" s="15"/>
      <c r="V311" s="15"/>
      <c r="W311" s="15"/>
      <c r="X311" s="14"/>
      <c r="Y311" s="14"/>
      <c r="Z311" s="15"/>
      <c r="AA311" s="3"/>
      <c r="AB311" s="3"/>
      <c r="AC311" s="3"/>
      <c r="AD311" s="3"/>
      <c r="AE311" s="3"/>
      <c r="AF311" s="3"/>
    </row>
    <row r="312" ht="15.75" customHeight="1">
      <c r="J312" s="15"/>
      <c r="K312" s="188"/>
      <c r="L312" s="15"/>
      <c r="M312" s="15"/>
      <c r="N312" s="15"/>
      <c r="O312" s="15"/>
      <c r="P312" s="15"/>
      <c r="Q312" s="15"/>
      <c r="R312" s="15"/>
      <c r="S312" s="15"/>
      <c r="T312" s="15"/>
      <c r="U312" s="15"/>
      <c r="V312" s="15"/>
      <c r="W312" s="15"/>
      <c r="X312" s="14"/>
      <c r="Y312" s="14"/>
      <c r="Z312" s="15"/>
      <c r="AA312" s="3"/>
      <c r="AB312" s="3"/>
      <c r="AC312" s="3"/>
      <c r="AD312" s="3"/>
      <c r="AE312" s="3"/>
      <c r="AF312" s="3"/>
    </row>
    <row r="313" ht="15.75" customHeight="1">
      <c r="J313" s="15"/>
      <c r="K313" s="188"/>
      <c r="L313" s="15"/>
      <c r="M313" s="15"/>
      <c r="N313" s="15"/>
      <c r="O313" s="15"/>
      <c r="P313" s="15"/>
      <c r="Q313" s="15"/>
      <c r="R313" s="15"/>
      <c r="S313" s="15"/>
      <c r="T313" s="15"/>
      <c r="U313" s="15"/>
      <c r="V313" s="15"/>
      <c r="W313" s="15"/>
      <c r="X313" s="14"/>
      <c r="Y313" s="14"/>
      <c r="Z313" s="15"/>
      <c r="AA313" s="3"/>
      <c r="AB313" s="3"/>
      <c r="AC313" s="3"/>
      <c r="AD313" s="3"/>
      <c r="AE313" s="3"/>
      <c r="AF313" s="3"/>
    </row>
    <row r="314" ht="15.75" customHeight="1">
      <c r="J314" s="15"/>
      <c r="K314" s="188"/>
      <c r="L314" s="15"/>
      <c r="M314" s="15"/>
      <c r="N314" s="15"/>
      <c r="O314" s="15"/>
      <c r="P314" s="15"/>
      <c r="Q314" s="15"/>
      <c r="R314" s="15"/>
      <c r="S314" s="15"/>
      <c r="T314" s="15"/>
      <c r="U314" s="15"/>
      <c r="V314" s="15"/>
      <c r="W314" s="15"/>
      <c r="X314" s="14"/>
      <c r="Y314" s="14"/>
      <c r="Z314" s="15"/>
      <c r="AA314" s="3"/>
      <c r="AB314" s="3"/>
      <c r="AC314" s="3"/>
      <c r="AD314" s="3"/>
      <c r="AE314" s="3"/>
      <c r="AF314" s="3"/>
    </row>
    <row r="315" ht="15.75" customHeight="1">
      <c r="J315" s="15"/>
      <c r="K315" s="188"/>
      <c r="L315" s="15"/>
      <c r="M315" s="15"/>
      <c r="N315" s="15"/>
      <c r="O315" s="15"/>
      <c r="P315" s="15"/>
      <c r="Q315" s="15"/>
      <c r="R315" s="15"/>
      <c r="S315" s="15"/>
      <c r="T315" s="15"/>
      <c r="U315" s="15"/>
      <c r="V315" s="15"/>
      <c r="W315" s="15"/>
      <c r="X315" s="14"/>
      <c r="Y315" s="14"/>
      <c r="Z315" s="15"/>
      <c r="AA315" s="3"/>
      <c r="AB315" s="3"/>
      <c r="AC315" s="3"/>
      <c r="AD315" s="3"/>
      <c r="AE315" s="3"/>
      <c r="AF315" s="3"/>
    </row>
    <row r="316" ht="15.75" customHeight="1">
      <c r="J316" s="15"/>
      <c r="K316" s="188"/>
      <c r="L316" s="15"/>
      <c r="M316" s="15"/>
      <c r="N316" s="15"/>
      <c r="O316" s="15"/>
      <c r="P316" s="15"/>
      <c r="Q316" s="15"/>
      <c r="R316" s="15"/>
      <c r="S316" s="15"/>
      <c r="T316" s="15"/>
      <c r="U316" s="15"/>
      <c r="V316" s="15"/>
      <c r="W316" s="15"/>
      <c r="X316" s="14"/>
      <c r="Y316" s="14"/>
      <c r="Z316" s="15"/>
      <c r="AA316" s="3"/>
      <c r="AB316" s="3"/>
      <c r="AC316" s="3"/>
      <c r="AD316" s="3"/>
      <c r="AE316" s="3"/>
      <c r="AF316" s="3"/>
    </row>
    <row r="317" ht="15.75" customHeight="1">
      <c r="J317" s="15"/>
      <c r="K317" s="188"/>
      <c r="L317" s="15"/>
      <c r="M317" s="15"/>
      <c r="N317" s="15"/>
      <c r="O317" s="15"/>
      <c r="P317" s="15"/>
      <c r="Q317" s="15"/>
      <c r="R317" s="15"/>
      <c r="S317" s="15"/>
      <c r="T317" s="15"/>
      <c r="U317" s="15"/>
      <c r="V317" s="15"/>
      <c r="W317" s="15"/>
      <c r="X317" s="14"/>
      <c r="Y317" s="14"/>
      <c r="Z317" s="15"/>
      <c r="AA317" s="3"/>
      <c r="AB317" s="3"/>
      <c r="AC317" s="3"/>
      <c r="AD317" s="3"/>
      <c r="AE317" s="3"/>
      <c r="AF317" s="3"/>
    </row>
    <row r="318" ht="15.75" customHeight="1">
      <c r="J318" s="15"/>
      <c r="K318" s="188"/>
      <c r="L318" s="15"/>
      <c r="M318" s="15"/>
      <c r="N318" s="15"/>
      <c r="O318" s="15"/>
      <c r="P318" s="15"/>
      <c r="Q318" s="15"/>
      <c r="R318" s="15"/>
      <c r="S318" s="15"/>
      <c r="T318" s="15"/>
      <c r="U318" s="15"/>
      <c r="V318" s="15"/>
      <c r="W318" s="15"/>
      <c r="X318" s="14"/>
      <c r="Y318" s="14"/>
      <c r="Z318" s="15"/>
      <c r="AA318" s="3"/>
      <c r="AB318" s="3"/>
      <c r="AC318" s="3"/>
      <c r="AD318" s="3"/>
      <c r="AE318" s="3"/>
      <c r="AF318" s="3"/>
    </row>
    <row r="319" ht="15.75" customHeight="1">
      <c r="J319" s="15"/>
      <c r="K319" s="188"/>
      <c r="L319" s="15"/>
      <c r="M319" s="15"/>
      <c r="N319" s="15"/>
      <c r="O319" s="15"/>
      <c r="P319" s="15"/>
      <c r="Q319" s="15"/>
      <c r="R319" s="15"/>
      <c r="S319" s="15"/>
      <c r="T319" s="15"/>
      <c r="U319" s="15"/>
      <c r="V319" s="15"/>
      <c r="W319" s="15"/>
      <c r="X319" s="14"/>
      <c r="Y319" s="14"/>
      <c r="Z319" s="15"/>
      <c r="AA319" s="3"/>
      <c r="AB319" s="3"/>
      <c r="AC319" s="3"/>
      <c r="AD319" s="3"/>
      <c r="AE319" s="3"/>
      <c r="AF319" s="3"/>
    </row>
    <row r="320" ht="15.75" customHeight="1">
      <c r="J320" s="15"/>
      <c r="K320" s="188"/>
      <c r="L320" s="15"/>
      <c r="M320" s="15"/>
      <c r="N320" s="15"/>
      <c r="O320" s="15"/>
      <c r="P320" s="15"/>
      <c r="Q320" s="15"/>
      <c r="R320" s="15"/>
      <c r="S320" s="15"/>
      <c r="T320" s="15"/>
      <c r="U320" s="15"/>
      <c r="V320" s="15"/>
      <c r="W320" s="15"/>
      <c r="X320" s="14"/>
      <c r="Y320" s="14"/>
      <c r="Z320" s="15"/>
      <c r="AA320" s="3"/>
      <c r="AB320" s="3"/>
      <c r="AC320" s="3"/>
      <c r="AD320" s="3"/>
      <c r="AE320" s="3"/>
      <c r="AF320" s="3"/>
    </row>
    <row r="321" ht="15.75" customHeight="1">
      <c r="J321" s="15"/>
      <c r="K321" s="188"/>
      <c r="L321" s="15"/>
      <c r="M321" s="15"/>
      <c r="N321" s="15"/>
      <c r="O321" s="15"/>
      <c r="P321" s="15"/>
      <c r="Q321" s="15"/>
      <c r="R321" s="15"/>
      <c r="S321" s="15"/>
      <c r="T321" s="15"/>
      <c r="U321" s="15"/>
      <c r="V321" s="15"/>
      <c r="W321" s="15"/>
      <c r="X321" s="14"/>
      <c r="Y321" s="14"/>
      <c r="Z321" s="15"/>
      <c r="AA321" s="3"/>
      <c r="AB321" s="3"/>
      <c r="AC321" s="3"/>
      <c r="AD321" s="3"/>
      <c r="AE321" s="3"/>
      <c r="AF321" s="3"/>
    </row>
    <row r="322" ht="15.75" customHeight="1">
      <c r="J322" s="15"/>
      <c r="K322" s="188"/>
      <c r="L322" s="15"/>
      <c r="M322" s="15"/>
      <c r="N322" s="15"/>
      <c r="O322" s="15"/>
      <c r="P322" s="15"/>
      <c r="Q322" s="15"/>
      <c r="R322" s="15"/>
      <c r="S322" s="15"/>
      <c r="T322" s="15"/>
      <c r="U322" s="15"/>
      <c r="V322" s="15"/>
      <c r="W322" s="15"/>
      <c r="X322" s="14"/>
      <c r="Y322" s="14"/>
      <c r="Z322" s="15"/>
      <c r="AA322" s="3"/>
      <c r="AB322" s="3"/>
      <c r="AC322" s="3"/>
      <c r="AD322" s="3"/>
      <c r="AE322" s="3"/>
      <c r="AF322" s="3"/>
    </row>
    <row r="323" ht="15.75" customHeight="1">
      <c r="J323" s="15"/>
      <c r="K323" s="188"/>
      <c r="L323" s="15"/>
      <c r="M323" s="15"/>
      <c r="N323" s="15"/>
      <c r="O323" s="15"/>
      <c r="P323" s="15"/>
      <c r="Q323" s="15"/>
      <c r="R323" s="15"/>
      <c r="S323" s="15"/>
      <c r="T323" s="15"/>
      <c r="U323" s="15"/>
      <c r="V323" s="15"/>
      <c r="W323" s="15"/>
      <c r="X323" s="14"/>
      <c r="Y323" s="14"/>
      <c r="Z323" s="15"/>
      <c r="AA323" s="3"/>
      <c r="AB323" s="3"/>
      <c r="AC323" s="3"/>
      <c r="AD323" s="3"/>
      <c r="AE323" s="3"/>
      <c r="AF323" s="3"/>
    </row>
    <row r="324" ht="15.75" customHeight="1">
      <c r="J324" s="15"/>
      <c r="K324" s="188"/>
      <c r="L324" s="15"/>
      <c r="M324" s="15"/>
      <c r="N324" s="15"/>
      <c r="O324" s="15"/>
      <c r="P324" s="15"/>
      <c r="Q324" s="15"/>
      <c r="R324" s="15"/>
      <c r="S324" s="15"/>
      <c r="T324" s="15"/>
      <c r="U324" s="15"/>
      <c r="V324" s="15"/>
      <c r="W324" s="15"/>
      <c r="X324" s="14"/>
      <c r="Y324" s="14"/>
      <c r="Z324" s="15"/>
      <c r="AA324" s="3"/>
      <c r="AB324" s="3"/>
      <c r="AC324" s="3"/>
      <c r="AD324" s="3"/>
      <c r="AE324" s="3"/>
      <c r="AF324" s="3"/>
    </row>
    <row r="325" ht="15.75" customHeight="1">
      <c r="J325" s="15"/>
      <c r="K325" s="188"/>
      <c r="L325" s="15"/>
      <c r="M325" s="15"/>
      <c r="N325" s="15"/>
      <c r="O325" s="15"/>
      <c r="P325" s="15"/>
      <c r="Q325" s="15"/>
      <c r="R325" s="15"/>
      <c r="S325" s="15"/>
      <c r="T325" s="15"/>
      <c r="U325" s="15"/>
      <c r="V325" s="15"/>
      <c r="W325" s="15"/>
      <c r="X325" s="14"/>
      <c r="Y325" s="14"/>
      <c r="Z325" s="15"/>
      <c r="AA325" s="3"/>
      <c r="AB325" s="3"/>
      <c r="AC325" s="3"/>
      <c r="AD325" s="3"/>
      <c r="AE325" s="3"/>
      <c r="AF325" s="3"/>
    </row>
    <row r="326" ht="15.75" customHeight="1">
      <c r="J326" s="15"/>
      <c r="K326" s="188"/>
      <c r="L326" s="15"/>
      <c r="M326" s="15"/>
      <c r="N326" s="15"/>
      <c r="O326" s="15"/>
      <c r="P326" s="15"/>
      <c r="Q326" s="15"/>
      <c r="R326" s="15"/>
      <c r="S326" s="15"/>
      <c r="T326" s="15"/>
      <c r="U326" s="15"/>
      <c r="V326" s="15"/>
      <c r="W326" s="15"/>
      <c r="X326" s="14"/>
      <c r="Y326" s="14"/>
      <c r="Z326" s="15"/>
      <c r="AA326" s="3"/>
      <c r="AB326" s="3"/>
      <c r="AC326" s="3"/>
      <c r="AD326" s="3"/>
      <c r="AE326" s="3"/>
      <c r="AF326" s="3"/>
    </row>
    <row r="327" ht="15.75" customHeight="1">
      <c r="J327" s="15"/>
      <c r="K327" s="188"/>
      <c r="L327" s="15"/>
      <c r="M327" s="15"/>
      <c r="N327" s="15"/>
      <c r="O327" s="15"/>
      <c r="P327" s="15"/>
      <c r="Q327" s="15"/>
      <c r="R327" s="15"/>
      <c r="S327" s="15"/>
      <c r="T327" s="15"/>
      <c r="U327" s="15"/>
      <c r="V327" s="15"/>
      <c r="W327" s="15"/>
      <c r="X327" s="14"/>
      <c r="Y327" s="14"/>
      <c r="Z327" s="15"/>
      <c r="AA327" s="3"/>
      <c r="AB327" s="3"/>
      <c r="AC327" s="3"/>
      <c r="AD327" s="3"/>
      <c r="AE327" s="3"/>
      <c r="AF327" s="3"/>
    </row>
    <row r="328" ht="15.75" customHeight="1">
      <c r="J328" s="15"/>
      <c r="K328" s="188"/>
      <c r="L328" s="15"/>
      <c r="M328" s="15"/>
      <c r="N328" s="15"/>
      <c r="O328" s="15"/>
      <c r="P328" s="15"/>
      <c r="Q328" s="15"/>
      <c r="R328" s="15"/>
      <c r="S328" s="15"/>
      <c r="T328" s="15"/>
      <c r="U328" s="15"/>
      <c r="V328" s="15"/>
      <c r="W328" s="15"/>
      <c r="X328" s="14"/>
      <c r="Y328" s="14"/>
      <c r="Z328" s="15"/>
      <c r="AA328" s="3"/>
      <c r="AB328" s="3"/>
      <c r="AC328" s="3"/>
      <c r="AD328" s="3"/>
      <c r="AE328" s="3"/>
      <c r="AF328" s="3"/>
    </row>
    <row r="329" ht="15.75" customHeight="1">
      <c r="J329" s="15"/>
      <c r="K329" s="188"/>
      <c r="L329" s="15"/>
      <c r="M329" s="15"/>
      <c r="N329" s="15"/>
      <c r="O329" s="15"/>
      <c r="P329" s="15"/>
      <c r="Q329" s="15"/>
      <c r="R329" s="15"/>
      <c r="S329" s="15"/>
      <c r="T329" s="15"/>
      <c r="U329" s="15"/>
      <c r="V329" s="15"/>
      <c r="W329" s="15"/>
      <c r="X329" s="14"/>
      <c r="Y329" s="14"/>
      <c r="Z329" s="15"/>
      <c r="AA329" s="3"/>
      <c r="AB329" s="3"/>
      <c r="AC329" s="3"/>
      <c r="AD329" s="3"/>
      <c r="AE329" s="3"/>
      <c r="AF329" s="3"/>
    </row>
    <row r="330" ht="15.75" customHeight="1">
      <c r="J330" s="15"/>
      <c r="K330" s="188"/>
      <c r="L330" s="15"/>
      <c r="M330" s="15"/>
      <c r="N330" s="15"/>
      <c r="O330" s="15"/>
      <c r="P330" s="15"/>
      <c r="Q330" s="15"/>
      <c r="R330" s="15"/>
      <c r="S330" s="15"/>
      <c r="T330" s="15"/>
      <c r="U330" s="15"/>
      <c r="V330" s="15"/>
      <c r="W330" s="15"/>
      <c r="X330" s="14"/>
      <c r="Y330" s="14"/>
      <c r="Z330" s="15"/>
      <c r="AA330" s="3"/>
      <c r="AB330" s="3"/>
      <c r="AC330" s="3"/>
      <c r="AD330" s="3"/>
      <c r="AE330" s="3"/>
      <c r="AF330" s="3"/>
    </row>
    <row r="331" ht="15.75" customHeight="1">
      <c r="J331" s="15"/>
      <c r="K331" s="188"/>
      <c r="L331" s="15"/>
      <c r="M331" s="15"/>
      <c r="N331" s="15"/>
      <c r="O331" s="15"/>
      <c r="P331" s="15"/>
      <c r="Q331" s="15"/>
      <c r="R331" s="15"/>
      <c r="S331" s="15"/>
      <c r="T331" s="15"/>
      <c r="U331" s="15"/>
      <c r="V331" s="15"/>
      <c r="W331" s="15"/>
      <c r="X331" s="14"/>
      <c r="Y331" s="14"/>
      <c r="Z331" s="15"/>
      <c r="AA331" s="3"/>
      <c r="AB331" s="3"/>
      <c r="AC331" s="3"/>
      <c r="AD331" s="3"/>
      <c r="AE331" s="3"/>
      <c r="AF331" s="3"/>
    </row>
    <row r="332" ht="15.75" customHeight="1">
      <c r="J332" s="15"/>
      <c r="K332" s="188"/>
      <c r="L332" s="15"/>
      <c r="M332" s="15"/>
      <c r="N332" s="15"/>
      <c r="O332" s="15"/>
      <c r="P332" s="15"/>
      <c r="Q332" s="15"/>
      <c r="R332" s="15"/>
      <c r="S332" s="15"/>
      <c r="T332" s="15"/>
      <c r="U332" s="15"/>
      <c r="V332" s="15"/>
      <c r="W332" s="15"/>
      <c r="X332" s="14"/>
      <c r="Y332" s="14"/>
      <c r="Z332" s="15"/>
      <c r="AA332" s="3"/>
      <c r="AB332" s="3"/>
      <c r="AC332" s="3"/>
      <c r="AD332" s="3"/>
      <c r="AE332" s="3"/>
      <c r="AF332" s="3"/>
    </row>
    <row r="333" ht="15.75" customHeight="1">
      <c r="J333" s="15"/>
      <c r="K333" s="188"/>
      <c r="L333" s="15"/>
      <c r="M333" s="15"/>
      <c r="N333" s="15"/>
      <c r="O333" s="15"/>
      <c r="P333" s="15"/>
      <c r="Q333" s="15"/>
      <c r="R333" s="15"/>
      <c r="S333" s="15"/>
      <c r="T333" s="15"/>
      <c r="U333" s="15"/>
      <c r="V333" s="15"/>
      <c r="W333" s="15"/>
      <c r="X333" s="14"/>
      <c r="Y333" s="14"/>
      <c r="Z333" s="15"/>
      <c r="AA333" s="3"/>
      <c r="AB333" s="3"/>
      <c r="AC333" s="3"/>
      <c r="AD333" s="3"/>
      <c r="AE333" s="3"/>
      <c r="AF333" s="3"/>
    </row>
    <row r="334" ht="15.75" customHeight="1">
      <c r="J334" s="15"/>
      <c r="K334" s="188"/>
      <c r="L334" s="15"/>
      <c r="M334" s="15"/>
      <c r="N334" s="15"/>
      <c r="O334" s="15"/>
      <c r="P334" s="15"/>
      <c r="Q334" s="15"/>
      <c r="R334" s="15"/>
      <c r="S334" s="15"/>
      <c r="T334" s="15"/>
      <c r="U334" s="15"/>
      <c r="V334" s="15"/>
      <c r="W334" s="15"/>
      <c r="X334" s="14"/>
      <c r="Y334" s="14"/>
      <c r="Z334" s="15"/>
      <c r="AA334" s="3"/>
      <c r="AB334" s="3"/>
      <c r="AC334" s="3"/>
      <c r="AD334" s="3"/>
      <c r="AE334" s="3"/>
      <c r="AF334" s="3"/>
    </row>
    <row r="335" ht="15.75" customHeight="1">
      <c r="J335" s="15"/>
      <c r="K335" s="188"/>
      <c r="L335" s="15"/>
      <c r="M335" s="15"/>
      <c r="N335" s="15"/>
      <c r="O335" s="15"/>
      <c r="P335" s="15"/>
      <c r="Q335" s="15"/>
      <c r="R335" s="15"/>
      <c r="S335" s="15"/>
      <c r="T335" s="15"/>
      <c r="U335" s="15"/>
      <c r="V335" s="15"/>
      <c r="W335" s="15"/>
      <c r="X335" s="14"/>
      <c r="Y335" s="14"/>
      <c r="Z335" s="15"/>
      <c r="AA335" s="3"/>
      <c r="AB335" s="3"/>
      <c r="AC335" s="3"/>
      <c r="AD335" s="3"/>
      <c r="AE335" s="3"/>
      <c r="AF335" s="3"/>
    </row>
    <row r="336" ht="15.75" customHeight="1">
      <c r="J336" s="15"/>
      <c r="K336" s="188"/>
      <c r="L336" s="15"/>
      <c r="M336" s="15"/>
      <c r="N336" s="15"/>
      <c r="O336" s="15"/>
      <c r="P336" s="15"/>
      <c r="Q336" s="15"/>
      <c r="R336" s="15"/>
      <c r="S336" s="15"/>
      <c r="T336" s="15"/>
      <c r="U336" s="15"/>
      <c r="V336" s="15"/>
      <c r="W336" s="15"/>
      <c r="X336" s="14"/>
      <c r="Y336" s="14"/>
      <c r="Z336" s="15"/>
      <c r="AA336" s="3"/>
      <c r="AB336" s="3"/>
      <c r="AC336" s="3"/>
      <c r="AD336" s="3"/>
      <c r="AE336" s="3"/>
      <c r="AF336" s="3"/>
    </row>
    <row r="337" ht="15.75" customHeight="1">
      <c r="J337" s="15"/>
      <c r="K337" s="188"/>
      <c r="L337" s="15"/>
      <c r="M337" s="15"/>
      <c r="N337" s="15"/>
      <c r="O337" s="15"/>
      <c r="P337" s="15"/>
      <c r="Q337" s="15"/>
      <c r="R337" s="15"/>
      <c r="S337" s="15"/>
      <c r="T337" s="15"/>
      <c r="U337" s="15"/>
      <c r="V337" s="15"/>
      <c r="W337" s="15"/>
      <c r="X337" s="14"/>
      <c r="Y337" s="14"/>
      <c r="Z337" s="15"/>
      <c r="AA337" s="3"/>
      <c r="AB337" s="3"/>
      <c r="AC337" s="3"/>
      <c r="AD337" s="3"/>
      <c r="AE337" s="3"/>
      <c r="AF337" s="3"/>
    </row>
    <row r="338" ht="15.75" customHeight="1">
      <c r="J338" s="15"/>
      <c r="K338" s="188"/>
      <c r="L338" s="15"/>
      <c r="M338" s="15"/>
      <c r="N338" s="15"/>
      <c r="O338" s="15"/>
      <c r="P338" s="15"/>
      <c r="Q338" s="15"/>
      <c r="R338" s="15"/>
      <c r="S338" s="15"/>
      <c r="T338" s="15"/>
      <c r="U338" s="15"/>
      <c r="V338" s="15"/>
      <c r="W338" s="15"/>
      <c r="X338" s="14"/>
      <c r="Y338" s="14"/>
      <c r="Z338" s="15"/>
      <c r="AA338" s="3"/>
      <c r="AB338" s="3"/>
      <c r="AC338" s="3"/>
      <c r="AD338" s="3"/>
      <c r="AE338" s="3"/>
      <c r="AF338" s="3"/>
    </row>
    <row r="339" ht="15.75" customHeight="1">
      <c r="J339" s="15"/>
      <c r="K339" s="188"/>
      <c r="L339" s="15"/>
      <c r="M339" s="15"/>
      <c r="N339" s="15"/>
      <c r="O339" s="15"/>
      <c r="P339" s="15"/>
      <c r="Q339" s="15"/>
      <c r="R339" s="15"/>
      <c r="S339" s="15"/>
      <c r="T339" s="15"/>
      <c r="U339" s="15"/>
      <c r="V339" s="15"/>
      <c r="W339" s="15"/>
      <c r="X339" s="14"/>
      <c r="Y339" s="14"/>
      <c r="Z339" s="15"/>
      <c r="AA339" s="3"/>
      <c r="AB339" s="3"/>
      <c r="AC339" s="3"/>
      <c r="AD339" s="3"/>
      <c r="AE339" s="3"/>
      <c r="AF339" s="3"/>
    </row>
    <row r="340" ht="15.75" customHeight="1">
      <c r="J340" s="15"/>
      <c r="K340" s="188"/>
      <c r="L340" s="15"/>
      <c r="M340" s="15"/>
      <c r="N340" s="15"/>
      <c r="O340" s="15"/>
      <c r="P340" s="15"/>
      <c r="Q340" s="15"/>
      <c r="R340" s="15"/>
      <c r="S340" s="15"/>
      <c r="T340" s="15"/>
      <c r="U340" s="15"/>
      <c r="V340" s="15"/>
      <c r="W340" s="15"/>
      <c r="X340" s="14"/>
      <c r="Y340" s="14"/>
      <c r="Z340" s="15"/>
      <c r="AA340" s="3"/>
      <c r="AB340" s="3"/>
      <c r="AC340" s="3"/>
      <c r="AD340" s="3"/>
      <c r="AE340" s="3"/>
      <c r="AF340" s="3"/>
    </row>
    <row r="341" ht="15.75" customHeight="1">
      <c r="J341" s="15"/>
      <c r="K341" s="188"/>
      <c r="L341" s="15"/>
      <c r="M341" s="15"/>
      <c r="N341" s="15"/>
      <c r="O341" s="15"/>
      <c r="P341" s="15"/>
      <c r="Q341" s="15"/>
      <c r="R341" s="15"/>
      <c r="S341" s="15"/>
      <c r="T341" s="15"/>
      <c r="U341" s="15"/>
      <c r="V341" s="15"/>
      <c r="W341" s="15"/>
      <c r="X341" s="14"/>
      <c r="Y341" s="14"/>
      <c r="Z341" s="15"/>
      <c r="AA341" s="3"/>
      <c r="AB341" s="3"/>
      <c r="AC341" s="3"/>
      <c r="AD341" s="3"/>
      <c r="AE341" s="3"/>
      <c r="AF341" s="3"/>
    </row>
    <row r="342" ht="15.75" customHeight="1">
      <c r="J342" s="15"/>
      <c r="K342" s="188"/>
      <c r="L342" s="15"/>
      <c r="M342" s="15"/>
      <c r="N342" s="15"/>
      <c r="O342" s="15"/>
      <c r="P342" s="15"/>
      <c r="Q342" s="15"/>
      <c r="R342" s="15"/>
      <c r="S342" s="15"/>
      <c r="T342" s="15"/>
      <c r="U342" s="15"/>
      <c r="V342" s="15"/>
      <c r="W342" s="15"/>
      <c r="X342" s="14"/>
      <c r="Y342" s="14"/>
      <c r="Z342" s="15"/>
      <c r="AA342" s="3"/>
      <c r="AB342" s="3"/>
      <c r="AC342" s="3"/>
      <c r="AD342" s="3"/>
      <c r="AE342" s="3"/>
      <c r="AF342" s="3"/>
    </row>
    <row r="343" ht="15.75" customHeight="1">
      <c r="J343" s="15"/>
      <c r="K343" s="188"/>
      <c r="L343" s="15"/>
      <c r="M343" s="15"/>
      <c r="N343" s="15"/>
      <c r="O343" s="15"/>
      <c r="P343" s="15"/>
      <c r="Q343" s="15"/>
      <c r="R343" s="15"/>
      <c r="S343" s="15"/>
      <c r="T343" s="15"/>
      <c r="U343" s="15"/>
      <c r="V343" s="15"/>
      <c r="W343" s="15"/>
      <c r="X343" s="14"/>
      <c r="Y343" s="14"/>
      <c r="Z343" s="15"/>
      <c r="AA343" s="3"/>
      <c r="AB343" s="3"/>
      <c r="AC343" s="3"/>
      <c r="AD343" s="3"/>
      <c r="AE343" s="3"/>
      <c r="AF343" s="3"/>
    </row>
    <row r="344" ht="15.75" customHeight="1">
      <c r="J344" s="15"/>
      <c r="K344" s="188"/>
      <c r="L344" s="15"/>
      <c r="M344" s="15"/>
      <c r="N344" s="15"/>
      <c r="O344" s="15"/>
      <c r="P344" s="15"/>
      <c r="Q344" s="15"/>
      <c r="R344" s="15"/>
      <c r="S344" s="15"/>
      <c r="T344" s="15"/>
      <c r="U344" s="15"/>
      <c r="V344" s="15"/>
      <c r="W344" s="15"/>
      <c r="X344" s="14"/>
      <c r="Y344" s="14"/>
      <c r="Z344" s="15"/>
      <c r="AA344" s="3"/>
      <c r="AB344" s="3"/>
      <c r="AC344" s="3"/>
      <c r="AD344" s="3"/>
      <c r="AE344" s="3"/>
      <c r="AF344" s="3"/>
    </row>
    <row r="345" ht="15.75" customHeight="1">
      <c r="J345" s="15"/>
      <c r="K345" s="188"/>
      <c r="L345" s="15"/>
      <c r="M345" s="15"/>
      <c r="N345" s="15"/>
      <c r="O345" s="15"/>
      <c r="P345" s="15"/>
      <c r="Q345" s="15"/>
      <c r="R345" s="15"/>
      <c r="S345" s="15"/>
      <c r="T345" s="15"/>
      <c r="U345" s="15"/>
      <c r="V345" s="15"/>
      <c r="W345" s="15"/>
      <c r="X345" s="14"/>
      <c r="Y345" s="14"/>
      <c r="Z345" s="15"/>
      <c r="AA345" s="3"/>
      <c r="AB345" s="3"/>
      <c r="AC345" s="3"/>
      <c r="AD345" s="3"/>
      <c r="AE345" s="3"/>
      <c r="AF345" s="3"/>
    </row>
    <row r="346" ht="15.75" customHeight="1">
      <c r="J346" s="15"/>
      <c r="K346" s="188"/>
      <c r="L346" s="15"/>
      <c r="M346" s="15"/>
      <c r="N346" s="15"/>
      <c r="O346" s="15"/>
      <c r="P346" s="15"/>
      <c r="Q346" s="15"/>
      <c r="R346" s="15"/>
      <c r="S346" s="15"/>
      <c r="T346" s="15"/>
      <c r="U346" s="15"/>
      <c r="V346" s="15"/>
      <c r="W346" s="15"/>
      <c r="X346" s="14"/>
      <c r="Y346" s="14"/>
      <c r="Z346" s="15"/>
      <c r="AA346" s="3"/>
      <c r="AB346" s="3"/>
      <c r="AC346" s="3"/>
      <c r="AD346" s="3"/>
      <c r="AE346" s="3"/>
      <c r="AF346" s="3"/>
    </row>
    <row r="347" ht="15.75" customHeight="1">
      <c r="J347" s="15"/>
      <c r="K347" s="188"/>
      <c r="L347" s="15"/>
      <c r="M347" s="15"/>
      <c r="N347" s="15"/>
      <c r="O347" s="15"/>
      <c r="P347" s="15"/>
      <c r="Q347" s="15"/>
      <c r="R347" s="15"/>
      <c r="S347" s="15"/>
      <c r="T347" s="15"/>
      <c r="U347" s="15"/>
      <c r="V347" s="15"/>
      <c r="W347" s="15"/>
      <c r="X347" s="14"/>
      <c r="Y347" s="14"/>
      <c r="Z347" s="15"/>
      <c r="AA347" s="3"/>
      <c r="AB347" s="3"/>
      <c r="AC347" s="3"/>
      <c r="AD347" s="3"/>
      <c r="AE347" s="3"/>
      <c r="AF347" s="3"/>
    </row>
    <row r="348" ht="15.75" customHeight="1">
      <c r="J348" s="15"/>
      <c r="K348" s="188"/>
      <c r="L348" s="15"/>
      <c r="M348" s="15"/>
      <c r="N348" s="15"/>
      <c r="O348" s="15"/>
      <c r="P348" s="15"/>
      <c r="Q348" s="15"/>
      <c r="R348" s="15"/>
      <c r="S348" s="15"/>
      <c r="T348" s="15"/>
      <c r="U348" s="15"/>
      <c r="V348" s="15"/>
      <c r="W348" s="15"/>
      <c r="X348" s="14"/>
      <c r="Y348" s="14"/>
      <c r="Z348" s="15"/>
      <c r="AA348" s="3"/>
      <c r="AB348" s="3"/>
      <c r="AC348" s="3"/>
      <c r="AD348" s="3"/>
      <c r="AE348" s="3"/>
      <c r="AF348" s="3"/>
    </row>
    <row r="349" ht="15.75" customHeight="1">
      <c r="J349" s="15"/>
      <c r="K349" s="188"/>
      <c r="L349" s="15"/>
      <c r="M349" s="15"/>
      <c r="N349" s="15"/>
      <c r="O349" s="15"/>
      <c r="P349" s="15"/>
      <c r="Q349" s="15"/>
      <c r="R349" s="15"/>
      <c r="S349" s="15"/>
      <c r="T349" s="15"/>
      <c r="U349" s="15"/>
      <c r="V349" s="15"/>
      <c r="W349" s="15"/>
      <c r="X349" s="14"/>
      <c r="Y349" s="14"/>
      <c r="Z349" s="15"/>
      <c r="AA349" s="3"/>
      <c r="AB349" s="3"/>
      <c r="AC349" s="3"/>
      <c r="AD349" s="3"/>
      <c r="AE349" s="3"/>
      <c r="AF349" s="3"/>
    </row>
    <row r="350" ht="15.75" customHeight="1">
      <c r="J350" s="15"/>
      <c r="K350" s="188"/>
      <c r="L350" s="15"/>
      <c r="M350" s="15"/>
      <c r="N350" s="15"/>
      <c r="O350" s="15"/>
      <c r="P350" s="15"/>
      <c r="Q350" s="15"/>
      <c r="R350" s="15"/>
      <c r="S350" s="15"/>
      <c r="T350" s="15"/>
      <c r="U350" s="15"/>
      <c r="V350" s="15"/>
      <c r="W350" s="15"/>
      <c r="X350" s="14"/>
      <c r="Y350" s="14"/>
      <c r="Z350" s="15"/>
      <c r="AA350" s="3"/>
      <c r="AB350" s="3"/>
      <c r="AC350" s="3"/>
      <c r="AD350" s="3"/>
      <c r="AE350" s="3"/>
      <c r="AF350" s="3"/>
    </row>
    <row r="351" ht="15.75" customHeight="1">
      <c r="J351" s="15"/>
      <c r="K351" s="188"/>
      <c r="L351" s="15"/>
      <c r="M351" s="15"/>
      <c r="N351" s="15"/>
      <c r="O351" s="15"/>
      <c r="P351" s="15"/>
      <c r="Q351" s="15"/>
      <c r="R351" s="15"/>
      <c r="S351" s="15"/>
      <c r="T351" s="15"/>
      <c r="U351" s="15"/>
      <c r="V351" s="15"/>
      <c r="W351" s="15"/>
      <c r="X351" s="14"/>
      <c r="Y351" s="14"/>
      <c r="Z351" s="15"/>
      <c r="AA351" s="3"/>
      <c r="AB351" s="3"/>
      <c r="AC351" s="3"/>
      <c r="AD351" s="3"/>
      <c r="AE351" s="3"/>
      <c r="AF351" s="3"/>
    </row>
    <row r="352" ht="15.75" customHeight="1">
      <c r="J352" s="15"/>
      <c r="K352" s="188"/>
      <c r="L352" s="15"/>
      <c r="M352" s="15"/>
      <c r="N352" s="15"/>
      <c r="O352" s="15"/>
      <c r="P352" s="15"/>
      <c r="Q352" s="15"/>
      <c r="R352" s="15"/>
      <c r="S352" s="15"/>
      <c r="T352" s="15"/>
      <c r="U352" s="15"/>
      <c r="V352" s="15"/>
      <c r="W352" s="15"/>
      <c r="X352" s="14"/>
      <c r="Y352" s="14"/>
      <c r="Z352" s="15"/>
      <c r="AA352" s="3"/>
      <c r="AB352" s="3"/>
      <c r="AC352" s="3"/>
      <c r="AD352" s="3"/>
      <c r="AE352" s="3"/>
      <c r="AF352" s="3"/>
    </row>
    <row r="353" ht="15.75" customHeight="1">
      <c r="J353" s="15"/>
      <c r="K353" s="188"/>
      <c r="L353" s="15"/>
      <c r="M353" s="15"/>
      <c r="N353" s="15"/>
      <c r="O353" s="15"/>
      <c r="P353" s="15"/>
      <c r="Q353" s="15"/>
      <c r="R353" s="15"/>
      <c r="S353" s="15"/>
      <c r="T353" s="15"/>
      <c r="U353" s="15"/>
      <c r="V353" s="15"/>
      <c r="W353" s="15"/>
      <c r="X353" s="14"/>
      <c r="Y353" s="14"/>
      <c r="Z353" s="15"/>
      <c r="AA353" s="3"/>
      <c r="AB353" s="3"/>
      <c r="AC353" s="3"/>
      <c r="AD353" s="3"/>
      <c r="AE353" s="3"/>
      <c r="AF353" s="3"/>
    </row>
    <row r="354" ht="15.75" customHeight="1">
      <c r="J354" s="15"/>
      <c r="K354" s="188"/>
      <c r="L354" s="15"/>
      <c r="M354" s="15"/>
      <c r="N354" s="15"/>
      <c r="O354" s="15"/>
      <c r="P354" s="15"/>
      <c r="Q354" s="15"/>
      <c r="R354" s="15"/>
      <c r="S354" s="15"/>
      <c r="T354" s="15"/>
      <c r="U354" s="15"/>
      <c r="V354" s="15"/>
      <c r="W354" s="15"/>
      <c r="X354" s="14"/>
      <c r="Y354" s="14"/>
      <c r="Z354" s="15"/>
      <c r="AA354" s="3"/>
      <c r="AB354" s="3"/>
      <c r="AC354" s="3"/>
      <c r="AD354" s="3"/>
      <c r="AE354" s="3"/>
      <c r="AF354" s="3"/>
    </row>
    <row r="355" ht="15.75" customHeight="1">
      <c r="J355" s="15"/>
      <c r="K355" s="188"/>
      <c r="L355" s="15"/>
      <c r="M355" s="15"/>
      <c r="N355" s="15"/>
      <c r="O355" s="15"/>
      <c r="P355" s="15"/>
      <c r="Q355" s="15"/>
      <c r="R355" s="15"/>
      <c r="S355" s="15"/>
      <c r="T355" s="15"/>
      <c r="U355" s="15"/>
      <c r="V355" s="15"/>
      <c r="W355" s="15"/>
      <c r="X355" s="14"/>
      <c r="Y355" s="14"/>
      <c r="Z355" s="15"/>
      <c r="AA355" s="3"/>
      <c r="AB355" s="3"/>
      <c r="AC355" s="3"/>
      <c r="AD355" s="3"/>
      <c r="AE355" s="3"/>
      <c r="AF355" s="3"/>
    </row>
    <row r="356" ht="15.75" customHeight="1">
      <c r="J356" s="15"/>
      <c r="K356" s="188"/>
      <c r="L356" s="15"/>
      <c r="M356" s="15"/>
      <c r="N356" s="15"/>
      <c r="O356" s="15"/>
      <c r="P356" s="15"/>
      <c r="Q356" s="15"/>
      <c r="R356" s="15"/>
      <c r="S356" s="15"/>
      <c r="T356" s="15"/>
      <c r="U356" s="15"/>
      <c r="V356" s="15"/>
      <c r="W356" s="15"/>
      <c r="X356" s="14"/>
      <c r="Y356" s="14"/>
      <c r="Z356" s="15"/>
      <c r="AA356" s="3"/>
      <c r="AB356" s="3"/>
      <c r="AC356" s="3"/>
      <c r="AD356" s="3"/>
      <c r="AE356" s="3"/>
      <c r="AF356" s="3"/>
    </row>
    <row r="357" ht="15.75" customHeight="1">
      <c r="J357" s="15"/>
      <c r="K357" s="188"/>
      <c r="L357" s="15"/>
      <c r="M357" s="15"/>
      <c r="N357" s="15"/>
      <c r="O357" s="15"/>
      <c r="P357" s="15"/>
      <c r="Q357" s="15"/>
      <c r="R357" s="15"/>
      <c r="S357" s="15"/>
      <c r="T357" s="15"/>
      <c r="U357" s="15"/>
      <c r="V357" s="15"/>
      <c r="W357" s="15"/>
      <c r="X357" s="14"/>
      <c r="Y357" s="14"/>
      <c r="Z357" s="15"/>
      <c r="AA357" s="3"/>
      <c r="AB357" s="3"/>
      <c r="AC357" s="3"/>
      <c r="AD357" s="3"/>
      <c r="AE357" s="3"/>
      <c r="AF357" s="3"/>
    </row>
    <row r="358" ht="15.75" customHeight="1">
      <c r="J358" s="15"/>
      <c r="K358" s="188"/>
      <c r="L358" s="15"/>
      <c r="M358" s="15"/>
      <c r="N358" s="15"/>
      <c r="O358" s="15"/>
      <c r="P358" s="15"/>
      <c r="Q358" s="15"/>
      <c r="R358" s="15"/>
      <c r="S358" s="15"/>
      <c r="T358" s="15"/>
      <c r="U358" s="15"/>
      <c r="V358" s="15"/>
      <c r="W358" s="15"/>
      <c r="X358" s="14"/>
      <c r="Y358" s="14"/>
      <c r="Z358" s="15"/>
      <c r="AA358" s="3"/>
      <c r="AB358" s="3"/>
      <c r="AC358" s="3"/>
      <c r="AD358" s="3"/>
      <c r="AE358" s="3"/>
      <c r="AF358" s="3"/>
    </row>
    <row r="359" ht="15.75" customHeight="1">
      <c r="J359" s="15"/>
      <c r="K359" s="188"/>
      <c r="L359" s="15"/>
      <c r="M359" s="15"/>
      <c r="N359" s="15"/>
      <c r="O359" s="15"/>
      <c r="P359" s="15"/>
      <c r="Q359" s="15"/>
      <c r="R359" s="15"/>
      <c r="S359" s="15"/>
      <c r="T359" s="15"/>
      <c r="U359" s="15"/>
      <c r="V359" s="15"/>
      <c r="W359" s="15"/>
      <c r="X359" s="14"/>
      <c r="Y359" s="14"/>
      <c r="Z359" s="15"/>
      <c r="AA359" s="3"/>
      <c r="AB359" s="3"/>
      <c r="AC359" s="3"/>
      <c r="AD359" s="3"/>
      <c r="AE359" s="3"/>
      <c r="AF359" s="3"/>
    </row>
    <row r="360" ht="15.75" customHeight="1">
      <c r="J360" s="15"/>
      <c r="K360" s="188"/>
      <c r="L360" s="15"/>
      <c r="M360" s="15"/>
      <c r="N360" s="15"/>
      <c r="O360" s="15"/>
      <c r="P360" s="15"/>
      <c r="Q360" s="15"/>
      <c r="R360" s="15"/>
      <c r="S360" s="15"/>
      <c r="T360" s="15"/>
      <c r="U360" s="15"/>
      <c r="V360" s="15"/>
      <c r="W360" s="15"/>
      <c r="X360" s="14"/>
      <c r="Y360" s="14"/>
      <c r="Z360" s="15"/>
      <c r="AA360" s="3"/>
      <c r="AB360" s="3"/>
      <c r="AC360" s="3"/>
      <c r="AD360" s="3"/>
      <c r="AE360" s="3"/>
      <c r="AF360" s="3"/>
    </row>
    <row r="361" ht="15.75" customHeight="1">
      <c r="J361" s="15"/>
      <c r="K361" s="188"/>
      <c r="L361" s="15"/>
      <c r="M361" s="15"/>
      <c r="N361" s="15"/>
      <c r="O361" s="15"/>
      <c r="P361" s="15"/>
      <c r="Q361" s="15"/>
      <c r="R361" s="15"/>
      <c r="S361" s="15"/>
      <c r="T361" s="15"/>
      <c r="U361" s="15"/>
      <c r="V361" s="15"/>
      <c r="W361" s="15"/>
      <c r="X361" s="14"/>
      <c r="Y361" s="14"/>
      <c r="Z361" s="15"/>
      <c r="AA361" s="3"/>
      <c r="AB361" s="3"/>
      <c r="AC361" s="3"/>
      <c r="AD361" s="3"/>
      <c r="AE361" s="3"/>
      <c r="AF361" s="3"/>
    </row>
    <row r="362" ht="15.75" customHeight="1">
      <c r="J362" s="15"/>
      <c r="K362" s="188"/>
      <c r="L362" s="15"/>
      <c r="M362" s="15"/>
      <c r="N362" s="15"/>
      <c r="O362" s="15"/>
      <c r="P362" s="15"/>
      <c r="Q362" s="15"/>
      <c r="R362" s="15"/>
      <c r="S362" s="15"/>
      <c r="T362" s="15"/>
      <c r="U362" s="15"/>
      <c r="V362" s="15"/>
      <c r="W362" s="15"/>
      <c r="X362" s="14"/>
      <c r="Y362" s="14"/>
      <c r="Z362" s="15"/>
      <c r="AA362" s="3"/>
      <c r="AB362" s="3"/>
      <c r="AC362" s="3"/>
      <c r="AD362" s="3"/>
      <c r="AE362" s="3"/>
      <c r="AF362" s="3"/>
    </row>
    <row r="363" ht="15.75" customHeight="1">
      <c r="J363" s="15"/>
      <c r="K363" s="188"/>
      <c r="L363" s="15"/>
      <c r="M363" s="15"/>
      <c r="N363" s="15"/>
      <c r="O363" s="15"/>
      <c r="P363" s="15"/>
      <c r="Q363" s="15"/>
      <c r="R363" s="15"/>
      <c r="S363" s="15"/>
      <c r="T363" s="15"/>
      <c r="U363" s="15"/>
      <c r="V363" s="15"/>
      <c r="W363" s="15"/>
      <c r="X363" s="14"/>
      <c r="Y363" s="14"/>
      <c r="Z363" s="15"/>
      <c r="AA363" s="3"/>
      <c r="AB363" s="3"/>
      <c r="AC363" s="3"/>
      <c r="AD363" s="3"/>
      <c r="AE363" s="3"/>
      <c r="AF363" s="3"/>
    </row>
    <row r="364" ht="15.75" customHeight="1">
      <c r="J364" s="15"/>
      <c r="K364" s="188"/>
      <c r="L364" s="15"/>
      <c r="M364" s="15"/>
      <c r="N364" s="15"/>
      <c r="O364" s="15"/>
      <c r="P364" s="15"/>
      <c r="Q364" s="15"/>
      <c r="R364" s="15"/>
      <c r="S364" s="15"/>
      <c r="T364" s="15"/>
      <c r="U364" s="15"/>
      <c r="V364" s="15"/>
      <c r="W364" s="15"/>
      <c r="X364" s="14"/>
      <c r="Y364" s="14"/>
      <c r="Z364" s="15"/>
      <c r="AA364" s="3"/>
      <c r="AB364" s="3"/>
      <c r="AC364" s="3"/>
      <c r="AD364" s="3"/>
      <c r="AE364" s="3"/>
      <c r="AF364" s="3"/>
    </row>
    <row r="365" ht="15.75" customHeight="1">
      <c r="J365" s="15"/>
      <c r="K365" s="188"/>
      <c r="L365" s="15"/>
      <c r="M365" s="15"/>
      <c r="N365" s="15"/>
      <c r="O365" s="15"/>
      <c r="P365" s="15"/>
      <c r="Q365" s="15"/>
      <c r="R365" s="15"/>
      <c r="S365" s="15"/>
      <c r="T365" s="15"/>
      <c r="U365" s="15"/>
      <c r="V365" s="15"/>
      <c r="W365" s="15"/>
      <c r="X365" s="14"/>
      <c r="Y365" s="14"/>
      <c r="Z365" s="15"/>
      <c r="AA365" s="3"/>
      <c r="AB365" s="3"/>
      <c r="AC365" s="3"/>
      <c r="AD365" s="3"/>
      <c r="AE365" s="3"/>
      <c r="AF365" s="3"/>
    </row>
    <row r="366" ht="15.75" customHeight="1">
      <c r="J366" s="15"/>
      <c r="K366" s="188"/>
      <c r="L366" s="15"/>
      <c r="M366" s="15"/>
      <c r="N366" s="15"/>
      <c r="O366" s="15"/>
      <c r="P366" s="15"/>
      <c r="Q366" s="15"/>
      <c r="R366" s="15"/>
      <c r="S366" s="15"/>
      <c r="T366" s="15"/>
      <c r="U366" s="15"/>
      <c r="V366" s="15"/>
      <c r="W366" s="15"/>
      <c r="X366" s="14"/>
      <c r="Y366" s="14"/>
      <c r="Z366" s="15"/>
      <c r="AA366" s="3"/>
      <c r="AB366" s="3"/>
      <c r="AC366" s="3"/>
      <c r="AD366" s="3"/>
      <c r="AE366" s="3"/>
      <c r="AF366" s="3"/>
    </row>
    <row r="367" ht="15.75" customHeight="1">
      <c r="J367" s="15"/>
      <c r="K367" s="188"/>
      <c r="L367" s="15"/>
      <c r="M367" s="15"/>
      <c r="N367" s="15"/>
      <c r="O367" s="15"/>
      <c r="P367" s="15"/>
      <c r="Q367" s="15"/>
      <c r="R367" s="15"/>
      <c r="S367" s="15"/>
      <c r="T367" s="15"/>
      <c r="U367" s="15"/>
      <c r="V367" s="15"/>
      <c r="W367" s="15"/>
      <c r="X367" s="14"/>
      <c r="Y367" s="14"/>
      <c r="Z367" s="15"/>
      <c r="AA367" s="3"/>
      <c r="AB367" s="3"/>
      <c r="AC367" s="3"/>
      <c r="AD367" s="3"/>
      <c r="AE367" s="3"/>
      <c r="AF367" s="3"/>
    </row>
    <row r="368" ht="15.75" customHeight="1">
      <c r="J368" s="15"/>
      <c r="K368" s="188"/>
      <c r="L368" s="15"/>
      <c r="M368" s="15"/>
      <c r="N368" s="15"/>
      <c r="O368" s="15"/>
      <c r="P368" s="15"/>
      <c r="Q368" s="15"/>
      <c r="R368" s="15"/>
      <c r="S368" s="15"/>
      <c r="T368" s="15"/>
      <c r="U368" s="15"/>
      <c r="V368" s="15"/>
      <c r="W368" s="15"/>
      <c r="X368" s="14"/>
      <c r="Y368" s="14"/>
      <c r="Z368" s="15"/>
      <c r="AA368" s="3"/>
      <c r="AB368" s="3"/>
      <c r="AC368" s="3"/>
      <c r="AD368" s="3"/>
      <c r="AE368" s="3"/>
      <c r="AF368" s="3"/>
    </row>
    <row r="369" ht="15.75" customHeight="1">
      <c r="J369" s="15"/>
      <c r="K369" s="188"/>
      <c r="L369" s="15"/>
      <c r="M369" s="15"/>
      <c r="N369" s="15"/>
      <c r="O369" s="15"/>
      <c r="P369" s="15"/>
      <c r="Q369" s="15"/>
      <c r="R369" s="15"/>
      <c r="S369" s="15"/>
      <c r="T369" s="15"/>
      <c r="U369" s="15"/>
      <c r="V369" s="15"/>
      <c r="W369" s="15"/>
      <c r="X369" s="14"/>
      <c r="Y369" s="14"/>
      <c r="Z369" s="15"/>
      <c r="AA369" s="3"/>
      <c r="AB369" s="3"/>
      <c r="AC369" s="3"/>
      <c r="AD369" s="3"/>
      <c r="AE369" s="3"/>
      <c r="AF369" s="3"/>
    </row>
    <row r="370" ht="15.75" customHeight="1">
      <c r="J370" s="15"/>
      <c r="K370" s="188"/>
      <c r="L370" s="15"/>
      <c r="M370" s="15"/>
      <c r="N370" s="15"/>
      <c r="O370" s="15"/>
      <c r="P370" s="15"/>
      <c r="Q370" s="15"/>
      <c r="R370" s="15"/>
      <c r="S370" s="15"/>
      <c r="T370" s="15"/>
      <c r="U370" s="15"/>
      <c r="V370" s="15"/>
      <c r="W370" s="15"/>
      <c r="X370" s="14"/>
      <c r="Y370" s="14"/>
      <c r="Z370" s="15"/>
      <c r="AA370" s="3"/>
      <c r="AB370" s="3"/>
      <c r="AC370" s="3"/>
      <c r="AD370" s="3"/>
      <c r="AE370" s="3"/>
      <c r="AF370" s="3"/>
    </row>
    <row r="371" ht="15.75" customHeight="1">
      <c r="J371" s="15"/>
      <c r="K371" s="188"/>
      <c r="L371" s="15"/>
      <c r="M371" s="15"/>
      <c r="N371" s="15"/>
      <c r="O371" s="15"/>
      <c r="P371" s="15"/>
      <c r="Q371" s="15"/>
      <c r="R371" s="15"/>
      <c r="S371" s="15"/>
      <c r="T371" s="15"/>
      <c r="U371" s="15"/>
      <c r="V371" s="15"/>
      <c r="W371" s="15"/>
      <c r="X371" s="14"/>
      <c r="Y371" s="14"/>
      <c r="Z371" s="15"/>
      <c r="AA371" s="3"/>
      <c r="AB371" s="3"/>
      <c r="AC371" s="3"/>
      <c r="AD371" s="3"/>
      <c r="AE371" s="3"/>
      <c r="AF371" s="3"/>
    </row>
    <row r="372" ht="15.75" customHeight="1">
      <c r="J372" s="15"/>
      <c r="K372" s="188"/>
      <c r="L372" s="15"/>
      <c r="M372" s="15"/>
      <c r="N372" s="15"/>
      <c r="O372" s="15"/>
      <c r="P372" s="15"/>
      <c r="Q372" s="15"/>
      <c r="R372" s="15"/>
      <c r="S372" s="15"/>
      <c r="T372" s="15"/>
      <c r="U372" s="15"/>
      <c r="V372" s="15"/>
      <c r="W372" s="15"/>
      <c r="X372" s="14"/>
      <c r="Y372" s="14"/>
      <c r="Z372" s="15"/>
      <c r="AA372" s="3"/>
      <c r="AB372" s="3"/>
      <c r="AC372" s="3"/>
      <c r="AD372" s="3"/>
      <c r="AE372" s="3"/>
      <c r="AF372" s="3"/>
    </row>
    <row r="373" ht="15.75" customHeight="1">
      <c r="J373" s="15"/>
      <c r="K373" s="188"/>
      <c r="L373" s="15"/>
      <c r="M373" s="15"/>
      <c r="N373" s="15"/>
      <c r="O373" s="15"/>
      <c r="P373" s="15"/>
      <c r="Q373" s="15"/>
      <c r="R373" s="15"/>
      <c r="S373" s="15"/>
      <c r="T373" s="15"/>
      <c r="U373" s="15"/>
      <c r="V373" s="15"/>
      <c r="W373" s="15"/>
      <c r="X373" s="14"/>
      <c r="Y373" s="14"/>
      <c r="Z373" s="15"/>
      <c r="AA373" s="3"/>
      <c r="AB373" s="3"/>
      <c r="AC373" s="3"/>
      <c r="AD373" s="3"/>
      <c r="AE373" s="3"/>
      <c r="AF373" s="3"/>
    </row>
    <row r="374" ht="15.75" customHeight="1">
      <c r="J374" s="15"/>
      <c r="K374" s="188"/>
      <c r="L374" s="15"/>
      <c r="M374" s="15"/>
      <c r="N374" s="15"/>
      <c r="O374" s="15"/>
      <c r="P374" s="15"/>
      <c r="Q374" s="15"/>
      <c r="R374" s="15"/>
      <c r="S374" s="15"/>
      <c r="T374" s="15"/>
      <c r="U374" s="15"/>
      <c r="V374" s="15"/>
      <c r="W374" s="15"/>
      <c r="X374" s="14"/>
      <c r="Y374" s="14"/>
      <c r="Z374" s="15"/>
      <c r="AA374" s="3"/>
      <c r="AB374" s="3"/>
      <c r="AC374" s="3"/>
      <c r="AD374" s="3"/>
      <c r="AE374" s="3"/>
      <c r="AF374" s="3"/>
    </row>
    <row r="375" ht="15.75" customHeight="1">
      <c r="J375" s="15"/>
      <c r="K375" s="188"/>
      <c r="L375" s="15"/>
      <c r="M375" s="15"/>
      <c r="N375" s="15"/>
      <c r="O375" s="15"/>
      <c r="P375" s="15"/>
      <c r="Q375" s="15"/>
      <c r="R375" s="15"/>
      <c r="S375" s="15"/>
      <c r="T375" s="15"/>
      <c r="U375" s="15"/>
      <c r="V375" s="15"/>
      <c r="W375" s="15"/>
      <c r="X375" s="14"/>
      <c r="Y375" s="14"/>
      <c r="Z375" s="15"/>
      <c r="AA375" s="3"/>
      <c r="AB375" s="3"/>
      <c r="AC375" s="3"/>
      <c r="AD375" s="3"/>
      <c r="AE375" s="3"/>
      <c r="AF375" s="3"/>
    </row>
    <row r="376" ht="15.75" customHeight="1">
      <c r="J376" s="15"/>
      <c r="K376" s="188"/>
      <c r="L376" s="15"/>
      <c r="M376" s="15"/>
      <c r="N376" s="15"/>
      <c r="O376" s="15"/>
      <c r="P376" s="15"/>
      <c r="Q376" s="15"/>
      <c r="R376" s="15"/>
      <c r="S376" s="15"/>
      <c r="T376" s="15"/>
      <c r="U376" s="15"/>
      <c r="V376" s="15"/>
      <c r="W376" s="15"/>
      <c r="X376" s="14"/>
      <c r="Y376" s="14"/>
      <c r="Z376" s="15"/>
      <c r="AA376" s="3"/>
      <c r="AB376" s="3"/>
      <c r="AC376" s="3"/>
      <c r="AD376" s="3"/>
      <c r="AE376" s="3"/>
      <c r="AF376" s="3"/>
    </row>
    <row r="377" ht="15.75" customHeight="1">
      <c r="J377" s="15"/>
      <c r="K377" s="188"/>
      <c r="L377" s="15"/>
      <c r="M377" s="15"/>
      <c r="N377" s="15"/>
      <c r="O377" s="15"/>
      <c r="P377" s="15"/>
      <c r="Q377" s="15"/>
      <c r="R377" s="15"/>
      <c r="S377" s="15"/>
      <c r="T377" s="15"/>
      <c r="U377" s="15"/>
      <c r="V377" s="15"/>
      <c r="W377" s="15"/>
      <c r="X377" s="14"/>
      <c r="Y377" s="14"/>
      <c r="Z377" s="15"/>
      <c r="AA377" s="3"/>
      <c r="AB377" s="3"/>
      <c r="AC377" s="3"/>
      <c r="AD377" s="3"/>
      <c r="AE377" s="3"/>
      <c r="AF377" s="3"/>
    </row>
    <row r="378" ht="15.75" customHeight="1">
      <c r="J378" s="15"/>
      <c r="K378" s="188"/>
      <c r="L378" s="15"/>
      <c r="M378" s="15"/>
      <c r="N378" s="15"/>
      <c r="O378" s="15"/>
      <c r="P378" s="15"/>
      <c r="Q378" s="15"/>
      <c r="R378" s="15"/>
      <c r="S378" s="15"/>
      <c r="T378" s="15"/>
      <c r="U378" s="15"/>
      <c r="V378" s="15"/>
      <c r="W378" s="15"/>
      <c r="X378" s="14"/>
      <c r="Y378" s="14"/>
      <c r="Z378" s="15"/>
      <c r="AA378" s="3"/>
      <c r="AB378" s="3"/>
      <c r="AC378" s="3"/>
      <c r="AD378" s="3"/>
      <c r="AE378" s="3"/>
      <c r="AF378" s="3"/>
    </row>
    <row r="379" ht="15.75" customHeight="1">
      <c r="J379" s="15"/>
      <c r="K379" s="188"/>
      <c r="L379" s="15"/>
      <c r="M379" s="15"/>
      <c r="N379" s="15"/>
      <c r="O379" s="15"/>
      <c r="P379" s="15"/>
      <c r="Q379" s="15"/>
      <c r="R379" s="15"/>
      <c r="S379" s="15"/>
      <c r="T379" s="15"/>
      <c r="U379" s="15"/>
      <c r="V379" s="15"/>
      <c r="W379" s="15"/>
      <c r="X379" s="14"/>
      <c r="Y379" s="14"/>
      <c r="Z379" s="15"/>
      <c r="AA379" s="3"/>
      <c r="AB379" s="3"/>
      <c r="AC379" s="3"/>
      <c r="AD379" s="3"/>
      <c r="AE379" s="3"/>
      <c r="AF379" s="3"/>
    </row>
    <row r="380" ht="15.75" customHeight="1">
      <c r="J380" s="15"/>
      <c r="K380" s="188"/>
      <c r="L380" s="15"/>
      <c r="M380" s="15"/>
      <c r="N380" s="15"/>
      <c r="O380" s="15"/>
      <c r="P380" s="15"/>
      <c r="Q380" s="15"/>
      <c r="R380" s="15"/>
      <c r="S380" s="15"/>
      <c r="T380" s="15"/>
      <c r="U380" s="15"/>
      <c r="V380" s="15"/>
      <c r="W380" s="15"/>
      <c r="X380" s="14"/>
      <c r="Y380" s="14"/>
      <c r="Z380" s="15"/>
      <c r="AA380" s="3"/>
      <c r="AB380" s="3"/>
      <c r="AC380" s="3"/>
      <c r="AD380" s="3"/>
      <c r="AE380" s="3"/>
      <c r="AF380" s="3"/>
    </row>
    <row r="381" ht="15.75" customHeight="1">
      <c r="J381" s="15"/>
      <c r="K381" s="188"/>
      <c r="L381" s="15"/>
      <c r="M381" s="15"/>
      <c r="N381" s="15"/>
      <c r="O381" s="15"/>
      <c r="P381" s="15"/>
      <c r="Q381" s="15"/>
      <c r="R381" s="15"/>
      <c r="S381" s="15"/>
      <c r="T381" s="15"/>
      <c r="U381" s="15"/>
      <c r="V381" s="15"/>
      <c r="W381" s="15"/>
      <c r="X381" s="14"/>
      <c r="Y381" s="14"/>
      <c r="Z381" s="15"/>
      <c r="AA381" s="3"/>
      <c r="AB381" s="3"/>
      <c r="AC381" s="3"/>
      <c r="AD381" s="3"/>
      <c r="AE381" s="3"/>
      <c r="AF381" s="3"/>
    </row>
    <row r="382" ht="15.75" customHeight="1">
      <c r="J382" s="15"/>
      <c r="K382" s="188"/>
      <c r="L382" s="15"/>
      <c r="M382" s="15"/>
      <c r="N382" s="15"/>
      <c r="O382" s="15"/>
      <c r="P382" s="15"/>
      <c r="Q382" s="15"/>
      <c r="R382" s="15"/>
      <c r="S382" s="15"/>
      <c r="T382" s="15"/>
      <c r="U382" s="15"/>
      <c r="V382" s="15"/>
      <c r="W382" s="15"/>
      <c r="X382" s="14"/>
      <c r="Y382" s="14"/>
      <c r="Z382" s="15"/>
      <c r="AA382" s="3"/>
      <c r="AB382" s="3"/>
      <c r="AC382" s="3"/>
      <c r="AD382" s="3"/>
      <c r="AE382" s="3"/>
      <c r="AF382" s="3"/>
    </row>
    <row r="383" ht="15.75" customHeight="1">
      <c r="J383" s="15"/>
      <c r="K383" s="188"/>
      <c r="L383" s="15"/>
      <c r="M383" s="15"/>
      <c r="N383" s="15"/>
      <c r="O383" s="15"/>
      <c r="P383" s="15"/>
      <c r="Q383" s="15"/>
      <c r="R383" s="15"/>
      <c r="S383" s="15"/>
      <c r="T383" s="15"/>
      <c r="U383" s="15"/>
      <c r="V383" s="15"/>
      <c r="W383" s="15"/>
      <c r="X383" s="14"/>
      <c r="Y383" s="14"/>
      <c r="Z383" s="15"/>
      <c r="AA383" s="3"/>
      <c r="AB383" s="3"/>
      <c r="AC383" s="3"/>
      <c r="AD383" s="3"/>
      <c r="AE383" s="3"/>
      <c r="AF383" s="3"/>
    </row>
    <row r="384" ht="15.75" customHeight="1">
      <c r="J384" s="15"/>
      <c r="K384" s="188"/>
      <c r="L384" s="15"/>
      <c r="M384" s="15"/>
      <c r="N384" s="15"/>
      <c r="O384" s="15"/>
      <c r="P384" s="15"/>
      <c r="Q384" s="15"/>
      <c r="R384" s="15"/>
      <c r="S384" s="15"/>
      <c r="T384" s="15"/>
      <c r="U384" s="15"/>
      <c r="V384" s="15"/>
      <c r="W384" s="15"/>
      <c r="X384" s="14"/>
      <c r="Y384" s="14"/>
      <c r="Z384" s="15"/>
      <c r="AA384" s="3"/>
      <c r="AB384" s="3"/>
      <c r="AC384" s="3"/>
      <c r="AD384" s="3"/>
      <c r="AE384" s="3"/>
      <c r="AF384" s="3"/>
    </row>
    <row r="385" ht="15.75" customHeight="1">
      <c r="J385" s="15"/>
      <c r="K385" s="188"/>
      <c r="L385" s="15"/>
      <c r="M385" s="15"/>
      <c r="N385" s="15"/>
      <c r="O385" s="15"/>
      <c r="P385" s="15"/>
      <c r="Q385" s="15"/>
      <c r="R385" s="15"/>
      <c r="S385" s="15"/>
      <c r="T385" s="15"/>
      <c r="U385" s="15"/>
      <c r="V385" s="15"/>
      <c r="W385" s="15"/>
      <c r="X385" s="14"/>
      <c r="Y385" s="14"/>
      <c r="Z385" s="15"/>
      <c r="AA385" s="3"/>
      <c r="AB385" s="3"/>
      <c r="AC385" s="3"/>
      <c r="AD385" s="3"/>
      <c r="AE385" s="3"/>
      <c r="AF385" s="3"/>
    </row>
    <row r="386" ht="15.75" customHeight="1">
      <c r="J386" s="15"/>
      <c r="K386" s="188"/>
      <c r="L386" s="15"/>
      <c r="M386" s="15"/>
      <c r="N386" s="15"/>
      <c r="O386" s="15"/>
      <c r="P386" s="15"/>
      <c r="Q386" s="15"/>
      <c r="R386" s="15"/>
      <c r="S386" s="15"/>
      <c r="T386" s="15"/>
      <c r="U386" s="15"/>
      <c r="V386" s="15"/>
      <c r="W386" s="15"/>
      <c r="X386" s="14"/>
      <c r="Y386" s="14"/>
      <c r="Z386" s="15"/>
      <c r="AA386" s="3"/>
      <c r="AB386" s="3"/>
      <c r="AC386" s="3"/>
      <c r="AD386" s="3"/>
      <c r="AE386" s="3"/>
      <c r="AF386" s="3"/>
    </row>
    <row r="387" ht="15.75" customHeight="1">
      <c r="J387" s="15"/>
      <c r="K387" s="188"/>
      <c r="L387" s="15"/>
      <c r="M387" s="15"/>
      <c r="N387" s="15"/>
      <c r="O387" s="15"/>
      <c r="P387" s="15"/>
      <c r="Q387" s="15"/>
      <c r="R387" s="15"/>
      <c r="S387" s="15"/>
      <c r="T387" s="15"/>
      <c r="U387" s="15"/>
      <c r="V387" s="15"/>
      <c r="W387" s="15"/>
      <c r="X387" s="14"/>
      <c r="Y387" s="14"/>
      <c r="Z387" s="15"/>
      <c r="AA387" s="3"/>
      <c r="AB387" s="3"/>
      <c r="AC387" s="3"/>
      <c r="AD387" s="3"/>
      <c r="AE387" s="3"/>
      <c r="AF387" s="3"/>
    </row>
    <row r="388" ht="15.75" customHeight="1">
      <c r="J388" s="15"/>
      <c r="K388" s="188"/>
      <c r="L388" s="15"/>
      <c r="M388" s="15"/>
      <c r="N388" s="15"/>
      <c r="O388" s="15"/>
      <c r="P388" s="15"/>
      <c r="Q388" s="15"/>
      <c r="R388" s="15"/>
      <c r="S388" s="15"/>
      <c r="T388" s="15"/>
      <c r="U388" s="15"/>
      <c r="V388" s="15"/>
      <c r="W388" s="15"/>
      <c r="X388" s="14"/>
      <c r="Y388" s="14"/>
      <c r="Z388" s="15"/>
      <c r="AA388" s="3"/>
      <c r="AB388" s="3"/>
      <c r="AC388" s="3"/>
      <c r="AD388" s="3"/>
      <c r="AE388" s="3"/>
      <c r="AF388" s="3"/>
    </row>
    <row r="389" ht="15.75" customHeight="1">
      <c r="J389" s="15"/>
      <c r="K389" s="188"/>
      <c r="L389" s="15"/>
      <c r="M389" s="15"/>
      <c r="N389" s="15"/>
      <c r="O389" s="15"/>
      <c r="P389" s="15"/>
      <c r="Q389" s="15"/>
      <c r="R389" s="15"/>
      <c r="S389" s="15"/>
      <c r="T389" s="15"/>
      <c r="U389" s="15"/>
      <c r="V389" s="15"/>
      <c r="W389" s="15"/>
      <c r="X389" s="14"/>
      <c r="Y389" s="14"/>
      <c r="Z389" s="15"/>
      <c r="AA389" s="3"/>
      <c r="AB389" s="3"/>
      <c r="AC389" s="3"/>
      <c r="AD389" s="3"/>
      <c r="AE389" s="3"/>
      <c r="AF389" s="3"/>
    </row>
    <row r="390" ht="15.75" customHeight="1">
      <c r="J390" s="15"/>
      <c r="K390" s="188"/>
      <c r="L390" s="15"/>
      <c r="M390" s="15"/>
      <c r="N390" s="15"/>
      <c r="O390" s="15"/>
      <c r="P390" s="15"/>
      <c r="Q390" s="15"/>
      <c r="R390" s="15"/>
      <c r="S390" s="15"/>
      <c r="T390" s="15"/>
      <c r="U390" s="15"/>
      <c r="V390" s="15"/>
      <c r="W390" s="15"/>
      <c r="X390" s="14"/>
      <c r="Y390" s="14"/>
      <c r="Z390" s="15"/>
      <c r="AA390" s="3"/>
      <c r="AB390" s="3"/>
      <c r="AC390" s="3"/>
      <c r="AD390" s="3"/>
      <c r="AE390" s="3"/>
      <c r="AF390" s="3"/>
    </row>
    <row r="391" ht="15.75" customHeight="1">
      <c r="J391" s="15"/>
      <c r="K391" s="188"/>
      <c r="L391" s="15"/>
      <c r="M391" s="15"/>
      <c r="N391" s="15"/>
      <c r="O391" s="15"/>
      <c r="P391" s="15"/>
      <c r="Q391" s="15"/>
      <c r="R391" s="15"/>
      <c r="S391" s="15"/>
      <c r="T391" s="15"/>
      <c r="U391" s="15"/>
      <c r="V391" s="15"/>
      <c r="W391" s="15"/>
      <c r="X391" s="14"/>
      <c r="Y391" s="14"/>
      <c r="Z391" s="15"/>
      <c r="AA391" s="3"/>
      <c r="AB391" s="3"/>
      <c r="AC391" s="3"/>
      <c r="AD391" s="3"/>
      <c r="AE391" s="3"/>
      <c r="AF391" s="3"/>
    </row>
    <row r="392" ht="15.75" customHeight="1">
      <c r="J392" s="15"/>
      <c r="K392" s="188"/>
      <c r="L392" s="15"/>
      <c r="M392" s="15"/>
      <c r="N392" s="15"/>
      <c r="O392" s="15"/>
      <c r="P392" s="15"/>
      <c r="Q392" s="15"/>
      <c r="R392" s="15"/>
      <c r="S392" s="15"/>
      <c r="T392" s="15"/>
      <c r="U392" s="15"/>
      <c r="V392" s="15"/>
      <c r="W392" s="15"/>
      <c r="X392" s="14"/>
      <c r="Y392" s="14"/>
      <c r="Z392" s="15"/>
      <c r="AA392" s="3"/>
      <c r="AB392" s="3"/>
      <c r="AC392" s="3"/>
      <c r="AD392" s="3"/>
      <c r="AE392" s="3"/>
      <c r="AF392" s="3"/>
    </row>
    <row r="393" ht="15.75" customHeight="1">
      <c r="J393" s="15"/>
      <c r="K393" s="188"/>
      <c r="L393" s="15"/>
      <c r="M393" s="15"/>
      <c r="N393" s="15"/>
      <c r="O393" s="15"/>
      <c r="P393" s="15"/>
      <c r="Q393" s="15"/>
      <c r="R393" s="15"/>
      <c r="S393" s="15"/>
      <c r="T393" s="15"/>
      <c r="U393" s="15"/>
      <c r="V393" s="15"/>
      <c r="W393" s="15"/>
      <c r="X393" s="14"/>
      <c r="Y393" s="14"/>
      <c r="Z393" s="15"/>
      <c r="AA393" s="3"/>
      <c r="AB393" s="3"/>
      <c r="AC393" s="3"/>
      <c r="AD393" s="3"/>
      <c r="AE393" s="3"/>
      <c r="AF393" s="3"/>
    </row>
    <row r="394" ht="15.75" customHeight="1">
      <c r="J394" s="15"/>
      <c r="K394" s="188"/>
      <c r="L394" s="15"/>
      <c r="M394" s="15"/>
      <c r="N394" s="15"/>
      <c r="O394" s="15"/>
      <c r="P394" s="15"/>
      <c r="Q394" s="15"/>
      <c r="R394" s="15"/>
      <c r="S394" s="15"/>
      <c r="T394" s="15"/>
      <c r="U394" s="15"/>
      <c r="V394" s="15"/>
      <c r="W394" s="15"/>
      <c r="X394" s="14"/>
      <c r="Y394" s="14"/>
      <c r="Z394" s="15"/>
      <c r="AA394" s="3"/>
      <c r="AB394" s="3"/>
      <c r="AC394" s="3"/>
      <c r="AD394" s="3"/>
      <c r="AE394" s="3"/>
      <c r="AF394" s="3"/>
    </row>
    <row r="395" ht="15.75" customHeight="1">
      <c r="J395" s="15"/>
      <c r="K395" s="188"/>
      <c r="L395" s="15"/>
      <c r="M395" s="15"/>
      <c r="N395" s="15"/>
      <c r="O395" s="15"/>
      <c r="P395" s="15"/>
      <c r="Q395" s="15"/>
      <c r="R395" s="15"/>
      <c r="S395" s="15"/>
      <c r="T395" s="15"/>
      <c r="U395" s="15"/>
      <c r="V395" s="15"/>
      <c r="W395" s="15"/>
      <c r="X395" s="14"/>
      <c r="Y395" s="14"/>
      <c r="Z395" s="15"/>
      <c r="AA395" s="3"/>
      <c r="AB395" s="3"/>
      <c r="AC395" s="3"/>
      <c r="AD395" s="3"/>
      <c r="AE395" s="3"/>
      <c r="AF395" s="3"/>
    </row>
    <row r="396" ht="15.75" customHeight="1">
      <c r="J396" s="15"/>
      <c r="K396" s="188"/>
      <c r="L396" s="15"/>
      <c r="M396" s="15"/>
      <c r="N396" s="15"/>
      <c r="O396" s="15"/>
      <c r="P396" s="15"/>
      <c r="Q396" s="15"/>
      <c r="R396" s="15"/>
      <c r="S396" s="15"/>
      <c r="T396" s="15"/>
      <c r="U396" s="15"/>
      <c r="V396" s="15"/>
      <c r="W396" s="15"/>
      <c r="X396" s="14"/>
      <c r="Y396" s="14"/>
      <c r="Z396" s="15"/>
      <c r="AA396" s="3"/>
      <c r="AB396" s="3"/>
      <c r="AC396" s="3"/>
      <c r="AD396" s="3"/>
      <c r="AE396" s="3"/>
      <c r="AF396" s="3"/>
    </row>
    <row r="397" ht="15.75" customHeight="1">
      <c r="J397" s="15"/>
      <c r="K397" s="188"/>
      <c r="L397" s="15"/>
      <c r="M397" s="15"/>
      <c r="N397" s="15"/>
      <c r="O397" s="15"/>
      <c r="P397" s="15"/>
      <c r="Q397" s="15"/>
      <c r="R397" s="15"/>
      <c r="S397" s="15"/>
      <c r="T397" s="15"/>
      <c r="U397" s="15"/>
      <c r="V397" s="15"/>
      <c r="W397" s="15"/>
      <c r="X397" s="14"/>
      <c r="Y397" s="14"/>
      <c r="Z397" s="15"/>
      <c r="AA397" s="3"/>
      <c r="AB397" s="3"/>
      <c r="AC397" s="3"/>
      <c r="AD397" s="3"/>
      <c r="AE397" s="3"/>
      <c r="AF397" s="3"/>
    </row>
    <row r="398" ht="15.75" customHeight="1">
      <c r="J398" s="15"/>
      <c r="K398" s="188"/>
      <c r="L398" s="15"/>
      <c r="M398" s="15"/>
      <c r="N398" s="15"/>
      <c r="O398" s="15"/>
      <c r="P398" s="15"/>
      <c r="Q398" s="15"/>
      <c r="R398" s="15"/>
      <c r="S398" s="15"/>
      <c r="T398" s="15"/>
      <c r="U398" s="15"/>
      <c r="V398" s="15"/>
      <c r="W398" s="15"/>
      <c r="X398" s="14"/>
      <c r="Y398" s="14"/>
      <c r="Z398" s="15"/>
      <c r="AA398" s="3"/>
      <c r="AB398" s="3"/>
      <c r="AC398" s="3"/>
      <c r="AD398" s="3"/>
      <c r="AE398" s="3"/>
      <c r="AF398" s="3"/>
    </row>
    <row r="399" ht="15.75" customHeight="1">
      <c r="J399" s="15"/>
      <c r="K399" s="188"/>
      <c r="L399" s="15"/>
      <c r="M399" s="15"/>
      <c r="N399" s="15"/>
      <c r="O399" s="15"/>
      <c r="P399" s="15"/>
      <c r="Q399" s="15"/>
      <c r="R399" s="15"/>
      <c r="S399" s="15"/>
      <c r="T399" s="15"/>
      <c r="U399" s="15"/>
      <c r="V399" s="15"/>
      <c r="W399" s="15"/>
      <c r="X399" s="14"/>
      <c r="Y399" s="14"/>
      <c r="Z399" s="15"/>
      <c r="AA399" s="3"/>
      <c r="AB399" s="3"/>
      <c r="AC399" s="3"/>
      <c r="AD399" s="3"/>
      <c r="AE399" s="3"/>
      <c r="AF399" s="3"/>
    </row>
    <row r="400" ht="15.75" customHeight="1">
      <c r="J400" s="15"/>
      <c r="K400" s="188"/>
      <c r="L400" s="15"/>
      <c r="M400" s="15"/>
      <c r="N400" s="15"/>
      <c r="O400" s="15"/>
      <c r="P400" s="15"/>
      <c r="Q400" s="15"/>
      <c r="R400" s="15"/>
      <c r="S400" s="15"/>
      <c r="T400" s="15"/>
      <c r="U400" s="15"/>
      <c r="V400" s="15"/>
      <c r="W400" s="15"/>
      <c r="X400" s="14"/>
      <c r="Y400" s="14"/>
      <c r="Z400" s="15"/>
      <c r="AA400" s="3"/>
      <c r="AB400" s="3"/>
      <c r="AC400" s="3"/>
      <c r="AD400" s="3"/>
      <c r="AE400" s="3"/>
      <c r="AF400" s="3"/>
    </row>
    <row r="401" ht="15.75" customHeight="1">
      <c r="J401" s="15"/>
      <c r="K401" s="188"/>
      <c r="L401" s="15"/>
      <c r="M401" s="15"/>
      <c r="N401" s="15"/>
      <c r="O401" s="15"/>
      <c r="P401" s="15"/>
      <c r="Q401" s="15"/>
      <c r="R401" s="15"/>
      <c r="S401" s="15"/>
      <c r="T401" s="15"/>
      <c r="U401" s="15"/>
      <c r="V401" s="15"/>
      <c r="W401" s="15"/>
      <c r="X401" s="14"/>
      <c r="Y401" s="14"/>
      <c r="Z401" s="15"/>
      <c r="AA401" s="3"/>
      <c r="AB401" s="3"/>
      <c r="AC401" s="3"/>
      <c r="AD401" s="3"/>
      <c r="AE401" s="3"/>
      <c r="AF401" s="3"/>
    </row>
    <row r="402" ht="15.75" customHeight="1">
      <c r="J402" s="15"/>
      <c r="K402" s="188"/>
      <c r="L402" s="15"/>
      <c r="M402" s="15"/>
      <c r="N402" s="15"/>
      <c r="O402" s="15"/>
      <c r="P402" s="15"/>
      <c r="Q402" s="15"/>
      <c r="R402" s="15"/>
      <c r="S402" s="15"/>
      <c r="T402" s="15"/>
      <c r="U402" s="15"/>
      <c r="V402" s="15"/>
      <c r="W402" s="15"/>
      <c r="X402" s="14"/>
      <c r="Y402" s="14"/>
      <c r="Z402" s="15"/>
      <c r="AA402" s="3"/>
      <c r="AB402" s="3"/>
      <c r="AC402" s="3"/>
      <c r="AD402" s="3"/>
      <c r="AE402" s="3"/>
      <c r="AF402" s="3"/>
    </row>
    <row r="403" ht="15.75" customHeight="1">
      <c r="J403" s="15"/>
      <c r="K403" s="188"/>
      <c r="L403" s="15"/>
      <c r="M403" s="15"/>
      <c r="N403" s="15"/>
      <c r="O403" s="15"/>
      <c r="P403" s="15"/>
      <c r="Q403" s="15"/>
      <c r="R403" s="15"/>
      <c r="S403" s="15"/>
      <c r="T403" s="15"/>
      <c r="U403" s="15"/>
      <c r="V403" s="15"/>
      <c r="W403" s="15"/>
      <c r="X403" s="14"/>
      <c r="Y403" s="14"/>
      <c r="Z403" s="15"/>
      <c r="AA403" s="3"/>
      <c r="AB403" s="3"/>
      <c r="AC403" s="3"/>
      <c r="AD403" s="3"/>
      <c r="AE403" s="3"/>
      <c r="AF403" s="3"/>
    </row>
    <row r="404" ht="15.75" customHeight="1">
      <c r="J404" s="15"/>
      <c r="K404" s="188"/>
      <c r="L404" s="15"/>
      <c r="M404" s="15"/>
      <c r="N404" s="15"/>
      <c r="O404" s="15"/>
      <c r="P404" s="15"/>
      <c r="Q404" s="15"/>
      <c r="R404" s="15"/>
      <c r="S404" s="15"/>
      <c r="T404" s="15"/>
      <c r="U404" s="15"/>
      <c r="V404" s="15"/>
      <c r="W404" s="15"/>
      <c r="X404" s="14"/>
      <c r="Y404" s="14"/>
      <c r="Z404" s="15"/>
      <c r="AA404" s="3"/>
      <c r="AB404" s="3"/>
      <c r="AC404" s="3"/>
      <c r="AD404" s="3"/>
      <c r="AE404" s="3"/>
      <c r="AF404" s="3"/>
    </row>
    <row r="405" ht="15.75" customHeight="1">
      <c r="J405" s="15"/>
      <c r="K405" s="188"/>
      <c r="L405" s="15"/>
      <c r="M405" s="15"/>
      <c r="N405" s="15"/>
      <c r="O405" s="15"/>
      <c r="P405" s="15"/>
      <c r="Q405" s="15"/>
      <c r="R405" s="15"/>
      <c r="S405" s="15"/>
      <c r="T405" s="15"/>
      <c r="U405" s="15"/>
      <c r="V405" s="15"/>
      <c r="W405" s="15"/>
      <c r="X405" s="14"/>
      <c r="Y405" s="14"/>
      <c r="Z405" s="15"/>
      <c r="AA405" s="3"/>
      <c r="AB405" s="3"/>
      <c r="AC405" s="3"/>
      <c r="AD405" s="3"/>
      <c r="AE405" s="3"/>
      <c r="AF405" s="3"/>
    </row>
    <row r="406" ht="15.75" customHeight="1">
      <c r="J406" s="15"/>
      <c r="K406" s="188"/>
      <c r="L406" s="15"/>
      <c r="M406" s="15"/>
      <c r="N406" s="15"/>
      <c r="O406" s="15"/>
      <c r="P406" s="15"/>
      <c r="Q406" s="15"/>
      <c r="R406" s="15"/>
      <c r="S406" s="15"/>
      <c r="T406" s="15"/>
      <c r="U406" s="15"/>
      <c r="V406" s="15"/>
      <c r="W406" s="15"/>
      <c r="X406" s="14"/>
      <c r="Y406" s="14"/>
      <c r="Z406" s="15"/>
      <c r="AA406" s="3"/>
      <c r="AB406" s="3"/>
      <c r="AC406" s="3"/>
      <c r="AD406" s="3"/>
      <c r="AE406" s="3"/>
      <c r="AF406" s="3"/>
    </row>
    <row r="407" ht="15.75" customHeight="1">
      <c r="J407" s="15"/>
      <c r="K407" s="188"/>
      <c r="L407" s="15"/>
      <c r="M407" s="15"/>
      <c r="N407" s="15"/>
      <c r="O407" s="15"/>
      <c r="P407" s="15"/>
      <c r="Q407" s="15"/>
      <c r="R407" s="15"/>
      <c r="S407" s="15"/>
      <c r="T407" s="15"/>
      <c r="U407" s="15"/>
      <c r="V407" s="15"/>
      <c r="W407" s="15"/>
      <c r="X407" s="14"/>
      <c r="Y407" s="14"/>
      <c r="Z407" s="15"/>
      <c r="AA407" s="3"/>
      <c r="AB407" s="3"/>
      <c r="AC407" s="3"/>
      <c r="AD407" s="3"/>
      <c r="AE407" s="3"/>
      <c r="AF407" s="3"/>
    </row>
    <row r="408" ht="15.75" customHeight="1">
      <c r="J408" s="15"/>
      <c r="K408" s="188"/>
      <c r="L408" s="15"/>
      <c r="M408" s="15"/>
      <c r="N408" s="15"/>
      <c r="O408" s="15"/>
      <c r="P408" s="15"/>
      <c r="Q408" s="15"/>
      <c r="R408" s="15"/>
      <c r="S408" s="15"/>
      <c r="T408" s="15"/>
      <c r="U408" s="15"/>
      <c r="V408" s="15"/>
      <c r="W408" s="15"/>
      <c r="X408" s="14"/>
      <c r="Y408" s="14"/>
      <c r="Z408" s="15"/>
      <c r="AA408" s="3"/>
      <c r="AB408" s="3"/>
      <c r="AC408" s="3"/>
      <c r="AD408" s="3"/>
      <c r="AE408" s="3"/>
      <c r="AF408" s="3"/>
    </row>
    <row r="409" ht="15.75" customHeight="1">
      <c r="J409" s="15"/>
      <c r="K409" s="188"/>
      <c r="L409" s="15"/>
      <c r="M409" s="15"/>
      <c r="N409" s="15"/>
      <c r="O409" s="15"/>
      <c r="P409" s="15"/>
      <c r="Q409" s="15"/>
      <c r="R409" s="15"/>
      <c r="S409" s="15"/>
      <c r="T409" s="15"/>
      <c r="U409" s="15"/>
      <c r="V409" s="15"/>
      <c r="W409" s="15"/>
      <c r="X409" s="14"/>
      <c r="Y409" s="14"/>
      <c r="Z409" s="15"/>
      <c r="AA409" s="3"/>
      <c r="AB409" s="3"/>
      <c r="AC409" s="3"/>
      <c r="AD409" s="3"/>
      <c r="AE409" s="3"/>
      <c r="AF409" s="3"/>
    </row>
    <row r="410" ht="15.75" customHeight="1">
      <c r="J410" s="15"/>
      <c r="K410" s="188"/>
      <c r="L410" s="15"/>
      <c r="M410" s="15"/>
      <c r="N410" s="15"/>
      <c r="O410" s="15"/>
      <c r="P410" s="15"/>
      <c r="Q410" s="15"/>
      <c r="R410" s="15"/>
      <c r="S410" s="15"/>
      <c r="T410" s="15"/>
      <c r="U410" s="15"/>
      <c r="V410" s="15"/>
      <c r="W410" s="15"/>
      <c r="X410" s="14"/>
      <c r="Y410" s="14"/>
      <c r="Z410" s="15"/>
      <c r="AA410" s="3"/>
      <c r="AB410" s="3"/>
      <c r="AC410" s="3"/>
      <c r="AD410" s="3"/>
      <c r="AE410" s="3"/>
      <c r="AF410" s="3"/>
    </row>
    <row r="411" ht="15.75" customHeight="1">
      <c r="J411" s="15"/>
      <c r="K411" s="188"/>
      <c r="L411" s="15"/>
      <c r="M411" s="15"/>
      <c r="N411" s="15"/>
      <c r="O411" s="15"/>
      <c r="P411" s="15"/>
      <c r="Q411" s="15"/>
      <c r="R411" s="15"/>
      <c r="S411" s="15"/>
      <c r="T411" s="15"/>
      <c r="U411" s="15"/>
      <c r="V411" s="15"/>
      <c r="W411" s="15"/>
      <c r="X411" s="14"/>
      <c r="Y411" s="14"/>
      <c r="Z411" s="15"/>
      <c r="AA411" s="3"/>
      <c r="AB411" s="3"/>
      <c r="AC411" s="3"/>
      <c r="AD411" s="3"/>
      <c r="AE411" s="3"/>
      <c r="AF411" s="3"/>
    </row>
    <row r="412" ht="15.75" customHeight="1">
      <c r="J412" s="15"/>
      <c r="K412" s="188"/>
      <c r="L412" s="15"/>
      <c r="M412" s="15"/>
      <c r="N412" s="15"/>
      <c r="O412" s="15"/>
      <c r="P412" s="15"/>
      <c r="Q412" s="15"/>
      <c r="R412" s="15"/>
      <c r="S412" s="15"/>
      <c r="T412" s="15"/>
      <c r="U412" s="15"/>
      <c r="V412" s="15"/>
      <c r="W412" s="15"/>
      <c r="X412" s="14"/>
      <c r="Y412" s="14"/>
      <c r="Z412" s="15"/>
      <c r="AA412" s="3"/>
      <c r="AB412" s="3"/>
      <c r="AC412" s="3"/>
      <c r="AD412" s="3"/>
      <c r="AE412" s="3"/>
      <c r="AF412" s="3"/>
    </row>
    <row r="413" ht="15.75" customHeight="1">
      <c r="J413" s="15"/>
      <c r="K413" s="188"/>
      <c r="L413" s="15"/>
      <c r="M413" s="15"/>
      <c r="N413" s="15"/>
      <c r="O413" s="15"/>
      <c r="P413" s="15"/>
      <c r="Q413" s="15"/>
      <c r="R413" s="15"/>
      <c r="S413" s="15"/>
      <c r="T413" s="15"/>
      <c r="U413" s="15"/>
      <c r="V413" s="15"/>
      <c r="W413" s="15"/>
      <c r="X413" s="14"/>
      <c r="Y413" s="14"/>
      <c r="Z413" s="15"/>
      <c r="AA413" s="3"/>
      <c r="AB413" s="3"/>
      <c r="AC413" s="3"/>
      <c r="AD413" s="3"/>
      <c r="AE413" s="3"/>
      <c r="AF413" s="3"/>
    </row>
    <row r="414" ht="15.75" customHeight="1">
      <c r="J414" s="15"/>
      <c r="K414" s="188"/>
      <c r="L414" s="15"/>
      <c r="M414" s="15"/>
      <c r="N414" s="15"/>
      <c r="O414" s="15"/>
      <c r="P414" s="15"/>
      <c r="Q414" s="15"/>
      <c r="R414" s="15"/>
      <c r="S414" s="15"/>
      <c r="T414" s="15"/>
      <c r="U414" s="15"/>
      <c r="V414" s="15"/>
      <c r="W414" s="15"/>
      <c r="X414" s="14"/>
      <c r="Y414" s="14"/>
      <c r="Z414" s="15"/>
      <c r="AA414" s="3"/>
      <c r="AB414" s="3"/>
      <c r="AC414" s="3"/>
      <c r="AD414" s="3"/>
      <c r="AE414" s="3"/>
      <c r="AF414" s="3"/>
    </row>
    <row r="415" ht="15.75" customHeight="1">
      <c r="J415" s="15"/>
      <c r="K415" s="188"/>
      <c r="L415" s="15"/>
      <c r="M415" s="15"/>
      <c r="N415" s="15"/>
      <c r="O415" s="15"/>
      <c r="P415" s="15"/>
      <c r="Q415" s="15"/>
      <c r="R415" s="15"/>
      <c r="S415" s="15"/>
      <c r="T415" s="15"/>
      <c r="U415" s="15"/>
      <c r="V415" s="15"/>
      <c r="W415" s="15"/>
      <c r="X415" s="14"/>
      <c r="Y415" s="14"/>
      <c r="Z415" s="15"/>
      <c r="AA415" s="3"/>
      <c r="AB415" s="3"/>
      <c r="AC415" s="3"/>
      <c r="AD415" s="3"/>
      <c r="AE415" s="3"/>
      <c r="AF415" s="3"/>
    </row>
    <row r="416" ht="15.75" customHeight="1">
      <c r="J416" s="15"/>
      <c r="K416" s="188"/>
      <c r="L416" s="15"/>
      <c r="M416" s="15"/>
      <c r="N416" s="15"/>
      <c r="O416" s="15"/>
      <c r="P416" s="15"/>
      <c r="Q416" s="15"/>
      <c r="R416" s="15"/>
      <c r="S416" s="15"/>
      <c r="T416" s="15"/>
      <c r="U416" s="15"/>
      <c r="V416" s="15"/>
      <c r="W416" s="15"/>
      <c r="X416" s="14"/>
      <c r="Y416" s="14"/>
      <c r="Z416" s="15"/>
      <c r="AA416" s="3"/>
      <c r="AB416" s="3"/>
      <c r="AC416" s="3"/>
      <c r="AD416" s="3"/>
      <c r="AE416" s="3"/>
      <c r="AF416" s="3"/>
    </row>
    <row r="417" ht="15.75" customHeight="1">
      <c r="J417" s="15"/>
      <c r="K417" s="188"/>
      <c r="L417" s="15"/>
      <c r="M417" s="15"/>
      <c r="N417" s="15"/>
      <c r="O417" s="15"/>
      <c r="P417" s="15"/>
      <c r="Q417" s="15"/>
      <c r="R417" s="15"/>
      <c r="S417" s="15"/>
      <c r="T417" s="15"/>
      <c r="U417" s="15"/>
      <c r="V417" s="15"/>
      <c r="W417" s="15"/>
      <c r="X417" s="14"/>
      <c r="Y417" s="14"/>
      <c r="Z417" s="15"/>
      <c r="AA417" s="3"/>
      <c r="AB417" s="3"/>
      <c r="AC417" s="3"/>
      <c r="AD417" s="3"/>
      <c r="AE417" s="3"/>
      <c r="AF417" s="3"/>
    </row>
    <row r="418" ht="15.75" customHeight="1">
      <c r="J418" s="15"/>
      <c r="K418" s="188"/>
      <c r="L418" s="15"/>
      <c r="M418" s="15"/>
      <c r="N418" s="15"/>
      <c r="O418" s="15"/>
      <c r="P418" s="15"/>
      <c r="Q418" s="15"/>
      <c r="R418" s="15"/>
      <c r="S418" s="15"/>
      <c r="T418" s="15"/>
      <c r="U418" s="15"/>
      <c r="V418" s="15"/>
      <c r="W418" s="15"/>
      <c r="X418" s="14"/>
      <c r="Y418" s="14"/>
      <c r="Z418" s="15"/>
      <c r="AA418" s="3"/>
      <c r="AB418" s="3"/>
      <c r="AC418" s="3"/>
      <c r="AD418" s="3"/>
      <c r="AE418" s="3"/>
      <c r="AF418" s="3"/>
    </row>
    <row r="419" ht="15.75" customHeight="1">
      <c r="J419" s="15"/>
      <c r="K419" s="188"/>
      <c r="L419" s="15"/>
      <c r="M419" s="15"/>
      <c r="N419" s="15"/>
      <c r="O419" s="15"/>
      <c r="P419" s="15"/>
      <c r="Q419" s="15"/>
      <c r="R419" s="15"/>
      <c r="S419" s="15"/>
      <c r="T419" s="15"/>
      <c r="U419" s="15"/>
      <c r="V419" s="15"/>
      <c r="W419" s="15"/>
      <c r="X419" s="14"/>
      <c r="Y419" s="14"/>
      <c r="Z419" s="15"/>
      <c r="AA419" s="3"/>
      <c r="AB419" s="3"/>
      <c r="AC419" s="3"/>
      <c r="AD419" s="3"/>
      <c r="AE419" s="3"/>
      <c r="AF419" s="3"/>
    </row>
    <row r="420" ht="15.75" customHeight="1">
      <c r="J420" s="15"/>
      <c r="K420" s="188"/>
      <c r="L420" s="15"/>
      <c r="M420" s="15"/>
      <c r="N420" s="15"/>
      <c r="O420" s="15"/>
      <c r="P420" s="15"/>
      <c r="Q420" s="15"/>
      <c r="R420" s="15"/>
      <c r="S420" s="15"/>
      <c r="T420" s="15"/>
      <c r="U420" s="15"/>
      <c r="V420" s="15"/>
      <c r="W420" s="15"/>
      <c r="X420" s="14"/>
      <c r="Y420" s="14"/>
      <c r="Z420" s="15"/>
      <c r="AA420" s="3"/>
      <c r="AB420" s="3"/>
      <c r="AC420" s="3"/>
      <c r="AD420" s="3"/>
      <c r="AE420" s="3"/>
      <c r="AF420" s="3"/>
    </row>
    <row r="421" ht="15.75" customHeight="1">
      <c r="J421" s="15"/>
      <c r="K421" s="188"/>
      <c r="L421" s="15"/>
      <c r="M421" s="15"/>
      <c r="N421" s="15"/>
      <c r="O421" s="15"/>
      <c r="P421" s="15"/>
      <c r="Q421" s="15"/>
      <c r="R421" s="15"/>
      <c r="S421" s="15"/>
      <c r="T421" s="15"/>
      <c r="U421" s="15"/>
      <c r="V421" s="15"/>
      <c r="W421" s="15"/>
      <c r="X421" s="14"/>
      <c r="Y421" s="14"/>
      <c r="Z421" s="15"/>
      <c r="AA421" s="3"/>
      <c r="AB421" s="3"/>
      <c r="AC421" s="3"/>
      <c r="AD421" s="3"/>
      <c r="AE421" s="3"/>
      <c r="AF421" s="3"/>
    </row>
    <row r="422" ht="15.75" customHeight="1">
      <c r="J422" s="15"/>
      <c r="K422" s="188"/>
      <c r="L422" s="15"/>
      <c r="M422" s="15"/>
      <c r="N422" s="15"/>
      <c r="O422" s="15"/>
      <c r="P422" s="15"/>
      <c r="Q422" s="15"/>
      <c r="R422" s="15"/>
      <c r="S422" s="15"/>
      <c r="T422" s="15"/>
      <c r="U422" s="15"/>
      <c r="V422" s="15"/>
      <c r="W422" s="15"/>
      <c r="X422" s="14"/>
      <c r="Y422" s="14"/>
      <c r="Z422" s="15"/>
      <c r="AA422" s="3"/>
      <c r="AB422" s="3"/>
      <c r="AC422" s="3"/>
      <c r="AD422" s="3"/>
      <c r="AE422" s="3"/>
      <c r="AF422" s="3"/>
    </row>
    <row r="423" ht="15.75" customHeight="1">
      <c r="J423" s="15"/>
      <c r="K423" s="188"/>
      <c r="L423" s="15"/>
      <c r="M423" s="15"/>
      <c r="N423" s="15"/>
      <c r="O423" s="15"/>
      <c r="P423" s="15"/>
      <c r="Q423" s="15"/>
      <c r="R423" s="15"/>
      <c r="S423" s="15"/>
      <c r="T423" s="15"/>
      <c r="U423" s="15"/>
      <c r="V423" s="15"/>
      <c r="W423" s="15"/>
      <c r="X423" s="14"/>
      <c r="Y423" s="14"/>
      <c r="Z423" s="15"/>
      <c r="AA423" s="3"/>
      <c r="AB423" s="3"/>
      <c r="AC423" s="3"/>
      <c r="AD423" s="3"/>
      <c r="AE423" s="3"/>
      <c r="AF423" s="3"/>
    </row>
    <row r="424" ht="15.75" customHeight="1">
      <c r="J424" s="15"/>
      <c r="K424" s="188"/>
      <c r="L424" s="15"/>
      <c r="M424" s="15"/>
      <c r="N424" s="15"/>
      <c r="O424" s="15"/>
      <c r="P424" s="15"/>
      <c r="Q424" s="15"/>
      <c r="R424" s="15"/>
      <c r="S424" s="15"/>
      <c r="T424" s="15"/>
      <c r="U424" s="15"/>
      <c r="V424" s="15"/>
      <c r="W424" s="15"/>
      <c r="X424" s="14"/>
      <c r="Y424" s="14"/>
      <c r="Z424" s="15"/>
      <c r="AA424" s="3"/>
      <c r="AB424" s="3"/>
      <c r="AC424" s="3"/>
      <c r="AD424" s="3"/>
      <c r="AE424" s="3"/>
      <c r="AF424" s="3"/>
    </row>
    <row r="425" ht="15.75" customHeight="1">
      <c r="J425" s="15"/>
      <c r="K425" s="188"/>
      <c r="L425" s="15"/>
      <c r="M425" s="15"/>
      <c r="N425" s="15"/>
      <c r="O425" s="15"/>
      <c r="P425" s="15"/>
      <c r="Q425" s="15"/>
      <c r="R425" s="15"/>
      <c r="S425" s="15"/>
      <c r="T425" s="15"/>
      <c r="U425" s="15"/>
      <c r="V425" s="15"/>
      <c r="W425" s="15"/>
      <c r="X425" s="14"/>
      <c r="Y425" s="14"/>
      <c r="Z425" s="15"/>
      <c r="AA425" s="3"/>
      <c r="AB425" s="3"/>
      <c r="AC425" s="3"/>
      <c r="AD425" s="3"/>
      <c r="AE425" s="3"/>
      <c r="AF425" s="3"/>
    </row>
    <row r="426" ht="15.75" customHeight="1">
      <c r="J426" s="15"/>
      <c r="K426" s="188"/>
      <c r="L426" s="15"/>
      <c r="M426" s="15"/>
      <c r="N426" s="15"/>
      <c r="O426" s="15"/>
      <c r="P426" s="15"/>
      <c r="Q426" s="15"/>
      <c r="R426" s="15"/>
      <c r="S426" s="15"/>
      <c r="T426" s="15"/>
      <c r="U426" s="15"/>
      <c r="V426" s="15"/>
      <c r="W426" s="15"/>
      <c r="X426" s="14"/>
      <c r="Y426" s="14"/>
      <c r="Z426" s="15"/>
      <c r="AA426" s="3"/>
      <c r="AB426" s="3"/>
      <c r="AC426" s="3"/>
      <c r="AD426" s="3"/>
      <c r="AE426" s="3"/>
      <c r="AF426" s="3"/>
    </row>
    <row r="427" ht="15.75" customHeight="1">
      <c r="J427" s="15"/>
      <c r="K427" s="188"/>
      <c r="L427" s="15"/>
      <c r="M427" s="15"/>
      <c r="N427" s="15"/>
      <c r="O427" s="15"/>
      <c r="P427" s="15"/>
      <c r="Q427" s="15"/>
      <c r="R427" s="15"/>
      <c r="S427" s="15"/>
      <c r="T427" s="15"/>
      <c r="U427" s="15"/>
      <c r="V427" s="15"/>
      <c r="W427" s="15"/>
      <c r="X427" s="14"/>
      <c r="Y427" s="14"/>
      <c r="Z427" s="15"/>
      <c r="AA427" s="3"/>
      <c r="AB427" s="3"/>
      <c r="AC427" s="3"/>
      <c r="AD427" s="3"/>
      <c r="AE427" s="3"/>
      <c r="AF427" s="3"/>
    </row>
    <row r="428" ht="15.75" customHeight="1">
      <c r="J428" s="15"/>
      <c r="K428" s="188"/>
      <c r="L428" s="15"/>
      <c r="M428" s="15"/>
      <c r="N428" s="15"/>
      <c r="O428" s="15"/>
      <c r="P428" s="15"/>
      <c r="Q428" s="15"/>
      <c r="R428" s="15"/>
      <c r="S428" s="15"/>
      <c r="T428" s="15"/>
      <c r="U428" s="15"/>
      <c r="V428" s="15"/>
      <c r="W428" s="15"/>
      <c r="X428" s="14"/>
      <c r="Y428" s="14"/>
      <c r="Z428" s="15"/>
      <c r="AA428" s="3"/>
      <c r="AB428" s="3"/>
      <c r="AC428" s="3"/>
      <c r="AD428" s="3"/>
      <c r="AE428" s="3"/>
      <c r="AF428" s="3"/>
    </row>
    <row r="429" ht="15.75" customHeight="1">
      <c r="J429" s="15"/>
      <c r="K429" s="188"/>
      <c r="L429" s="15"/>
      <c r="M429" s="15"/>
      <c r="N429" s="15"/>
      <c r="O429" s="15"/>
      <c r="P429" s="15"/>
      <c r="Q429" s="15"/>
      <c r="R429" s="15"/>
      <c r="S429" s="15"/>
      <c r="T429" s="15"/>
      <c r="U429" s="15"/>
      <c r="V429" s="15"/>
      <c r="W429" s="15"/>
      <c r="X429" s="14"/>
      <c r="Y429" s="14"/>
      <c r="Z429" s="15"/>
      <c r="AA429" s="3"/>
      <c r="AB429" s="3"/>
      <c r="AC429" s="3"/>
      <c r="AD429" s="3"/>
      <c r="AE429" s="3"/>
      <c r="AF429" s="3"/>
    </row>
    <row r="430" ht="15.75" customHeight="1">
      <c r="J430" s="15"/>
      <c r="K430" s="188"/>
      <c r="L430" s="15"/>
      <c r="M430" s="15"/>
      <c r="N430" s="15"/>
      <c r="O430" s="15"/>
      <c r="P430" s="15"/>
      <c r="Q430" s="15"/>
      <c r="R430" s="15"/>
      <c r="S430" s="15"/>
      <c r="T430" s="15"/>
      <c r="U430" s="15"/>
      <c r="V430" s="15"/>
      <c r="W430" s="15"/>
      <c r="X430" s="14"/>
      <c r="Y430" s="14"/>
      <c r="Z430" s="15"/>
      <c r="AA430" s="3"/>
      <c r="AB430" s="3"/>
      <c r="AC430" s="3"/>
      <c r="AD430" s="3"/>
      <c r="AE430" s="3"/>
      <c r="AF430" s="3"/>
    </row>
    <row r="431" ht="15.75" customHeight="1">
      <c r="J431" s="15"/>
      <c r="K431" s="188"/>
      <c r="L431" s="15"/>
      <c r="M431" s="15"/>
      <c r="N431" s="15"/>
      <c r="O431" s="15"/>
      <c r="P431" s="15"/>
      <c r="Q431" s="15"/>
      <c r="R431" s="15"/>
      <c r="S431" s="15"/>
      <c r="T431" s="15"/>
      <c r="U431" s="15"/>
      <c r="V431" s="15"/>
      <c r="W431" s="15"/>
      <c r="X431" s="14"/>
      <c r="Y431" s="14"/>
      <c r="Z431" s="15"/>
      <c r="AA431" s="3"/>
      <c r="AB431" s="3"/>
      <c r="AC431" s="3"/>
      <c r="AD431" s="3"/>
      <c r="AE431" s="3"/>
      <c r="AF431" s="3"/>
    </row>
    <row r="432" ht="15.75" customHeight="1">
      <c r="J432" s="15"/>
      <c r="K432" s="188"/>
      <c r="L432" s="15"/>
      <c r="M432" s="15"/>
      <c r="N432" s="15"/>
      <c r="O432" s="15"/>
      <c r="P432" s="15"/>
      <c r="Q432" s="15"/>
      <c r="R432" s="15"/>
      <c r="S432" s="15"/>
      <c r="T432" s="15"/>
      <c r="U432" s="15"/>
      <c r="V432" s="15"/>
      <c r="W432" s="15"/>
      <c r="X432" s="14"/>
      <c r="Y432" s="14"/>
      <c r="Z432" s="15"/>
      <c r="AA432" s="3"/>
      <c r="AB432" s="3"/>
      <c r="AC432" s="3"/>
      <c r="AD432" s="3"/>
      <c r="AE432" s="3"/>
      <c r="AF432" s="3"/>
    </row>
    <row r="433" ht="15.75" customHeight="1">
      <c r="J433" s="15"/>
      <c r="K433" s="188"/>
      <c r="L433" s="15"/>
      <c r="M433" s="15"/>
      <c r="N433" s="15"/>
      <c r="O433" s="15"/>
      <c r="P433" s="15"/>
      <c r="Q433" s="15"/>
      <c r="R433" s="15"/>
      <c r="S433" s="15"/>
      <c r="T433" s="15"/>
      <c r="U433" s="15"/>
      <c r="V433" s="15"/>
      <c r="W433" s="15"/>
      <c r="X433" s="14"/>
      <c r="Y433" s="14"/>
      <c r="Z433" s="15"/>
      <c r="AA433" s="3"/>
      <c r="AB433" s="3"/>
      <c r="AC433" s="3"/>
      <c r="AD433" s="3"/>
      <c r="AE433" s="3"/>
      <c r="AF433" s="3"/>
    </row>
    <row r="434" ht="15.75" customHeight="1">
      <c r="J434" s="15"/>
      <c r="K434" s="188"/>
      <c r="L434" s="15"/>
      <c r="M434" s="15"/>
      <c r="N434" s="15"/>
      <c r="O434" s="15"/>
      <c r="P434" s="15"/>
      <c r="Q434" s="15"/>
      <c r="R434" s="15"/>
      <c r="S434" s="15"/>
      <c r="T434" s="15"/>
      <c r="U434" s="15"/>
      <c r="V434" s="15"/>
      <c r="W434" s="15"/>
      <c r="X434" s="14"/>
      <c r="Y434" s="14"/>
      <c r="Z434" s="15"/>
      <c r="AA434" s="3"/>
      <c r="AB434" s="3"/>
      <c r="AC434" s="3"/>
      <c r="AD434" s="3"/>
      <c r="AE434" s="3"/>
      <c r="AF434" s="3"/>
    </row>
    <row r="435" ht="15.75" customHeight="1">
      <c r="J435" s="15"/>
      <c r="K435" s="188"/>
      <c r="L435" s="15"/>
      <c r="M435" s="15"/>
      <c r="N435" s="15"/>
      <c r="O435" s="15"/>
      <c r="P435" s="15"/>
      <c r="Q435" s="15"/>
      <c r="R435" s="15"/>
      <c r="S435" s="15"/>
      <c r="T435" s="15"/>
      <c r="U435" s="15"/>
      <c r="V435" s="15"/>
      <c r="W435" s="15"/>
      <c r="X435" s="14"/>
      <c r="Y435" s="14"/>
      <c r="Z435" s="15"/>
      <c r="AA435" s="3"/>
      <c r="AB435" s="3"/>
      <c r="AC435" s="3"/>
      <c r="AD435" s="3"/>
      <c r="AE435" s="3"/>
      <c r="AF435" s="3"/>
    </row>
    <row r="436" ht="15.75" customHeight="1">
      <c r="J436" s="15"/>
      <c r="K436" s="188"/>
      <c r="L436" s="15"/>
      <c r="M436" s="15"/>
      <c r="N436" s="15"/>
      <c r="O436" s="15"/>
      <c r="P436" s="15"/>
      <c r="Q436" s="15"/>
      <c r="R436" s="15"/>
      <c r="S436" s="15"/>
      <c r="T436" s="15"/>
      <c r="U436" s="15"/>
      <c r="V436" s="15"/>
      <c r="W436" s="15"/>
      <c r="X436" s="14"/>
      <c r="Y436" s="14"/>
      <c r="Z436" s="15"/>
      <c r="AA436" s="3"/>
      <c r="AB436" s="3"/>
      <c r="AC436" s="3"/>
      <c r="AD436" s="3"/>
      <c r="AE436" s="3"/>
      <c r="AF436" s="3"/>
    </row>
    <row r="437" ht="15.75" customHeight="1">
      <c r="J437" s="15"/>
      <c r="K437" s="188"/>
      <c r="L437" s="15"/>
      <c r="M437" s="15"/>
      <c r="N437" s="15"/>
      <c r="O437" s="15"/>
      <c r="P437" s="15"/>
      <c r="Q437" s="15"/>
      <c r="R437" s="15"/>
      <c r="S437" s="15"/>
      <c r="T437" s="15"/>
      <c r="U437" s="15"/>
      <c r="V437" s="15"/>
      <c r="W437" s="15"/>
      <c r="X437" s="14"/>
      <c r="Y437" s="14"/>
      <c r="Z437" s="15"/>
      <c r="AA437" s="3"/>
      <c r="AB437" s="3"/>
      <c r="AC437" s="3"/>
      <c r="AD437" s="3"/>
      <c r="AE437" s="3"/>
      <c r="AF437" s="3"/>
    </row>
    <row r="438" ht="15.75" customHeight="1">
      <c r="J438" s="15"/>
      <c r="K438" s="188"/>
      <c r="L438" s="15"/>
      <c r="M438" s="15"/>
      <c r="N438" s="15"/>
      <c r="O438" s="15"/>
      <c r="P438" s="15"/>
      <c r="Q438" s="15"/>
      <c r="R438" s="15"/>
      <c r="S438" s="15"/>
      <c r="T438" s="15"/>
      <c r="U438" s="15"/>
      <c r="V438" s="15"/>
      <c r="W438" s="15"/>
      <c r="X438" s="14"/>
      <c r="Y438" s="14"/>
      <c r="Z438" s="15"/>
      <c r="AA438" s="3"/>
      <c r="AB438" s="3"/>
      <c r="AC438" s="3"/>
      <c r="AD438" s="3"/>
      <c r="AE438" s="3"/>
      <c r="AF438" s="3"/>
    </row>
    <row r="439" ht="15.75" customHeight="1">
      <c r="J439" s="15"/>
      <c r="K439" s="188"/>
      <c r="L439" s="15"/>
      <c r="M439" s="15"/>
      <c r="N439" s="15"/>
      <c r="O439" s="15"/>
      <c r="P439" s="15"/>
      <c r="Q439" s="15"/>
      <c r="R439" s="15"/>
      <c r="S439" s="15"/>
      <c r="T439" s="15"/>
      <c r="U439" s="15"/>
      <c r="V439" s="15"/>
      <c r="W439" s="15"/>
      <c r="X439" s="14"/>
      <c r="Y439" s="14"/>
      <c r="Z439" s="15"/>
      <c r="AA439" s="3"/>
      <c r="AB439" s="3"/>
      <c r="AC439" s="3"/>
      <c r="AD439" s="3"/>
      <c r="AE439" s="3"/>
      <c r="AF439" s="3"/>
    </row>
    <row r="440" ht="15.75" customHeight="1">
      <c r="J440" s="15"/>
      <c r="K440" s="188"/>
      <c r="L440" s="15"/>
      <c r="M440" s="15"/>
      <c r="N440" s="15"/>
      <c r="O440" s="15"/>
      <c r="P440" s="15"/>
      <c r="Q440" s="15"/>
      <c r="R440" s="15"/>
      <c r="S440" s="15"/>
      <c r="T440" s="15"/>
      <c r="U440" s="15"/>
      <c r="V440" s="15"/>
      <c r="W440" s="15"/>
      <c r="X440" s="14"/>
      <c r="Y440" s="14"/>
      <c r="Z440" s="15"/>
      <c r="AA440" s="3"/>
      <c r="AB440" s="3"/>
      <c r="AC440" s="3"/>
      <c r="AD440" s="3"/>
      <c r="AE440" s="3"/>
      <c r="AF440" s="3"/>
    </row>
    <row r="441" ht="15.75" customHeight="1">
      <c r="J441" s="15"/>
      <c r="K441" s="188"/>
      <c r="L441" s="15"/>
      <c r="M441" s="15"/>
      <c r="N441" s="15"/>
      <c r="O441" s="15"/>
      <c r="P441" s="15"/>
      <c r="Q441" s="15"/>
      <c r="R441" s="15"/>
      <c r="S441" s="15"/>
      <c r="T441" s="15"/>
      <c r="U441" s="15"/>
      <c r="V441" s="15"/>
      <c r="W441" s="15"/>
      <c r="X441" s="14"/>
      <c r="Y441" s="14"/>
      <c r="Z441" s="15"/>
      <c r="AA441" s="3"/>
      <c r="AB441" s="3"/>
      <c r="AC441" s="3"/>
      <c r="AD441" s="3"/>
      <c r="AE441" s="3"/>
      <c r="AF441" s="3"/>
    </row>
    <row r="442" ht="15.75" customHeight="1">
      <c r="J442" s="15"/>
      <c r="K442" s="188"/>
      <c r="L442" s="15"/>
      <c r="M442" s="15"/>
      <c r="N442" s="15"/>
      <c r="O442" s="15"/>
      <c r="P442" s="15"/>
      <c r="Q442" s="15"/>
      <c r="R442" s="15"/>
      <c r="S442" s="15"/>
      <c r="T442" s="15"/>
      <c r="U442" s="15"/>
      <c r="V442" s="15"/>
      <c r="W442" s="15"/>
      <c r="X442" s="14"/>
      <c r="Y442" s="14"/>
      <c r="Z442" s="15"/>
      <c r="AA442" s="3"/>
      <c r="AB442" s="3"/>
      <c r="AC442" s="3"/>
      <c r="AD442" s="3"/>
      <c r="AE442" s="3"/>
      <c r="AF442" s="3"/>
    </row>
    <row r="443" ht="15.75" customHeight="1">
      <c r="J443" s="15"/>
      <c r="K443" s="188"/>
      <c r="L443" s="15"/>
      <c r="M443" s="15"/>
      <c r="N443" s="15"/>
      <c r="O443" s="15"/>
      <c r="P443" s="15"/>
      <c r="Q443" s="15"/>
      <c r="R443" s="15"/>
      <c r="S443" s="15"/>
      <c r="T443" s="15"/>
      <c r="U443" s="15"/>
      <c r="V443" s="15"/>
      <c r="W443" s="15"/>
      <c r="X443" s="14"/>
      <c r="Y443" s="14"/>
      <c r="Z443" s="15"/>
      <c r="AA443" s="3"/>
      <c r="AB443" s="3"/>
      <c r="AC443" s="3"/>
      <c r="AD443" s="3"/>
      <c r="AE443" s="3"/>
      <c r="AF443" s="3"/>
    </row>
    <row r="444" ht="15.75" customHeight="1">
      <c r="J444" s="15"/>
      <c r="K444" s="188"/>
      <c r="L444" s="15"/>
      <c r="M444" s="15"/>
      <c r="N444" s="15"/>
      <c r="O444" s="15"/>
      <c r="P444" s="15"/>
      <c r="Q444" s="15"/>
      <c r="R444" s="15"/>
      <c r="S444" s="15"/>
      <c r="T444" s="15"/>
      <c r="U444" s="15"/>
      <c r="V444" s="15"/>
      <c r="W444" s="15"/>
      <c r="X444" s="14"/>
      <c r="Y444" s="14"/>
      <c r="Z444" s="15"/>
      <c r="AA444" s="3"/>
      <c r="AB444" s="3"/>
      <c r="AC444" s="3"/>
      <c r="AD444" s="3"/>
      <c r="AE444" s="3"/>
      <c r="AF444" s="3"/>
    </row>
    <row r="445" ht="15.75" customHeight="1">
      <c r="J445" s="15"/>
      <c r="K445" s="188"/>
      <c r="L445" s="15"/>
      <c r="M445" s="15"/>
      <c r="N445" s="15"/>
      <c r="O445" s="15"/>
      <c r="P445" s="15"/>
      <c r="Q445" s="15"/>
      <c r="R445" s="15"/>
      <c r="S445" s="15"/>
      <c r="T445" s="15"/>
      <c r="U445" s="15"/>
      <c r="V445" s="15"/>
      <c r="W445" s="15"/>
      <c r="X445" s="14"/>
      <c r="Y445" s="14"/>
      <c r="Z445" s="15"/>
      <c r="AA445" s="3"/>
      <c r="AB445" s="3"/>
      <c r="AC445" s="3"/>
      <c r="AD445" s="3"/>
      <c r="AE445" s="3"/>
      <c r="AF445" s="3"/>
    </row>
    <row r="446" ht="15.75" customHeight="1">
      <c r="J446" s="15"/>
      <c r="K446" s="188"/>
      <c r="L446" s="15"/>
      <c r="M446" s="15"/>
      <c r="N446" s="15"/>
      <c r="O446" s="15"/>
      <c r="P446" s="15"/>
      <c r="Q446" s="15"/>
      <c r="R446" s="15"/>
      <c r="S446" s="15"/>
      <c r="T446" s="15"/>
      <c r="U446" s="15"/>
      <c r="V446" s="15"/>
      <c r="W446" s="15"/>
      <c r="X446" s="14"/>
      <c r="Y446" s="14"/>
      <c r="Z446" s="15"/>
      <c r="AA446" s="3"/>
      <c r="AB446" s="3"/>
      <c r="AC446" s="3"/>
      <c r="AD446" s="3"/>
      <c r="AE446" s="3"/>
      <c r="AF446" s="3"/>
    </row>
    <row r="447" ht="15.75" customHeight="1">
      <c r="J447" s="15"/>
      <c r="K447" s="188"/>
      <c r="L447" s="15"/>
      <c r="M447" s="15"/>
      <c r="N447" s="15"/>
      <c r="O447" s="15"/>
      <c r="P447" s="15"/>
      <c r="Q447" s="15"/>
      <c r="R447" s="15"/>
      <c r="S447" s="15"/>
      <c r="T447" s="15"/>
      <c r="U447" s="15"/>
      <c r="V447" s="15"/>
      <c r="W447" s="15"/>
      <c r="X447" s="14"/>
      <c r="Y447" s="14"/>
      <c r="Z447" s="15"/>
      <c r="AA447" s="3"/>
      <c r="AB447" s="3"/>
      <c r="AC447" s="3"/>
      <c r="AD447" s="3"/>
      <c r="AE447" s="3"/>
      <c r="AF447" s="3"/>
    </row>
    <row r="448" ht="15.75" customHeight="1">
      <c r="J448" s="15"/>
      <c r="K448" s="188"/>
      <c r="L448" s="15"/>
      <c r="M448" s="15"/>
      <c r="N448" s="15"/>
      <c r="O448" s="15"/>
      <c r="P448" s="15"/>
      <c r="Q448" s="15"/>
      <c r="R448" s="15"/>
      <c r="S448" s="15"/>
      <c r="T448" s="15"/>
      <c r="U448" s="15"/>
      <c r="V448" s="15"/>
      <c r="W448" s="15"/>
      <c r="X448" s="14"/>
      <c r="Y448" s="14"/>
      <c r="Z448" s="15"/>
      <c r="AA448" s="3"/>
      <c r="AB448" s="3"/>
      <c r="AC448" s="3"/>
      <c r="AD448" s="3"/>
      <c r="AE448" s="3"/>
      <c r="AF448" s="3"/>
    </row>
    <row r="449" ht="15.75" customHeight="1">
      <c r="J449" s="15"/>
      <c r="K449" s="188"/>
      <c r="L449" s="15"/>
      <c r="M449" s="15"/>
      <c r="N449" s="15"/>
      <c r="O449" s="15"/>
      <c r="P449" s="15"/>
      <c r="Q449" s="15"/>
      <c r="R449" s="15"/>
      <c r="S449" s="15"/>
      <c r="T449" s="15"/>
      <c r="U449" s="15"/>
      <c r="V449" s="15"/>
      <c r="W449" s="15"/>
      <c r="X449" s="14"/>
      <c r="Y449" s="14"/>
      <c r="Z449" s="15"/>
      <c r="AA449" s="3"/>
      <c r="AB449" s="3"/>
      <c r="AC449" s="3"/>
      <c r="AD449" s="3"/>
      <c r="AE449" s="3"/>
      <c r="AF449" s="3"/>
    </row>
    <row r="450" ht="15.75" customHeight="1">
      <c r="J450" s="15"/>
      <c r="K450" s="188"/>
      <c r="L450" s="15"/>
      <c r="M450" s="15"/>
      <c r="N450" s="15"/>
      <c r="O450" s="15"/>
      <c r="P450" s="15"/>
      <c r="Q450" s="15"/>
      <c r="R450" s="15"/>
      <c r="S450" s="15"/>
      <c r="T450" s="15"/>
      <c r="U450" s="15"/>
      <c r="V450" s="15"/>
      <c r="W450" s="15"/>
      <c r="X450" s="14"/>
      <c r="Y450" s="14"/>
      <c r="Z450" s="15"/>
      <c r="AA450" s="3"/>
      <c r="AB450" s="3"/>
      <c r="AC450" s="3"/>
      <c r="AD450" s="3"/>
      <c r="AE450" s="3"/>
      <c r="AF450" s="3"/>
    </row>
    <row r="451" ht="15.75" customHeight="1">
      <c r="J451" s="15"/>
      <c r="K451" s="188"/>
      <c r="L451" s="15"/>
      <c r="M451" s="15"/>
      <c r="N451" s="15"/>
      <c r="O451" s="15"/>
      <c r="P451" s="15"/>
      <c r="Q451" s="15"/>
      <c r="R451" s="15"/>
      <c r="S451" s="15"/>
      <c r="T451" s="15"/>
      <c r="U451" s="15"/>
      <c r="V451" s="15"/>
      <c r="W451" s="15"/>
      <c r="X451" s="14"/>
      <c r="Y451" s="14"/>
      <c r="Z451" s="15"/>
      <c r="AA451" s="3"/>
      <c r="AB451" s="3"/>
      <c r="AC451" s="3"/>
      <c r="AD451" s="3"/>
      <c r="AE451" s="3"/>
      <c r="AF451" s="3"/>
    </row>
    <row r="452" ht="15.75" customHeight="1">
      <c r="J452" s="15"/>
      <c r="K452" s="188"/>
      <c r="L452" s="15"/>
      <c r="M452" s="15"/>
      <c r="N452" s="15"/>
      <c r="O452" s="15"/>
      <c r="P452" s="15"/>
      <c r="Q452" s="15"/>
      <c r="R452" s="15"/>
      <c r="S452" s="15"/>
      <c r="T452" s="15"/>
      <c r="U452" s="15"/>
      <c r="V452" s="15"/>
      <c r="W452" s="15"/>
      <c r="X452" s="14"/>
      <c r="Y452" s="14"/>
      <c r="Z452" s="15"/>
      <c r="AA452" s="3"/>
      <c r="AB452" s="3"/>
      <c r="AC452" s="3"/>
      <c r="AD452" s="3"/>
      <c r="AE452" s="3"/>
      <c r="AF452" s="3"/>
    </row>
    <row r="453" ht="15.75" customHeight="1">
      <c r="J453" s="15"/>
      <c r="K453" s="188"/>
      <c r="L453" s="15"/>
      <c r="M453" s="15"/>
      <c r="N453" s="15"/>
      <c r="O453" s="15"/>
      <c r="P453" s="15"/>
      <c r="Q453" s="15"/>
      <c r="R453" s="15"/>
      <c r="S453" s="15"/>
      <c r="T453" s="15"/>
      <c r="U453" s="15"/>
      <c r="V453" s="15"/>
      <c r="W453" s="15"/>
      <c r="X453" s="14"/>
      <c r="Y453" s="14"/>
      <c r="Z453" s="15"/>
      <c r="AA453" s="3"/>
      <c r="AB453" s="3"/>
      <c r="AC453" s="3"/>
      <c r="AD453" s="3"/>
      <c r="AE453" s="3"/>
      <c r="AF453" s="3"/>
    </row>
    <row r="454" ht="15.75" customHeight="1">
      <c r="J454" s="15"/>
      <c r="K454" s="188"/>
      <c r="L454" s="15"/>
      <c r="M454" s="15"/>
      <c r="N454" s="15"/>
      <c r="O454" s="15"/>
      <c r="P454" s="15"/>
      <c r="Q454" s="15"/>
      <c r="R454" s="15"/>
      <c r="S454" s="15"/>
      <c r="T454" s="15"/>
      <c r="U454" s="15"/>
      <c r="V454" s="15"/>
      <c r="W454" s="15"/>
      <c r="X454" s="14"/>
      <c r="Y454" s="14"/>
      <c r="Z454" s="15"/>
      <c r="AA454" s="3"/>
      <c r="AB454" s="3"/>
      <c r="AC454" s="3"/>
      <c r="AD454" s="3"/>
      <c r="AE454" s="3"/>
      <c r="AF454" s="3"/>
    </row>
    <row r="455" ht="15.75" customHeight="1">
      <c r="J455" s="15"/>
      <c r="K455" s="188"/>
      <c r="L455" s="15"/>
      <c r="M455" s="15"/>
      <c r="N455" s="15"/>
      <c r="O455" s="15"/>
      <c r="P455" s="15"/>
      <c r="Q455" s="15"/>
      <c r="R455" s="15"/>
      <c r="S455" s="15"/>
      <c r="T455" s="15"/>
      <c r="U455" s="15"/>
      <c r="V455" s="15"/>
      <c r="W455" s="15"/>
      <c r="X455" s="14"/>
      <c r="Y455" s="14"/>
      <c r="Z455" s="15"/>
      <c r="AA455" s="3"/>
      <c r="AB455" s="3"/>
      <c r="AC455" s="3"/>
      <c r="AD455" s="3"/>
      <c r="AE455" s="3"/>
      <c r="AF455" s="3"/>
    </row>
    <row r="456" ht="15.75" customHeight="1">
      <c r="J456" s="15"/>
      <c r="K456" s="188"/>
      <c r="L456" s="15"/>
      <c r="M456" s="15"/>
      <c r="N456" s="15"/>
      <c r="O456" s="15"/>
      <c r="P456" s="15"/>
      <c r="Q456" s="15"/>
      <c r="R456" s="15"/>
      <c r="S456" s="15"/>
      <c r="T456" s="15"/>
      <c r="U456" s="15"/>
      <c r="V456" s="15"/>
      <c r="W456" s="15"/>
      <c r="X456" s="14"/>
      <c r="Y456" s="14"/>
      <c r="Z456" s="15"/>
      <c r="AA456" s="3"/>
      <c r="AB456" s="3"/>
      <c r="AC456" s="3"/>
      <c r="AD456" s="3"/>
      <c r="AE456" s="3"/>
      <c r="AF456" s="3"/>
    </row>
    <row r="457" ht="15.75" customHeight="1">
      <c r="J457" s="15"/>
      <c r="K457" s="188"/>
      <c r="L457" s="15"/>
      <c r="M457" s="15"/>
      <c r="N457" s="15"/>
      <c r="O457" s="15"/>
      <c r="P457" s="15"/>
      <c r="Q457" s="15"/>
      <c r="R457" s="15"/>
      <c r="S457" s="15"/>
      <c r="T457" s="15"/>
      <c r="U457" s="15"/>
      <c r="V457" s="15"/>
      <c r="W457" s="15"/>
      <c r="X457" s="14"/>
      <c r="Y457" s="14"/>
      <c r="Z457" s="15"/>
      <c r="AA457" s="3"/>
      <c r="AB457" s="3"/>
      <c r="AC457" s="3"/>
      <c r="AD457" s="3"/>
      <c r="AE457" s="3"/>
      <c r="AF457" s="3"/>
    </row>
    <row r="458" ht="15.75" customHeight="1">
      <c r="J458" s="15"/>
      <c r="K458" s="188"/>
      <c r="L458" s="15"/>
      <c r="M458" s="15"/>
      <c r="N458" s="15"/>
      <c r="O458" s="15"/>
      <c r="P458" s="15"/>
      <c r="Q458" s="15"/>
      <c r="R458" s="15"/>
      <c r="S458" s="15"/>
      <c r="T458" s="15"/>
      <c r="U458" s="15"/>
      <c r="V458" s="15"/>
      <c r="W458" s="15"/>
      <c r="X458" s="14"/>
      <c r="Y458" s="14"/>
      <c r="Z458" s="15"/>
      <c r="AA458" s="3"/>
      <c r="AB458" s="3"/>
      <c r="AC458" s="3"/>
      <c r="AD458" s="3"/>
      <c r="AE458" s="3"/>
      <c r="AF458" s="3"/>
    </row>
    <row r="459" ht="15.75" customHeight="1">
      <c r="J459" s="15"/>
      <c r="K459" s="188"/>
      <c r="L459" s="15"/>
      <c r="M459" s="15"/>
      <c r="N459" s="15"/>
      <c r="O459" s="15"/>
      <c r="P459" s="15"/>
      <c r="Q459" s="15"/>
      <c r="R459" s="15"/>
      <c r="S459" s="15"/>
      <c r="T459" s="15"/>
      <c r="U459" s="15"/>
      <c r="V459" s="15"/>
      <c r="W459" s="15"/>
      <c r="X459" s="14"/>
      <c r="Y459" s="14"/>
      <c r="Z459" s="15"/>
      <c r="AA459" s="3"/>
      <c r="AB459" s="3"/>
      <c r="AC459" s="3"/>
      <c r="AD459" s="3"/>
      <c r="AE459" s="3"/>
      <c r="AF459" s="3"/>
    </row>
    <row r="460" ht="15.75" customHeight="1">
      <c r="J460" s="15"/>
      <c r="K460" s="188"/>
      <c r="L460" s="15"/>
      <c r="M460" s="15"/>
      <c r="N460" s="15"/>
      <c r="O460" s="15"/>
      <c r="P460" s="15"/>
      <c r="Q460" s="15"/>
      <c r="R460" s="15"/>
      <c r="S460" s="15"/>
      <c r="T460" s="15"/>
      <c r="U460" s="15"/>
      <c r="V460" s="15"/>
      <c r="W460" s="15"/>
      <c r="X460" s="14"/>
      <c r="Y460" s="14"/>
      <c r="Z460" s="15"/>
      <c r="AA460" s="3"/>
      <c r="AB460" s="3"/>
      <c r="AC460" s="3"/>
      <c r="AD460" s="3"/>
      <c r="AE460" s="3"/>
      <c r="AF460" s="3"/>
    </row>
    <row r="461" ht="15.75" customHeight="1">
      <c r="J461" s="15"/>
      <c r="K461" s="188"/>
      <c r="L461" s="15"/>
      <c r="M461" s="15"/>
      <c r="N461" s="15"/>
      <c r="O461" s="15"/>
      <c r="P461" s="15"/>
      <c r="Q461" s="15"/>
      <c r="R461" s="15"/>
      <c r="S461" s="15"/>
      <c r="T461" s="15"/>
      <c r="U461" s="15"/>
      <c r="V461" s="15"/>
      <c r="W461" s="15"/>
      <c r="X461" s="14"/>
      <c r="Y461" s="14"/>
      <c r="Z461" s="15"/>
      <c r="AA461" s="3"/>
      <c r="AB461" s="3"/>
      <c r="AC461" s="3"/>
      <c r="AD461" s="3"/>
      <c r="AE461" s="3"/>
      <c r="AF461" s="3"/>
    </row>
    <row r="462" ht="15.75" customHeight="1">
      <c r="J462" s="15"/>
      <c r="K462" s="188"/>
      <c r="L462" s="15"/>
      <c r="M462" s="15"/>
      <c r="N462" s="15"/>
      <c r="O462" s="15"/>
      <c r="P462" s="15"/>
      <c r="Q462" s="15"/>
      <c r="R462" s="15"/>
      <c r="S462" s="15"/>
      <c r="T462" s="15"/>
      <c r="U462" s="15"/>
      <c r="V462" s="15"/>
      <c r="W462" s="15"/>
      <c r="X462" s="14"/>
      <c r="Y462" s="14"/>
      <c r="Z462" s="15"/>
      <c r="AA462" s="3"/>
      <c r="AB462" s="3"/>
      <c r="AC462" s="3"/>
      <c r="AD462" s="3"/>
      <c r="AE462" s="3"/>
      <c r="AF462" s="3"/>
    </row>
    <row r="463" ht="15.75" customHeight="1">
      <c r="J463" s="15"/>
      <c r="K463" s="188"/>
      <c r="L463" s="15"/>
      <c r="M463" s="15"/>
      <c r="N463" s="15"/>
      <c r="O463" s="15"/>
      <c r="P463" s="15"/>
      <c r="Q463" s="15"/>
      <c r="R463" s="15"/>
      <c r="S463" s="15"/>
      <c r="T463" s="15"/>
      <c r="U463" s="15"/>
      <c r="V463" s="15"/>
      <c r="W463" s="15"/>
      <c r="X463" s="14"/>
      <c r="Y463" s="14"/>
      <c r="Z463" s="15"/>
      <c r="AA463" s="3"/>
      <c r="AB463" s="3"/>
      <c r="AC463" s="3"/>
      <c r="AD463" s="3"/>
      <c r="AE463" s="3"/>
      <c r="AF463" s="3"/>
    </row>
    <row r="464" ht="15.75" customHeight="1">
      <c r="J464" s="15"/>
      <c r="K464" s="188"/>
      <c r="L464" s="15"/>
      <c r="M464" s="15"/>
      <c r="N464" s="15"/>
      <c r="O464" s="15"/>
      <c r="P464" s="15"/>
      <c r="Q464" s="15"/>
      <c r="R464" s="15"/>
      <c r="S464" s="15"/>
      <c r="T464" s="15"/>
      <c r="U464" s="15"/>
      <c r="V464" s="15"/>
      <c r="W464" s="15"/>
      <c r="X464" s="14"/>
      <c r="Y464" s="14"/>
      <c r="Z464" s="15"/>
      <c r="AA464" s="3"/>
      <c r="AB464" s="3"/>
      <c r="AC464" s="3"/>
      <c r="AD464" s="3"/>
      <c r="AE464" s="3"/>
      <c r="AF464" s="3"/>
    </row>
    <row r="465" ht="15.75" customHeight="1">
      <c r="J465" s="15"/>
      <c r="K465" s="188"/>
      <c r="L465" s="15"/>
      <c r="M465" s="15"/>
      <c r="N465" s="15"/>
      <c r="O465" s="15"/>
      <c r="P465" s="15"/>
      <c r="Q465" s="15"/>
      <c r="R465" s="15"/>
      <c r="S465" s="15"/>
      <c r="T465" s="15"/>
      <c r="U465" s="15"/>
      <c r="V465" s="15"/>
      <c r="W465" s="15"/>
      <c r="X465" s="14"/>
      <c r="Y465" s="14"/>
      <c r="Z465" s="15"/>
      <c r="AA465" s="3"/>
      <c r="AB465" s="3"/>
      <c r="AC465" s="3"/>
      <c r="AD465" s="3"/>
      <c r="AE465" s="3"/>
      <c r="AF465" s="3"/>
    </row>
    <row r="466" ht="15.75" customHeight="1">
      <c r="J466" s="15"/>
      <c r="K466" s="188"/>
      <c r="L466" s="15"/>
      <c r="M466" s="15"/>
      <c r="N466" s="15"/>
      <c r="O466" s="15"/>
      <c r="P466" s="15"/>
      <c r="Q466" s="15"/>
      <c r="R466" s="15"/>
      <c r="S466" s="15"/>
      <c r="T466" s="15"/>
      <c r="U466" s="15"/>
      <c r="V466" s="15"/>
      <c r="W466" s="15"/>
      <c r="X466" s="14"/>
      <c r="Y466" s="14"/>
      <c r="Z466" s="15"/>
      <c r="AA466" s="3"/>
      <c r="AB466" s="3"/>
      <c r="AC466" s="3"/>
      <c r="AD466" s="3"/>
      <c r="AE466" s="3"/>
      <c r="AF466" s="3"/>
    </row>
    <row r="467" ht="15.75" customHeight="1">
      <c r="J467" s="15"/>
      <c r="K467" s="188"/>
      <c r="L467" s="15"/>
      <c r="M467" s="15"/>
      <c r="N467" s="15"/>
      <c r="O467" s="15"/>
      <c r="P467" s="15"/>
      <c r="Q467" s="15"/>
      <c r="R467" s="15"/>
      <c r="S467" s="15"/>
      <c r="T467" s="15"/>
      <c r="U467" s="15"/>
      <c r="V467" s="15"/>
      <c r="W467" s="15"/>
      <c r="X467" s="14"/>
      <c r="Y467" s="14"/>
      <c r="Z467" s="15"/>
      <c r="AA467" s="3"/>
      <c r="AB467" s="3"/>
      <c r="AC467" s="3"/>
      <c r="AD467" s="3"/>
      <c r="AE467" s="3"/>
      <c r="AF467" s="3"/>
    </row>
    <row r="468" ht="15.75" customHeight="1">
      <c r="J468" s="15"/>
      <c r="K468" s="188"/>
      <c r="L468" s="15"/>
      <c r="M468" s="15"/>
      <c r="N468" s="15"/>
      <c r="O468" s="15"/>
      <c r="P468" s="15"/>
      <c r="Q468" s="15"/>
      <c r="R468" s="15"/>
      <c r="S468" s="15"/>
      <c r="T468" s="15"/>
      <c r="U468" s="15"/>
      <c r="V468" s="15"/>
      <c r="W468" s="15"/>
      <c r="X468" s="14"/>
      <c r="Y468" s="14"/>
      <c r="Z468" s="15"/>
      <c r="AA468" s="3"/>
      <c r="AB468" s="3"/>
      <c r="AC468" s="3"/>
      <c r="AD468" s="3"/>
      <c r="AE468" s="3"/>
      <c r="AF468" s="3"/>
    </row>
    <row r="469" ht="15.75" customHeight="1">
      <c r="J469" s="15"/>
      <c r="K469" s="188"/>
      <c r="L469" s="15"/>
      <c r="M469" s="15"/>
      <c r="N469" s="15"/>
      <c r="O469" s="15"/>
      <c r="P469" s="15"/>
      <c r="Q469" s="15"/>
      <c r="R469" s="15"/>
      <c r="S469" s="15"/>
      <c r="T469" s="15"/>
      <c r="U469" s="15"/>
      <c r="V469" s="15"/>
      <c r="W469" s="15"/>
      <c r="X469" s="14"/>
      <c r="Y469" s="14"/>
      <c r="Z469" s="15"/>
      <c r="AA469" s="3"/>
      <c r="AB469" s="3"/>
      <c r="AC469" s="3"/>
      <c r="AD469" s="3"/>
      <c r="AE469" s="3"/>
      <c r="AF469" s="3"/>
    </row>
    <row r="470" ht="15.75" customHeight="1">
      <c r="J470" s="15"/>
      <c r="K470" s="188"/>
      <c r="L470" s="15"/>
      <c r="M470" s="15"/>
      <c r="N470" s="15"/>
      <c r="O470" s="15"/>
      <c r="P470" s="15"/>
      <c r="Q470" s="15"/>
      <c r="R470" s="15"/>
      <c r="S470" s="15"/>
      <c r="T470" s="15"/>
      <c r="U470" s="15"/>
      <c r="V470" s="15"/>
      <c r="W470" s="15"/>
      <c r="X470" s="14"/>
      <c r="Y470" s="14"/>
      <c r="Z470" s="15"/>
      <c r="AA470" s="3"/>
      <c r="AB470" s="3"/>
      <c r="AC470" s="3"/>
      <c r="AD470" s="3"/>
      <c r="AE470" s="3"/>
      <c r="AF470" s="3"/>
    </row>
    <row r="471" ht="15.75" customHeight="1">
      <c r="J471" s="15"/>
      <c r="K471" s="188"/>
      <c r="L471" s="15"/>
      <c r="M471" s="15"/>
      <c r="N471" s="15"/>
      <c r="O471" s="15"/>
      <c r="P471" s="15"/>
      <c r="Q471" s="15"/>
      <c r="R471" s="15"/>
      <c r="S471" s="15"/>
      <c r="T471" s="15"/>
      <c r="U471" s="15"/>
      <c r="V471" s="15"/>
      <c r="W471" s="15"/>
      <c r="X471" s="14"/>
      <c r="Y471" s="14"/>
      <c r="Z471" s="15"/>
      <c r="AA471" s="3"/>
      <c r="AB471" s="3"/>
      <c r="AC471" s="3"/>
      <c r="AD471" s="3"/>
      <c r="AE471" s="3"/>
      <c r="AF471" s="3"/>
    </row>
    <row r="472" ht="15.75" customHeight="1">
      <c r="J472" s="15"/>
      <c r="K472" s="188"/>
      <c r="L472" s="15"/>
      <c r="M472" s="15"/>
      <c r="N472" s="15"/>
      <c r="O472" s="15"/>
      <c r="P472" s="15"/>
      <c r="Q472" s="15"/>
      <c r="R472" s="15"/>
      <c r="S472" s="15"/>
      <c r="T472" s="15"/>
      <c r="U472" s="15"/>
      <c r="V472" s="15"/>
      <c r="W472" s="15"/>
      <c r="X472" s="14"/>
      <c r="Y472" s="14"/>
      <c r="Z472" s="15"/>
      <c r="AA472" s="3"/>
      <c r="AB472" s="3"/>
      <c r="AC472" s="3"/>
      <c r="AD472" s="3"/>
      <c r="AE472" s="3"/>
      <c r="AF472" s="3"/>
    </row>
    <row r="473" ht="15.75" customHeight="1">
      <c r="J473" s="15"/>
      <c r="K473" s="188"/>
      <c r="L473" s="15"/>
      <c r="M473" s="15"/>
      <c r="N473" s="15"/>
      <c r="O473" s="15"/>
      <c r="P473" s="15"/>
      <c r="Q473" s="15"/>
      <c r="R473" s="15"/>
      <c r="S473" s="15"/>
      <c r="T473" s="15"/>
      <c r="U473" s="15"/>
      <c r="V473" s="15"/>
      <c r="W473" s="15"/>
      <c r="X473" s="14"/>
      <c r="Y473" s="14"/>
      <c r="Z473" s="15"/>
      <c r="AA473" s="3"/>
      <c r="AB473" s="3"/>
      <c r="AC473" s="3"/>
      <c r="AD473" s="3"/>
      <c r="AE473" s="3"/>
      <c r="AF473" s="3"/>
    </row>
    <row r="474" ht="15.75" customHeight="1">
      <c r="J474" s="15"/>
      <c r="K474" s="188"/>
      <c r="L474" s="15"/>
      <c r="M474" s="15"/>
      <c r="N474" s="15"/>
      <c r="O474" s="15"/>
      <c r="P474" s="15"/>
      <c r="Q474" s="15"/>
      <c r="R474" s="15"/>
      <c r="S474" s="15"/>
      <c r="T474" s="15"/>
      <c r="U474" s="15"/>
      <c r="V474" s="15"/>
      <c r="W474" s="15"/>
      <c r="X474" s="14"/>
      <c r="Y474" s="14"/>
      <c r="Z474" s="15"/>
      <c r="AA474" s="3"/>
      <c r="AB474" s="3"/>
      <c r="AC474" s="3"/>
      <c r="AD474" s="3"/>
      <c r="AE474" s="3"/>
      <c r="AF474" s="3"/>
    </row>
    <row r="475" ht="15.75" customHeight="1">
      <c r="J475" s="15"/>
      <c r="K475" s="188"/>
      <c r="L475" s="15"/>
      <c r="M475" s="15"/>
      <c r="N475" s="15"/>
      <c r="O475" s="15"/>
      <c r="P475" s="15"/>
      <c r="Q475" s="15"/>
      <c r="R475" s="15"/>
      <c r="S475" s="15"/>
      <c r="T475" s="15"/>
      <c r="U475" s="15"/>
      <c r="V475" s="15"/>
      <c r="W475" s="15"/>
      <c r="X475" s="14"/>
      <c r="Y475" s="14"/>
      <c r="Z475" s="15"/>
      <c r="AA475" s="3"/>
      <c r="AB475" s="3"/>
      <c r="AC475" s="3"/>
      <c r="AD475" s="3"/>
      <c r="AE475" s="3"/>
      <c r="AF475" s="3"/>
    </row>
    <row r="476" ht="15.75" customHeight="1">
      <c r="J476" s="15"/>
      <c r="K476" s="188"/>
      <c r="L476" s="15"/>
      <c r="M476" s="15"/>
      <c r="N476" s="15"/>
      <c r="O476" s="15"/>
      <c r="P476" s="15"/>
      <c r="Q476" s="15"/>
      <c r="R476" s="15"/>
      <c r="S476" s="15"/>
      <c r="T476" s="15"/>
      <c r="U476" s="15"/>
      <c r="V476" s="15"/>
      <c r="W476" s="15"/>
      <c r="X476" s="14"/>
      <c r="Y476" s="14"/>
      <c r="Z476" s="15"/>
      <c r="AA476" s="3"/>
      <c r="AB476" s="3"/>
      <c r="AC476" s="3"/>
      <c r="AD476" s="3"/>
      <c r="AE476" s="3"/>
      <c r="AF476" s="3"/>
    </row>
    <row r="477" ht="15.75" customHeight="1">
      <c r="J477" s="15"/>
      <c r="K477" s="188"/>
      <c r="L477" s="15"/>
      <c r="M477" s="15"/>
      <c r="N477" s="15"/>
      <c r="O477" s="15"/>
      <c r="P477" s="15"/>
      <c r="Q477" s="15"/>
      <c r="R477" s="15"/>
      <c r="S477" s="15"/>
      <c r="T477" s="15"/>
      <c r="U477" s="15"/>
      <c r="V477" s="15"/>
      <c r="W477" s="15"/>
      <c r="X477" s="14"/>
      <c r="Y477" s="14"/>
      <c r="Z477" s="15"/>
      <c r="AA477" s="3"/>
      <c r="AB477" s="3"/>
      <c r="AC477" s="3"/>
      <c r="AD477" s="3"/>
      <c r="AE477" s="3"/>
      <c r="AF477" s="3"/>
    </row>
    <row r="478" ht="15.75" customHeight="1">
      <c r="J478" s="15"/>
      <c r="K478" s="188"/>
      <c r="L478" s="15"/>
      <c r="M478" s="15"/>
      <c r="N478" s="15"/>
      <c r="O478" s="15"/>
      <c r="P478" s="15"/>
      <c r="Q478" s="15"/>
      <c r="R478" s="15"/>
      <c r="S478" s="15"/>
      <c r="T478" s="15"/>
      <c r="U478" s="15"/>
      <c r="V478" s="15"/>
      <c r="W478" s="15"/>
      <c r="X478" s="14"/>
      <c r="Y478" s="14"/>
      <c r="Z478" s="15"/>
      <c r="AA478" s="3"/>
      <c r="AB478" s="3"/>
      <c r="AC478" s="3"/>
      <c r="AD478" s="3"/>
      <c r="AE478" s="3"/>
      <c r="AF478" s="3"/>
    </row>
    <row r="479" ht="15.75" customHeight="1">
      <c r="J479" s="15"/>
      <c r="K479" s="188"/>
      <c r="L479" s="15"/>
      <c r="M479" s="15"/>
      <c r="N479" s="15"/>
      <c r="O479" s="15"/>
      <c r="P479" s="15"/>
      <c r="Q479" s="15"/>
      <c r="R479" s="15"/>
      <c r="S479" s="15"/>
      <c r="T479" s="15"/>
      <c r="U479" s="15"/>
      <c r="V479" s="15"/>
      <c r="W479" s="15"/>
      <c r="X479" s="14"/>
      <c r="Y479" s="14"/>
      <c r="Z479" s="15"/>
      <c r="AA479" s="3"/>
      <c r="AB479" s="3"/>
      <c r="AC479" s="3"/>
      <c r="AD479" s="3"/>
      <c r="AE479" s="3"/>
      <c r="AF479" s="3"/>
    </row>
    <row r="480" ht="15.75" customHeight="1">
      <c r="J480" s="15"/>
      <c r="K480" s="188"/>
      <c r="L480" s="15"/>
      <c r="M480" s="15"/>
      <c r="N480" s="15"/>
      <c r="O480" s="15"/>
      <c r="P480" s="15"/>
      <c r="Q480" s="15"/>
      <c r="R480" s="15"/>
      <c r="S480" s="15"/>
      <c r="T480" s="15"/>
      <c r="U480" s="15"/>
      <c r="V480" s="15"/>
      <c r="W480" s="15"/>
      <c r="X480" s="14"/>
      <c r="Y480" s="14"/>
      <c r="Z480" s="15"/>
      <c r="AA480" s="3"/>
      <c r="AB480" s="3"/>
      <c r="AC480" s="3"/>
      <c r="AD480" s="3"/>
      <c r="AE480" s="3"/>
      <c r="AF480" s="3"/>
    </row>
    <row r="481" ht="15.75" customHeight="1">
      <c r="J481" s="15"/>
      <c r="K481" s="188"/>
      <c r="L481" s="15"/>
      <c r="M481" s="15"/>
      <c r="N481" s="15"/>
      <c r="O481" s="15"/>
      <c r="P481" s="15"/>
      <c r="Q481" s="15"/>
      <c r="R481" s="15"/>
      <c r="S481" s="15"/>
      <c r="T481" s="15"/>
      <c r="U481" s="15"/>
      <c r="V481" s="15"/>
      <c r="W481" s="15"/>
      <c r="X481" s="14"/>
      <c r="Y481" s="14"/>
      <c r="Z481" s="15"/>
      <c r="AA481" s="3"/>
      <c r="AB481" s="3"/>
      <c r="AC481" s="3"/>
      <c r="AD481" s="3"/>
      <c r="AE481" s="3"/>
      <c r="AF481" s="3"/>
    </row>
    <row r="482" ht="15.75" customHeight="1">
      <c r="J482" s="15"/>
      <c r="K482" s="188"/>
      <c r="L482" s="15"/>
      <c r="M482" s="15"/>
      <c r="N482" s="15"/>
      <c r="O482" s="15"/>
      <c r="P482" s="15"/>
      <c r="Q482" s="15"/>
      <c r="R482" s="15"/>
      <c r="S482" s="15"/>
      <c r="T482" s="15"/>
      <c r="U482" s="15"/>
      <c r="V482" s="15"/>
      <c r="W482" s="15"/>
      <c r="X482" s="14"/>
      <c r="Y482" s="14"/>
      <c r="Z482" s="15"/>
      <c r="AA482" s="3"/>
      <c r="AB482" s="3"/>
      <c r="AC482" s="3"/>
      <c r="AD482" s="3"/>
      <c r="AE482" s="3"/>
      <c r="AF482" s="3"/>
    </row>
    <row r="483" ht="15.75" customHeight="1">
      <c r="J483" s="15"/>
      <c r="K483" s="188"/>
      <c r="L483" s="15"/>
      <c r="M483" s="15"/>
      <c r="N483" s="15"/>
      <c r="O483" s="15"/>
      <c r="P483" s="15"/>
      <c r="Q483" s="15"/>
      <c r="R483" s="15"/>
      <c r="S483" s="15"/>
      <c r="T483" s="15"/>
      <c r="U483" s="15"/>
      <c r="V483" s="15"/>
      <c r="W483" s="15"/>
      <c r="X483" s="14"/>
      <c r="Y483" s="14"/>
      <c r="Z483" s="15"/>
      <c r="AA483" s="3"/>
      <c r="AB483" s="3"/>
      <c r="AC483" s="3"/>
      <c r="AD483" s="3"/>
      <c r="AE483" s="3"/>
      <c r="AF483" s="3"/>
    </row>
    <row r="484" ht="15.75" customHeight="1">
      <c r="J484" s="15"/>
      <c r="K484" s="188"/>
      <c r="L484" s="15"/>
      <c r="M484" s="15"/>
      <c r="N484" s="15"/>
      <c r="O484" s="15"/>
      <c r="P484" s="15"/>
      <c r="Q484" s="15"/>
      <c r="R484" s="15"/>
      <c r="S484" s="15"/>
      <c r="T484" s="15"/>
      <c r="U484" s="15"/>
      <c r="V484" s="15"/>
      <c r="W484" s="15"/>
      <c r="X484" s="14"/>
      <c r="Y484" s="14"/>
      <c r="Z484" s="15"/>
      <c r="AA484" s="3"/>
      <c r="AB484" s="3"/>
      <c r="AC484" s="3"/>
      <c r="AD484" s="3"/>
      <c r="AE484" s="3"/>
      <c r="AF484" s="3"/>
    </row>
    <row r="485" ht="15.75" customHeight="1">
      <c r="J485" s="15"/>
      <c r="K485" s="188"/>
      <c r="L485" s="15"/>
      <c r="M485" s="15"/>
      <c r="N485" s="15"/>
      <c r="O485" s="15"/>
      <c r="P485" s="15"/>
      <c r="Q485" s="15"/>
      <c r="R485" s="15"/>
      <c r="S485" s="15"/>
      <c r="T485" s="15"/>
      <c r="U485" s="15"/>
      <c r="V485" s="15"/>
      <c r="W485" s="15"/>
      <c r="X485" s="14"/>
      <c r="Y485" s="14"/>
      <c r="Z485" s="15"/>
      <c r="AA485" s="3"/>
      <c r="AB485" s="3"/>
      <c r="AC485" s="3"/>
      <c r="AD485" s="3"/>
      <c r="AE485" s="3"/>
      <c r="AF485" s="3"/>
    </row>
    <row r="486" ht="15.75" customHeight="1">
      <c r="J486" s="15"/>
      <c r="K486" s="188"/>
      <c r="L486" s="15"/>
      <c r="M486" s="15"/>
      <c r="N486" s="15"/>
      <c r="O486" s="15"/>
      <c r="P486" s="15"/>
      <c r="Q486" s="15"/>
      <c r="R486" s="15"/>
      <c r="S486" s="15"/>
      <c r="T486" s="15"/>
      <c r="U486" s="15"/>
      <c r="V486" s="15"/>
      <c r="W486" s="15"/>
      <c r="X486" s="14"/>
      <c r="Y486" s="14"/>
      <c r="Z486" s="15"/>
      <c r="AA486" s="3"/>
      <c r="AB486" s="3"/>
      <c r="AC486" s="3"/>
      <c r="AD486" s="3"/>
      <c r="AE486" s="3"/>
      <c r="AF486" s="3"/>
    </row>
    <row r="487" ht="15.75" customHeight="1">
      <c r="J487" s="15"/>
      <c r="K487" s="188"/>
      <c r="L487" s="15"/>
      <c r="M487" s="15"/>
      <c r="N487" s="15"/>
      <c r="O487" s="15"/>
      <c r="P487" s="15"/>
      <c r="Q487" s="15"/>
      <c r="R487" s="15"/>
      <c r="S487" s="15"/>
      <c r="T487" s="15"/>
      <c r="U487" s="15"/>
      <c r="V487" s="15"/>
      <c r="W487" s="15"/>
      <c r="X487" s="14"/>
      <c r="Y487" s="14"/>
      <c r="Z487" s="15"/>
      <c r="AA487" s="3"/>
      <c r="AB487" s="3"/>
      <c r="AC487" s="3"/>
      <c r="AD487" s="3"/>
      <c r="AE487" s="3"/>
      <c r="AF487" s="3"/>
    </row>
    <row r="488" ht="15.75" customHeight="1">
      <c r="J488" s="15"/>
      <c r="K488" s="188"/>
      <c r="L488" s="15"/>
      <c r="M488" s="15"/>
      <c r="N488" s="15"/>
      <c r="O488" s="15"/>
      <c r="P488" s="15"/>
      <c r="Q488" s="15"/>
      <c r="R488" s="15"/>
      <c r="S488" s="15"/>
      <c r="T488" s="15"/>
      <c r="U488" s="15"/>
      <c r="V488" s="15"/>
      <c r="W488" s="15"/>
      <c r="X488" s="14"/>
      <c r="Y488" s="14"/>
      <c r="Z488" s="15"/>
      <c r="AA488" s="3"/>
      <c r="AB488" s="3"/>
      <c r="AC488" s="3"/>
      <c r="AD488" s="3"/>
      <c r="AE488" s="3"/>
      <c r="AF488" s="3"/>
    </row>
    <row r="489" ht="15.75" customHeight="1">
      <c r="J489" s="15"/>
      <c r="K489" s="188"/>
      <c r="L489" s="15"/>
      <c r="M489" s="15"/>
      <c r="N489" s="15"/>
      <c r="O489" s="15"/>
      <c r="P489" s="15"/>
      <c r="Q489" s="15"/>
      <c r="R489" s="15"/>
      <c r="S489" s="15"/>
      <c r="T489" s="15"/>
      <c r="U489" s="15"/>
      <c r="V489" s="15"/>
      <c r="W489" s="15"/>
      <c r="X489" s="14"/>
      <c r="Y489" s="14"/>
      <c r="Z489" s="15"/>
      <c r="AA489" s="3"/>
      <c r="AB489" s="3"/>
      <c r="AC489" s="3"/>
      <c r="AD489" s="3"/>
      <c r="AE489" s="3"/>
      <c r="AF489" s="3"/>
    </row>
    <row r="490" ht="15.75" customHeight="1">
      <c r="J490" s="15"/>
      <c r="K490" s="188"/>
      <c r="L490" s="15"/>
      <c r="M490" s="15"/>
      <c r="N490" s="15"/>
      <c r="O490" s="15"/>
      <c r="P490" s="15"/>
      <c r="Q490" s="15"/>
      <c r="R490" s="15"/>
      <c r="S490" s="15"/>
      <c r="T490" s="15"/>
      <c r="U490" s="15"/>
      <c r="V490" s="15"/>
      <c r="W490" s="15"/>
      <c r="X490" s="14"/>
      <c r="Y490" s="14"/>
      <c r="Z490" s="15"/>
      <c r="AA490" s="3"/>
      <c r="AB490" s="3"/>
      <c r="AC490" s="3"/>
      <c r="AD490" s="3"/>
      <c r="AE490" s="3"/>
      <c r="AF490" s="3"/>
    </row>
    <row r="491" ht="15.75" customHeight="1">
      <c r="J491" s="15"/>
      <c r="K491" s="188"/>
      <c r="L491" s="15"/>
      <c r="M491" s="15"/>
      <c r="N491" s="15"/>
      <c r="O491" s="15"/>
      <c r="P491" s="15"/>
      <c r="Q491" s="15"/>
      <c r="R491" s="15"/>
      <c r="S491" s="15"/>
      <c r="T491" s="15"/>
      <c r="U491" s="15"/>
      <c r="V491" s="15"/>
      <c r="W491" s="15"/>
      <c r="X491" s="14"/>
      <c r="Y491" s="14"/>
      <c r="Z491" s="15"/>
      <c r="AA491" s="3"/>
      <c r="AB491" s="3"/>
      <c r="AC491" s="3"/>
      <c r="AD491" s="3"/>
      <c r="AE491" s="3"/>
      <c r="AF491" s="3"/>
    </row>
    <row r="492" ht="15.75" customHeight="1">
      <c r="J492" s="15"/>
      <c r="K492" s="188"/>
      <c r="L492" s="15"/>
      <c r="M492" s="15"/>
      <c r="N492" s="15"/>
      <c r="O492" s="15"/>
      <c r="P492" s="15"/>
      <c r="Q492" s="15"/>
      <c r="R492" s="15"/>
      <c r="S492" s="15"/>
      <c r="T492" s="15"/>
      <c r="U492" s="15"/>
      <c r="V492" s="15"/>
      <c r="W492" s="15"/>
      <c r="X492" s="14"/>
      <c r="Y492" s="14"/>
      <c r="Z492" s="15"/>
      <c r="AA492" s="3"/>
      <c r="AB492" s="3"/>
      <c r="AC492" s="3"/>
      <c r="AD492" s="3"/>
      <c r="AE492" s="3"/>
      <c r="AF492" s="3"/>
    </row>
    <row r="493" ht="15.75" customHeight="1">
      <c r="J493" s="15"/>
      <c r="K493" s="188"/>
      <c r="L493" s="15"/>
      <c r="M493" s="15"/>
      <c r="N493" s="15"/>
      <c r="O493" s="15"/>
      <c r="P493" s="15"/>
      <c r="Q493" s="15"/>
      <c r="R493" s="15"/>
      <c r="S493" s="15"/>
      <c r="T493" s="15"/>
      <c r="U493" s="15"/>
      <c r="V493" s="15"/>
      <c r="W493" s="15"/>
      <c r="X493" s="14"/>
      <c r="Y493" s="14"/>
      <c r="Z493" s="15"/>
      <c r="AA493" s="3"/>
      <c r="AB493" s="3"/>
      <c r="AC493" s="3"/>
      <c r="AD493" s="3"/>
      <c r="AE493" s="3"/>
      <c r="AF493" s="3"/>
    </row>
    <row r="494" ht="15.75" customHeight="1">
      <c r="J494" s="15"/>
      <c r="K494" s="188"/>
      <c r="L494" s="15"/>
      <c r="M494" s="15"/>
      <c r="N494" s="15"/>
      <c r="O494" s="15"/>
      <c r="P494" s="15"/>
      <c r="Q494" s="15"/>
      <c r="R494" s="15"/>
      <c r="S494" s="15"/>
      <c r="T494" s="15"/>
      <c r="U494" s="15"/>
      <c r="V494" s="15"/>
      <c r="W494" s="15"/>
      <c r="X494" s="14"/>
      <c r="Y494" s="14"/>
      <c r="Z494" s="15"/>
      <c r="AA494" s="3"/>
      <c r="AB494" s="3"/>
      <c r="AC494" s="3"/>
      <c r="AD494" s="3"/>
      <c r="AE494" s="3"/>
      <c r="AF494" s="3"/>
    </row>
    <row r="495" ht="15.75" customHeight="1">
      <c r="J495" s="15"/>
      <c r="K495" s="188"/>
      <c r="L495" s="15"/>
      <c r="M495" s="15"/>
      <c r="N495" s="15"/>
      <c r="O495" s="15"/>
      <c r="P495" s="15"/>
      <c r="Q495" s="15"/>
      <c r="R495" s="15"/>
      <c r="S495" s="15"/>
      <c r="T495" s="15"/>
      <c r="U495" s="15"/>
      <c r="V495" s="15"/>
      <c r="W495" s="15"/>
      <c r="X495" s="14"/>
      <c r="Y495" s="14"/>
      <c r="Z495" s="15"/>
      <c r="AA495" s="3"/>
      <c r="AB495" s="3"/>
      <c r="AC495" s="3"/>
      <c r="AD495" s="3"/>
      <c r="AE495" s="3"/>
      <c r="AF495" s="3"/>
    </row>
    <row r="496" ht="15.75" customHeight="1">
      <c r="J496" s="15"/>
      <c r="K496" s="188"/>
      <c r="L496" s="15"/>
      <c r="M496" s="15"/>
      <c r="N496" s="15"/>
      <c r="O496" s="15"/>
      <c r="P496" s="15"/>
      <c r="Q496" s="15"/>
      <c r="R496" s="15"/>
      <c r="S496" s="15"/>
      <c r="T496" s="15"/>
      <c r="U496" s="15"/>
      <c r="V496" s="15"/>
      <c r="W496" s="15"/>
      <c r="X496" s="14"/>
      <c r="Y496" s="14"/>
      <c r="Z496" s="15"/>
      <c r="AA496" s="3"/>
      <c r="AB496" s="3"/>
      <c r="AC496" s="3"/>
      <c r="AD496" s="3"/>
      <c r="AE496" s="3"/>
      <c r="AF496" s="3"/>
    </row>
    <row r="497" ht="15.75" customHeight="1">
      <c r="J497" s="15"/>
      <c r="K497" s="188"/>
      <c r="L497" s="15"/>
      <c r="M497" s="15"/>
      <c r="N497" s="15"/>
      <c r="O497" s="15"/>
      <c r="P497" s="15"/>
      <c r="Q497" s="15"/>
      <c r="R497" s="15"/>
      <c r="S497" s="15"/>
      <c r="T497" s="15"/>
      <c r="U497" s="15"/>
      <c r="V497" s="15"/>
      <c r="W497" s="15"/>
      <c r="X497" s="14"/>
      <c r="Y497" s="14"/>
      <c r="Z497" s="15"/>
      <c r="AA497" s="3"/>
      <c r="AB497" s="3"/>
      <c r="AC497" s="3"/>
      <c r="AD497" s="3"/>
      <c r="AE497" s="3"/>
      <c r="AF497" s="3"/>
    </row>
    <row r="498" ht="15.75" customHeight="1">
      <c r="J498" s="15"/>
      <c r="K498" s="188"/>
      <c r="L498" s="15"/>
      <c r="M498" s="15"/>
      <c r="N498" s="15"/>
      <c r="O498" s="15"/>
      <c r="P498" s="15"/>
      <c r="Q498" s="15"/>
      <c r="R498" s="15"/>
      <c r="S498" s="15"/>
      <c r="T498" s="15"/>
      <c r="U498" s="15"/>
      <c r="V498" s="15"/>
      <c r="W498" s="15"/>
      <c r="X498" s="14"/>
      <c r="Y498" s="14"/>
      <c r="Z498" s="15"/>
      <c r="AA498" s="3"/>
      <c r="AB498" s="3"/>
      <c r="AC498" s="3"/>
      <c r="AD498" s="3"/>
      <c r="AE498" s="3"/>
      <c r="AF498" s="3"/>
    </row>
    <row r="499" ht="15.75" customHeight="1">
      <c r="J499" s="15"/>
      <c r="K499" s="188"/>
      <c r="L499" s="15"/>
      <c r="M499" s="15"/>
      <c r="N499" s="15"/>
      <c r="O499" s="15"/>
      <c r="P499" s="15"/>
      <c r="Q499" s="15"/>
      <c r="R499" s="15"/>
      <c r="S499" s="15"/>
      <c r="T499" s="15"/>
      <c r="U499" s="15"/>
      <c r="V499" s="15"/>
      <c r="W499" s="15"/>
      <c r="X499" s="14"/>
      <c r="Y499" s="14"/>
      <c r="Z499" s="15"/>
      <c r="AA499" s="3"/>
      <c r="AB499" s="3"/>
      <c r="AC499" s="3"/>
      <c r="AD499" s="3"/>
      <c r="AE499" s="3"/>
      <c r="AF499" s="3"/>
    </row>
    <row r="500" ht="15.75" customHeight="1">
      <c r="J500" s="15"/>
      <c r="K500" s="188"/>
      <c r="L500" s="15"/>
      <c r="M500" s="15"/>
      <c r="N500" s="15"/>
      <c r="O500" s="15"/>
      <c r="P500" s="15"/>
      <c r="Q500" s="15"/>
      <c r="R500" s="15"/>
      <c r="S500" s="15"/>
      <c r="T500" s="15"/>
      <c r="U500" s="15"/>
      <c r="V500" s="15"/>
      <c r="W500" s="15"/>
      <c r="X500" s="14"/>
      <c r="Y500" s="14"/>
      <c r="Z500" s="15"/>
      <c r="AA500" s="3"/>
      <c r="AB500" s="3"/>
      <c r="AC500" s="3"/>
      <c r="AD500" s="3"/>
      <c r="AE500" s="3"/>
      <c r="AF500" s="3"/>
    </row>
    <row r="501" ht="15.75" customHeight="1">
      <c r="J501" s="15"/>
      <c r="K501" s="188"/>
      <c r="L501" s="15"/>
      <c r="M501" s="15"/>
      <c r="N501" s="15"/>
      <c r="O501" s="15"/>
      <c r="P501" s="15"/>
      <c r="Q501" s="15"/>
      <c r="R501" s="15"/>
      <c r="S501" s="15"/>
      <c r="T501" s="15"/>
      <c r="U501" s="15"/>
      <c r="V501" s="15"/>
      <c r="W501" s="15"/>
      <c r="X501" s="14"/>
      <c r="Y501" s="14"/>
      <c r="Z501" s="15"/>
      <c r="AA501" s="3"/>
      <c r="AB501" s="3"/>
      <c r="AC501" s="3"/>
      <c r="AD501" s="3"/>
      <c r="AE501" s="3"/>
      <c r="AF501" s="3"/>
    </row>
    <row r="502" ht="15.75" customHeight="1">
      <c r="J502" s="15"/>
      <c r="K502" s="188"/>
      <c r="L502" s="15"/>
      <c r="M502" s="15"/>
      <c r="N502" s="15"/>
      <c r="O502" s="15"/>
      <c r="P502" s="15"/>
      <c r="Q502" s="15"/>
      <c r="R502" s="15"/>
      <c r="S502" s="15"/>
      <c r="T502" s="15"/>
      <c r="U502" s="15"/>
      <c r="V502" s="15"/>
      <c r="W502" s="15"/>
      <c r="X502" s="14"/>
      <c r="Y502" s="14"/>
      <c r="Z502" s="15"/>
      <c r="AA502" s="3"/>
      <c r="AB502" s="3"/>
      <c r="AC502" s="3"/>
      <c r="AD502" s="3"/>
      <c r="AE502" s="3"/>
      <c r="AF502" s="3"/>
    </row>
    <row r="503" ht="15.75" customHeight="1">
      <c r="J503" s="15"/>
      <c r="K503" s="188"/>
      <c r="L503" s="15"/>
      <c r="M503" s="15"/>
      <c r="N503" s="15"/>
      <c r="O503" s="15"/>
      <c r="P503" s="15"/>
      <c r="Q503" s="15"/>
      <c r="R503" s="15"/>
      <c r="S503" s="15"/>
      <c r="T503" s="15"/>
      <c r="U503" s="15"/>
      <c r="V503" s="15"/>
      <c r="W503" s="15"/>
      <c r="X503" s="14"/>
      <c r="Y503" s="14"/>
      <c r="Z503" s="15"/>
      <c r="AA503" s="3"/>
      <c r="AB503" s="3"/>
      <c r="AC503" s="3"/>
      <c r="AD503" s="3"/>
      <c r="AE503" s="3"/>
      <c r="AF503" s="3"/>
    </row>
    <row r="504" ht="15.75" customHeight="1">
      <c r="J504" s="15"/>
      <c r="K504" s="188"/>
      <c r="L504" s="15"/>
      <c r="M504" s="15"/>
      <c r="N504" s="15"/>
      <c r="O504" s="15"/>
      <c r="P504" s="15"/>
      <c r="Q504" s="15"/>
      <c r="R504" s="15"/>
      <c r="S504" s="15"/>
      <c r="T504" s="15"/>
      <c r="U504" s="15"/>
      <c r="V504" s="15"/>
      <c r="W504" s="15"/>
      <c r="X504" s="14"/>
      <c r="Y504" s="14"/>
      <c r="Z504" s="15"/>
      <c r="AA504" s="3"/>
      <c r="AB504" s="3"/>
      <c r="AC504" s="3"/>
      <c r="AD504" s="3"/>
      <c r="AE504" s="3"/>
      <c r="AF504" s="3"/>
    </row>
    <row r="505" ht="15.75" customHeight="1">
      <c r="J505" s="15"/>
      <c r="K505" s="188"/>
      <c r="L505" s="15"/>
      <c r="M505" s="15"/>
      <c r="N505" s="15"/>
      <c r="O505" s="15"/>
      <c r="P505" s="15"/>
      <c r="Q505" s="15"/>
      <c r="R505" s="15"/>
      <c r="S505" s="15"/>
      <c r="T505" s="15"/>
      <c r="U505" s="15"/>
      <c r="V505" s="15"/>
      <c r="W505" s="15"/>
      <c r="X505" s="14"/>
      <c r="Y505" s="14"/>
      <c r="Z505" s="15"/>
      <c r="AA505" s="3"/>
      <c r="AB505" s="3"/>
      <c r="AC505" s="3"/>
      <c r="AD505" s="3"/>
      <c r="AE505" s="3"/>
      <c r="AF505" s="3"/>
    </row>
    <row r="506" ht="15.75" customHeight="1">
      <c r="J506" s="15"/>
      <c r="K506" s="188"/>
      <c r="L506" s="15"/>
      <c r="M506" s="15"/>
      <c r="N506" s="15"/>
      <c r="O506" s="15"/>
      <c r="P506" s="15"/>
      <c r="Q506" s="15"/>
      <c r="R506" s="15"/>
      <c r="S506" s="15"/>
      <c r="T506" s="15"/>
      <c r="U506" s="15"/>
      <c r="V506" s="15"/>
      <c r="W506" s="15"/>
      <c r="X506" s="14"/>
      <c r="Y506" s="14"/>
      <c r="Z506" s="15"/>
      <c r="AA506" s="3"/>
      <c r="AB506" s="3"/>
      <c r="AC506" s="3"/>
      <c r="AD506" s="3"/>
      <c r="AE506" s="3"/>
      <c r="AF506" s="3"/>
    </row>
    <row r="507" ht="15.75" customHeight="1">
      <c r="J507" s="15"/>
      <c r="K507" s="188"/>
      <c r="L507" s="15"/>
      <c r="M507" s="15"/>
      <c r="N507" s="15"/>
      <c r="O507" s="15"/>
      <c r="P507" s="15"/>
      <c r="Q507" s="15"/>
      <c r="R507" s="15"/>
      <c r="S507" s="15"/>
      <c r="T507" s="15"/>
      <c r="U507" s="15"/>
      <c r="V507" s="15"/>
      <c r="W507" s="15"/>
      <c r="X507" s="14"/>
      <c r="Y507" s="14"/>
      <c r="Z507" s="15"/>
      <c r="AA507" s="3"/>
      <c r="AB507" s="3"/>
      <c r="AC507" s="3"/>
      <c r="AD507" s="3"/>
      <c r="AE507" s="3"/>
      <c r="AF507" s="3"/>
    </row>
    <row r="508" ht="15.75" customHeight="1">
      <c r="J508" s="15"/>
      <c r="K508" s="188"/>
      <c r="L508" s="15"/>
      <c r="M508" s="15"/>
      <c r="N508" s="15"/>
      <c r="O508" s="15"/>
      <c r="P508" s="15"/>
      <c r="Q508" s="15"/>
      <c r="R508" s="15"/>
      <c r="S508" s="15"/>
      <c r="T508" s="15"/>
      <c r="U508" s="15"/>
      <c r="V508" s="15"/>
      <c r="W508" s="15"/>
      <c r="X508" s="14"/>
      <c r="Y508" s="14"/>
      <c r="Z508" s="15"/>
      <c r="AA508" s="3"/>
      <c r="AB508" s="3"/>
      <c r="AC508" s="3"/>
      <c r="AD508" s="3"/>
      <c r="AE508" s="3"/>
      <c r="AF508" s="3"/>
    </row>
    <row r="509" ht="15.75" customHeight="1">
      <c r="J509" s="15"/>
      <c r="K509" s="188"/>
      <c r="L509" s="15"/>
      <c r="M509" s="15"/>
      <c r="N509" s="15"/>
      <c r="O509" s="15"/>
      <c r="P509" s="15"/>
      <c r="Q509" s="15"/>
      <c r="R509" s="15"/>
      <c r="S509" s="15"/>
      <c r="T509" s="15"/>
      <c r="U509" s="15"/>
      <c r="V509" s="15"/>
      <c r="W509" s="15"/>
      <c r="X509" s="14"/>
      <c r="Y509" s="14"/>
      <c r="Z509" s="15"/>
      <c r="AA509" s="3"/>
      <c r="AB509" s="3"/>
      <c r="AC509" s="3"/>
      <c r="AD509" s="3"/>
      <c r="AE509" s="3"/>
      <c r="AF509" s="3"/>
    </row>
    <row r="510" ht="15.75" customHeight="1">
      <c r="J510" s="15"/>
      <c r="K510" s="188"/>
      <c r="L510" s="15"/>
      <c r="M510" s="15"/>
      <c r="N510" s="15"/>
      <c r="O510" s="15"/>
      <c r="P510" s="15"/>
      <c r="Q510" s="15"/>
      <c r="R510" s="15"/>
      <c r="S510" s="15"/>
      <c r="T510" s="15"/>
      <c r="U510" s="15"/>
      <c r="V510" s="15"/>
      <c r="W510" s="15"/>
      <c r="X510" s="14"/>
      <c r="Y510" s="14"/>
      <c r="Z510" s="15"/>
      <c r="AA510" s="3"/>
      <c r="AB510" s="3"/>
      <c r="AC510" s="3"/>
      <c r="AD510" s="3"/>
      <c r="AE510" s="3"/>
      <c r="AF510" s="3"/>
    </row>
    <row r="511" ht="15.75" customHeight="1">
      <c r="J511" s="15"/>
      <c r="K511" s="188"/>
      <c r="L511" s="15"/>
      <c r="M511" s="15"/>
      <c r="N511" s="15"/>
      <c r="O511" s="15"/>
      <c r="P511" s="15"/>
      <c r="Q511" s="15"/>
      <c r="R511" s="15"/>
      <c r="S511" s="15"/>
      <c r="T511" s="15"/>
      <c r="U511" s="15"/>
      <c r="V511" s="15"/>
      <c r="W511" s="15"/>
      <c r="X511" s="14"/>
      <c r="Y511" s="14"/>
      <c r="Z511" s="15"/>
      <c r="AA511" s="3"/>
      <c r="AB511" s="3"/>
      <c r="AC511" s="3"/>
      <c r="AD511" s="3"/>
      <c r="AE511" s="3"/>
      <c r="AF511" s="3"/>
    </row>
    <row r="512" ht="15.75" customHeight="1">
      <c r="J512" s="15"/>
      <c r="K512" s="188"/>
      <c r="L512" s="15"/>
      <c r="M512" s="15"/>
      <c r="N512" s="15"/>
      <c r="O512" s="15"/>
      <c r="P512" s="15"/>
      <c r="Q512" s="15"/>
      <c r="R512" s="15"/>
      <c r="S512" s="15"/>
      <c r="T512" s="15"/>
      <c r="U512" s="15"/>
      <c r="V512" s="15"/>
      <c r="W512" s="15"/>
      <c r="X512" s="14"/>
      <c r="Y512" s="14"/>
      <c r="Z512" s="15"/>
      <c r="AA512" s="3"/>
      <c r="AB512" s="3"/>
      <c r="AC512" s="3"/>
      <c r="AD512" s="3"/>
      <c r="AE512" s="3"/>
      <c r="AF512" s="3"/>
    </row>
    <row r="513" ht="15.75" customHeight="1">
      <c r="J513" s="15"/>
      <c r="K513" s="188"/>
      <c r="L513" s="15"/>
      <c r="M513" s="15"/>
      <c r="N513" s="15"/>
      <c r="O513" s="15"/>
      <c r="P513" s="15"/>
      <c r="Q513" s="15"/>
      <c r="R513" s="15"/>
      <c r="S513" s="15"/>
      <c r="T513" s="15"/>
      <c r="U513" s="15"/>
      <c r="V513" s="15"/>
      <c r="W513" s="15"/>
      <c r="X513" s="14"/>
      <c r="Y513" s="14"/>
      <c r="Z513" s="15"/>
      <c r="AA513" s="3"/>
      <c r="AB513" s="3"/>
      <c r="AC513" s="3"/>
      <c r="AD513" s="3"/>
      <c r="AE513" s="3"/>
      <c r="AF513" s="3"/>
    </row>
    <row r="514" ht="15.75" customHeight="1">
      <c r="J514" s="15"/>
      <c r="K514" s="188"/>
      <c r="L514" s="15"/>
      <c r="M514" s="15"/>
      <c r="N514" s="15"/>
      <c r="O514" s="15"/>
      <c r="P514" s="15"/>
      <c r="Q514" s="15"/>
      <c r="R514" s="15"/>
      <c r="S514" s="15"/>
      <c r="T514" s="15"/>
      <c r="U514" s="15"/>
      <c r="V514" s="15"/>
      <c r="W514" s="15"/>
      <c r="X514" s="14"/>
      <c r="Y514" s="14"/>
      <c r="Z514" s="15"/>
      <c r="AA514" s="3"/>
      <c r="AB514" s="3"/>
      <c r="AC514" s="3"/>
      <c r="AD514" s="3"/>
      <c r="AE514" s="3"/>
      <c r="AF514" s="3"/>
    </row>
    <row r="515" ht="15.75" customHeight="1">
      <c r="J515" s="15"/>
      <c r="K515" s="188"/>
      <c r="L515" s="15"/>
      <c r="M515" s="15"/>
      <c r="N515" s="15"/>
      <c r="O515" s="15"/>
      <c r="P515" s="15"/>
      <c r="Q515" s="15"/>
      <c r="R515" s="15"/>
      <c r="S515" s="15"/>
      <c r="T515" s="15"/>
      <c r="U515" s="15"/>
      <c r="V515" s="15"/>
      <c r="W515" s="15"/>
      <c r="X515" s="14"/>
      <c r="Y515" s="14"/>
      <c r="Z515" s="15"/>
      <c r="AA515" s="3"/>
      <c r="AB515" s="3"/>
      <c r="AC515" s="3"/>
      <c r="AD515" s="3"/>
      <c r="AE515" s="3"/>
      <c r="AF515" s="3"/>
    </row>
    <row r="516" ht="15.75" customHeight="1">
      <c r="J516" s="15"/>
      <c r="K516" s="188"/>
      <c r="L516" s="15"/>
      <c r="M516" s="15"/>
      <c r="N516" s="15"/>
      <c r="O516" s="15"/>
      <c r="P516" s="15"/>
      <c r="Q516" s="15"/>
      <c r="R516" s="15"/>
      <c r="S516" s="15"/>
      <c r="T516" s="15"/>
      <c r="U516" s="15"/>
      <c r="V516" s="15"/>
      <c r="W516" s="15"/>
      <c r="X516" s="14"/>
      <c r="Y516" s="14"/>
      <c r="Z516" s="15"/>
      <c r="AA516" s="3"/>
      <c r="AB516" s="3"/>
      <c r="AC516" s="3"/>
      <c r="AD516" s="3"/>
      <c r="AE516" s="3"/>
      <c r="AF516" s="3"/>
    </row>
    <row r="517" ht="15.75" customHeight="1">
      <c r="J517" s="15"/>
      <c r="K517" s="188"/>
      <c r="L517" s="15"/>
      <c r="M517" s="15"/>
      <c r="N517" s="15"/>
      <c r="O517" s="15"/>
      <c r="P517" s="15"/>
      <c r="Q517" s="15"/>
      <c r="R517" s="15"/>
      <c r="S517" s="15"/>
      <c r="T517" s="15"/>
      <c r="U517" s="15"/>
      <c r="V517" s="15"/>
      <c r="W517" s="15"/>
      <c r="X517" s="14"/>
      <c r="Y517" s="14"/>
      <c r="Z517" s="15"/>
      <c r="AA517" s="3"/>
      <c r="AB517" s="3"/>
      <c r="AC517" s="3"/>
      <c r="AD517" s="3"/>
      <c r="AE517" s="3"/>
      <c r="AF517" s="3"/>
    </row>
    <row r="518" ht="15.75" customHeight="1">
      <c r="J518" s="15"/>
      <c r="K518" s="188"/>
      <c r="L518" s="15"/>
      <c r="M518" s="15"/>
      <c r="N518" s="15"/>
      <c r="O518" s="15"/>
      <c r="P518" s="15"/>
      <c r="Q518" s="15"/>
      <c r="R518" s="15"/>
      <c r="S518" s="15"/>
      <c r="T518" s="15"/>
      <c r="U518" s="15"/>
      <c r="V518" s="15"/>
      <c r="W518" s="15"/>
      <c r="X518" s="14"/>
      <c r="Y518" s="14"/>
      <c r="Z518" s="15"/>
      <c r="AA518" s="3"/>
      <c r="AB518" s="3"/>
      <c r="AC518" s="3"/>
      <c r="AD518" s="3"/>
      <c r="AE518" s="3"/>
      <c r="AF518" s="3"/>
    </row>
    <row r="519" ht="15.75" customHeight="1">
      <c r="J519" s="15"/>
      <c r="K519" s="188"/>
      <c r="L519" s="15"/>
      <c r="M519" s="15"/>
      <c r="N519" s="15"/>
      <c r="O519" s="15"/>
      <c r="P519" s="15"/>
      <c r="Q519" s="15"/>
      <c r="R519" s="15"/>
      <c r="S519" s="15"/>
      <c r="T519" s="15"/>
      <c r="U519" s="15"/>
      <c r="V519" s="15"/>
      <c r="W519" s="15"/>
      <c r="X519" s="14"/>
      <c r="Y519" s="14"/>
      <c r="Z519" s="15"/>
      <c r="AA519" s="3"/>
      <c r="AB519" s="3"/>
      <c r="AC519" s="3"/>
      <c r="AD519" s="3"/>
      <c r="AE519" s="3"/>
      <c r="AF519" s="3"/>
    </row>
    <row r="520" ht="15.75" customHeight="1">
      <c r="J520" s="15"/>
      <c r="K520" s="188"/>
      <c r="L520" s="15"/>
      <c r="M520" s="15"/>
      <c r="N520" s="15"/>
      <c r="O520" s="15"/>
      <c r="P520" s="15"/>
      <c r="Q520" s="15"/>
      <c r="R520" s="15"/>
      <c r="S520" s="15"/>
      <c r="T520" s="15"/>
      <c r="U520" s="15"/>
      <c r="V520" s="15"/>
      <c r="W520" s="15"/>
      <c r="X520" s="14"/>
      <c r="Y520" s="14"/>
      <c r="Z520" s="15"/>
      <c r="AA520" s="3"/>
      <c r="AB520" s="3"/>
      <c r="AC520" s="3"/>
      <c r="AD520" s="3"/>
      <c r="AE520" s="3"/>
      <c r="AF520" s="3"/>
    </row>
    <row r="521" ht="15.75" customHeight="1">
      <c r="J521" s="15"/>
      <c r="K521" s="188"/>
      <c r="L521" s="15"/>
      <c r="M521" s="15"/>
      <c r="N521" s="15"/>
      <c r="O521" s="15"/>
      <c r="P521" s="15"/>
      <c r="Q521" s="15"/>
      <c r="R521" s="15"/>
      <c r="S521" s="15"/>
      <c r="T521" s="15"/>
      <c r="U521" s="15"/>
      <c r="V521" s="15"/>
      <c r="W521" s="15"/>
      <c r="X521" s="14"/>
      <c r="Y521" s="14"/>
      <c r="Z521" s="15"/>
      <c r="AA521" s="3"/>
      <c r="AB521" s="3"/>
      <c r="AC521" s="3"/>
      <c r="AD521" s="3"/>
      <c r="AE521" s="3"/>
      <c r="AF521" s="3"/>
    </row>
    <row r="522" ht="15.75" customHeight="1">
      <c r="J522" s="15"/>
      <c r="K522" s="188"/>
      <c r="L522" s="15"/>
      <c r="M522" s="15"/>
      <c r="N522" s="15"/>
      <c r="O522" s="15"/>
      <c r="P522" s="15"/>
      <c r="Q522" s="15"/>
      <c r="R522" s="15"/>
      <c r="S522" s="15"/>
      <c r="T522" s="15"/>
      <c r="U522" s="15"/>
      <c r="V522" s="15"/>
      <c r="W522" s="15"/>
      <c r="X522" s="14"/>
      <c r="Y522" s="14"/>
      <c r="Z522" s="15"/>
      <c r="AA522" s="3"/>
      <c r="AB522" s="3"/>
      <c r="AC522" s="3"/>
      <c r="AD522" s="3"/>
      <c r="AE522" s="3"/>
      <c r="AF522" s="3"/>
    </row>
    <row r="523" ht="15.75" customHeight="1">
      <c r="J523" s="15"/>
      <c r="K523" s="188"/>
      <c r="L523" s="15"/>
      <c r="M523" s="15"/>
      <c r="N523" s="15"/>
      <c r="O523" s="15"/>
      <c r="P523" s="15"/>
      <c r="Q523" s="15"/>
      <c r="R523" s="15"/>
      <c r="S523" s="15"/>
      <c r="T523" s="15"/>
      <c r="U523" s="15"/>
      <c r="V523" s="15"/>
      <c r="W523" s="15"/>
      <c r="X523" s="14"/>
      <c r="Y523" s="14"/>
      <c r="Z523" s="15"/>
      <c r="AA523" s="3"/>
      <c r="AB523" s="3"/>
      <c r="AC523" s="3"/>
      <c r="AD523" s="3"/>
      <c r="AE523" s="3"/>
      <c r="AF523" s="3"/>
    </row>
    <row r="524" ht="15.75" customHeight="1">
      <c r="J524" s="15"/>
      <c r="K524" s="188"/>
      <c r="L524" s="15"/>
      <c r="M524" s="15"/>
      <c r="N524" s="15"/>
      <c r="O524" s="15"/>
      <c r="P524" s="15"/>
      <c r="Q524" s="15"/>
      <c r="R524" s="15"/>
      <c r="S524" s="15"/>
      <c r="T524" s="15"/>
      <c r="U524" s="15"/>
      <c r="V524" s="15"/>
      <c r="W524" s="15"/>
      <c r="X524" s="14"/>
      <c r="Y524" s="14"/>
      <c r="Z524" s="15"/>
      <c r="AA524" s="3"/>
      <c r="AB524" s="3"/>
      <c r="AC524" s="3"/>
      <c r="AD524" s="3"/>
      <c r="AE524" s="3"/>
      <c r="AF524" s="3"/>
    </row>
    <row r="525" ht="15.75" customHeight="1">
      <c r="J525" s="15"/>
      <c r="K525" s="188"/>
      <c r="L525" s="15"/>
      <c r="M525" s="15"/>
      <c r="N525" s="15"/>
      <c r="O525" s="15"/>
      <c r="P525" s="15"/>
      <c r="Q525" s="15"/>
      <c r="R525" s="15"/>
      <c r="S525" s="15"/>
      <c r="T525" s="15"/>
      <c r="U525" s="15"/>
      <c r="V525" s="15"/>
      <c r="W525" s="15"/>
      <c r="X525" s="14"/>
      <c r="Y525" s="14"/>
      <c r="Z525" s="15"/>
      <c r="AA525" s="3"/>
      <c r="AB525" s="3"/>
      <c r="AC525" s="3"/>
      <c r="AD525" s="3"/>
      <c r="AE525" s="3"/>
      <c r="AF525" s="3"/>
    </row>
    <row r="526" ht="15.75" customHeight="1">
      <c r="J526" s="15"/>
      <c r="K526" s="188"/>
      <c r="L526" s="15"/>
      <c r="M526" s="15"/>
      <c r="N526" s="15"/>
      <c r="O526" s="15"/>
      <c r="P526" s="15"/>
      <c r="Q526" s="15"/>
      <c r="R526" s="15"/>
      <c r="S526" s="15"/>
      <c r="T526" s="15"/>
      <c r="U526" s="15"/>
      <c r="V526" s="15"/>
      <c r="W526" s="15"/>
      <c r="X526" s="14"/>
      <c r="Y526" s="14"/>
      <c r="Z526" s="15"/>
      <c r="AA526" s="3"/>
      <c r="AB526" s="3"/>
      <c r="AC526" s="3"/>
      <c r="AD526" s="3"/>
      <c r="AE526" s="3"/>
      <c r="AF526" s="3"/>
    </row>
    <row r="527" ht="15.75" customHeight="1">
      <c r="J527" s="15"/>
      <c r="K527" s="188"/>
      <c r="L527" s="15"/>
      <c r="M527" s="15"/>
      <c r="N527" s="15"/>
      <c r="O527" s="15"/>
      <c r="P527" s="15"/>
      <c r="Q527" s="15"/>
      <c r="R527" s="15"/>
      <c r="S527" s="15"/>
      <c r="T527" s="15"/>
      <c r="U527" s="15"/>
      <c r="V527" s="15"/>
      <c r="W527" s="15"/>
      <c r="X527" s="14"/>
      <c r="Y527" s="14"/>
      <c r="Z527" s="15"/>
      <c r="AA527" s="3"/>
      <c r="AB527" s="3"/>
      <c r="AC527" s="3"/>
      <c r="AD527" s="3"/>
      <c r="AE527" s="3"/>
      <c r="AF527" s="3"/>
    </row>
    <row r="528" ht="15.75" customHeight="1">
      <c r="J528" s="15"/>
      <c r="K528" s="188"/>
      <c r="L528" s="15"/>
      <c r="M528" s="15"/>
      <c r="N528" s="15"/>
      <c r="O528" s="15"/>
      <c r="P528" s="15"/>
      <c r="Q528" s="15"/>
      <c r="R528" s="15"/>
      <c r="S528" s="15"/>
      <c r="T528" s="15"/>
      <c r="U528" s="15"/>
      <c r="V528" s="15"/>
      <c r="W528" s="15"/>
      <c r="X528" s="14"/>
      <c r="Y528" s="14"/>
      <c r="Z528" s="15"/>
      <c r="AA528" s="3"/>
      <c r="AB528" s="3"/>
      <c r="AC528" s="3"/>
      <c r="AD528" s="3"/>
      <c r="AE528" s="3"/>
      <c r="AF528" s="3"/>
    </row>
    <row r="529" ht="15.75" customHeight="1">
      <c r="J529" s="15"/>
      <c r="K529" s="188"/>
      <c r="L529" s="15"/>
      <c r="M529" s="15"/>
      <c r="N529" s="15"/>
      <c r="O529" s="15"/>
      <c r="P529" s="15"/>
      <c r="Q529" s="15"/>
      <c r="R529" s="15"/>
      <c r="S529" s="15"/>
      <c r="T529" s="15"/>
      <c r="U529" s="15"/>
      <c r="V529" s="15"/>
      <c r="W529" s="15"/>
      <c r="X529" s="14"/>
      <c r="Y529" s="14"/>
      <c r="Z529" s="15"/>
      <c r="AA529" s="3"/>
      <c r="AB529" s="3"/>
      <c r="AC529" s="3"/>
      <c r="AD529" s="3"/>
      <c r="AE529" s="3"/>
      <c r="AF529" s="3"/>
    </row>
    <row r="530" ht="15.75" customHeight="1">
      <c r="J530" s="15"/>
      <c r="K530" s="188"/>
      <c r="L530" s="15"/>
      <c r="M530" s="15"/>
      <c r="N530" s="15"/>
      <c r="O530" s="15"/>
      <c r="P530" s="15"/>
      <c r="Q530" s="15"/>
      <c r="R530" s="15"/>
      <c r="S530" s="15"/>
      <c r="T530" s="15"/>
      <c r="U530" s="15"/>
      <c r="V530" s="15"/>
      <c r="W530" s="15"/>
      <c r="X530" s="14"/>
      <c r="Y530" s="14"/>
      <c r="Z530" s="15"/>
      <c r="AA530" s="3"/>
      <c r="AB530" s="3"/>
      <c r="AC530" s="3"/>
      <c r="AD530" s="3"/>
      <c r="AE530" s="3"/>
      <c r="AF530" s="3"/>
    </row>
    <row r="531" ht="15.75" customHeight="1">
      <c r="J531" s="15"/>
      <c r="K531" s="188"/>
      <c r="L531" s="15"/>
      <c r="M531" s="15"/>
      <c r="N531" s="15"/>
      <c r="O531" s="15"/>
      <c r="P531" s="15"/>
      <c r="Q531" s="15"/>
      <c r="R531" s="15"/>
      <c r="S531" s="15"/>
      <c r="T531" s="15"/>
      <c r="U531" s="15"/>
      <c r="V531" s="15"/>
      <c r="W531" s="15"/>
      <c r="X531" s="14"/>
      <c r="Y531" s="14"/>
      <c r="Z531" s="15"/>
      <c r="AA531" s="3"/>
      <c r="AB531" s="3"/>
      <c r="AC531" s="3"/>
      <c r="AD531" s="3"/>
      <c r="AE531" s="3"/>
      <c r="AF531" s="3"/>
    </row>
    <row r="532" ht="15.75" customHeight="1">
      <c r="J532" s="15"/>
      <c r="K532" s="188"/>
      <c r="L532" s="15"/>
      <c r="M532" s="15"/>
      <c r="N532" s="15"/>
      <c r="O532" s="15"/>
      <c r="P532" s="15"/>
      <c r="Q532" s="15"/>
      <c r="R532" s="15"/>
      <c r="S532" s="15"/>
      <c r="T532" s="15"/>
      <c r="U532" s="15"/>
      <c r="V532" s="15"/>
      <c r="W532" s="15"/>
      <c r="X532" s="14"/>
      <c r="Y532" s="14"/>
      <c r="Z532" s="15"/>
      <c r="AA532" s="3"/>
      <c r="AB532" s="3"/>
      <c r="AC532" s="3"/>
      <c r="AD532" s="3"/>
      <c r="AE532" s="3"/>
      <c r="AF532" s="3"/>
    </row>
    <row r="533" ht="15.75" customHeight="1">
      <c r="J533" s="15"/>
      <c r="K533" s="188"/>
      <c r="L533" s="15"/>
      <c r="M533" s="15"/>
      <c r="N533" s="15"/>
      <c r="O533" s="15"/>
      <c r="P533" s="15"/>
      <c r="Q533" s="15"/>
      <c r="R533" s="15"/>
      <c r="S533" s="15"/>
      <c r="T533" s="15"/>
      <c r="U533" s="15"/>
      <c r="V533" s="15"/>
      <c r="W533" s="15"/>
      <c r="X533" s="14"/>
      <c r="Y533" s="14"/>
      <c r="Z533" s="15"/>
      <c r="AA533" s="3"/>
      <c r="AB533" s="3"/>
      <c r="AC533" s="3"/>
      <c r="AD533" s="3"/>
      <c r="AE533" s="3"/>
      <c r="AF533" s="3"/>
    </row>
    <row r="534" ht="15.75" customHeight="1">
      <c r="J534" s="15"/>
      <c r="K534" s="188"/>
      <c r="L534" s="15"/>
      <c r="M534" s="15"/>
      <c r="N534" s="15"/>
      <c r="O534" s="15"/>
      <c r="P534" s="15"/>
      <c r="Q534" s="15"/>
      <c r="R534" s="15"/>
      <c r="S534" s="15"/>
      <c r="T534" s="15"/>
      <c r="U534" s="15"/>
      <c r="V534" s="15"/>
      <c r="W534" s="15"/>
      <c r="X534" s="14"/>
      <c r="Y534" s="14"/>
      <c r="Z534" s="15"/>
      <c r="AA534" s="3"/>
      <c r="AB534" s="3"/>
      <c r="AC534" s="3"/>
      <c r="AD534" s="3"/>
      <c r="AE534" s="3"/>
      <c r="AF534" s="3"/>
    </row>
    <row r="535" ht="15.75" customHeight="1">
      <c r="J535" s="15"/>
      <c r="K535" s="188"/>
      <c r="L535" s="15"/>
      <c r="M535" s="15"/>
      <c r="N535" s="15"/>
      <c r="O535" s="15"/>
      <c r="P535" s="15"/>
      <c r="Q535" s="15"/>
      <c r="R535" s="15"/>
      <c r="S535" s="15"/>
      <c r="T535" s="15"/>
      <c r="U535" s="15"/>
      <c r="V535" s="15"/>
      <c r="W535" s="15"/>
      <c r="X535" s="14"/>
      <c r="Y535" s="14"/>
      <c r="Z535" s="15"/>
      <c r="AA535" s="3"/>
      <c r="AB535" s="3"/>
      <c r="AC535" s="3"/>
      <c r="AD535" s="3"/>
      <c r="AE535" s="3"/>
      <c r="AF535" s="3"/>
    </row>
    <row r="536" ht="15.75" customHeight="1">
      <c r="J536" s="15"/>
      <c r="K536" s="188"/>
      <c r="L536" s="15"/>
      <c r="M536" s="15"/>
      <c r="N536" s="15"/>
      <c r="O536" s="15"/>
      <c r="P536" s="15"/>
      <c r="Q536" s="15"/>
      <c r="R536" s="15"/>
      <c r="S536" s="15"/>
      <c r="T536" s="15"/>
      <c r="U536" s="15"/>
      <c r="V536" s="15"/>
      <c r="W536" s="15"/>
      <c r="X536" s="14"/>
      <c r="Y536" s="14"/>
      <c r="Z536" s="15"/>
      <c r="AA536" s="3"/>
      <c r="AB536" s="3"/>
      <c r="AC536" s="3"/>
      <c r="AD536" s="3"/>
      <c r="AE536" s="3"/>
      <c r="AF536" s="3"/>
    </row>
    <row r="537" ht="15.75" customHeight="1">
      <c r="J537" s="15"/>
      <c r="K537" s="188"/>
      <c r="L537" s="15"/>
      <c r="M537" s="15"/>
      <c r="N537" s="15"/>
      <c r="O537" s="15"/>
      <c r="P537" s="15"/>
      <c r="Q537" s="15"/>
      <c r="R537" s="15"/>
      <c r="S537" s="15"/>
      <c r="T537" s="15"/>
      <c r="U537" s="15"/>
      <c r="V537" s="15"/>
      <c r="W537" s="15"/>
      <c r="X537" s="14"/>
      <c r="Y537" s="14"/>
      <c r="Z537" s="15"/>
      <c r="AA537" s="3"/>
      <c r="AB537" s="3"/>
      <c r="AC537" s="3"/>
      <c r="AD537" s="3"/>
      <c r="AE537" s="3"/>
      <c r="AF537" s="3"/>
    </row>
    <row r="538" ht="15.75" customHeight="1">
      <c r="J538" s="15"/>
      <c r="K538" s="188"/>
      <c r="L538" s="15"/>
      <c r="M538" s="15"/>
      <c r="N538" s="15"/>
      <c r="O538" s="15"/>
      <c r="P538" s="15"/>
      <c r="Q538" s="15"/>
      <c r="R538" s="15"/>
      <c r="S538" s="15"/>
      <c r="T538" s="15"/>
      <c r="U538" s="15"/>
      <c r="V538" s="15"/>
      <c r="W538" s="15"/>
      <c r="X538" s="14"/>
      <c r="Y538" s="14"/>
      <c r="Z538" s="15"/>
      <c r="AA538" s="3"/>
      <c r="AB538" s="3"/>
      <c r="AC538" s="3"/>
      <c r="AD538" s="3"/>
      <c r="AE538" s="3"/>
      <c r="AF538" s="3"/>
    </row>
    <row r="539" ht="15.75" customHeight="1">
      <c r="J539" s="15"/>
      <c r="K539" s="188"/>
      <c r="L539" s="15"/>
      <c r="M539" s="15"/>
      <c r="N539" s="15"/>
      <c r="O539" s="15"/>
      <c r="P539" s="15"/>
      <c r="Q539" s="15"/>
      <c r="R539" s="15"/>
      <c r="S539" s="15"/>
      <c r="T539" s="15"/>
      <c r="U539" s="15"/>
      <c r="V539" s="15"/>
      <c r="W539" s="15"/>
      <c r="X539" s="14"/>
      <c r="Y539" s="14"/>
      <c r="Z539" s="15"/>
      <c r="AA539" s="3"/>
      <c r="AB539" s="3"/>
      <c r="AC539" s="3"/>
      <c r="AD539" s="3"/>
      <c r="AE539" s="3"/>
      <c r="AF539" s="3"/>
    </row>
    <row r="540" ht="15.75" customHeight="1">
      <c r="J540" s="15"/>
      <c r="K540" s="188"/>
      <c r="L540" s="15"/>
      <c r="M540" s="15"/>
      <c r="N540" s="15"/>
      <c r="O540" s="15"/>
      <c r="P540" s="15"/>
      <c r="Q540" s="15"/>
      <c r="R540" s="15"/>
      <c r="S540" s="15"/>
      <c r="T540" s="15"/>
      <c r="U540" s="15"/>
      <c r="V540" s="15"/>
      <c r="W540" s="15"/>
      <c r="X540" s="14"/>
      <c r="Y540" s="14"/>
      <c r="Z540" s="15"/>
      <c r="AA540" s="3"/>
      <c r="AB540" s="3"/>
      <c r="AC540" s="3"/>
      <c r="AD540" s="3"/>
      <c r="AE540" s="3"/>
      <c r="AF540" s="3"/>
    </row>
    <row r="541" ht="15.75" customHeight="1">
      <c r="J541" s="15"/>
      <c r="K541" s="188"/>
      <c r="L541" s="15"/>
      <c r="M541" s="15"/>
      <c r="N541" s="15"/>
      <c r="O541" s="15"/>
      <c r="P541" s="15"/>
      <c r="Q541" s="15"/>
      <c r="R541" s="15"/>
      <c r="S541" s="15"/>
      <c r="T541" s="15"/>
      <c r="U541" s="15"/>
      <c r="V541" s="15"/>
      <c r="W541" s="15"/>
      <c r="X541" s="14"/>
      <c r="Y541" s="14"/>
      <c r="Z541" s="15"/>
      <c r="AA541" s="3"/>
      <c r="AB541" s="3"/>
      <c r="AC541" s="3"/>
      <c r="AD541" s="3"/>
      <c r="AE541" s="3"/>
      <c r="AF541" s="3"/>
    </row>
    <row r="542" ht="15.75" customHeight="1">
      <c r="J542" s="15"/>
      <c r="K542" s="188"/>
      <c r="L542" s="15"/>
      <c r="M542" s="15"/>
      <c r="N542" s="15"/>
      <c r="O542" s="15"/>
      <c r="P542" s="15"/>
      <c r="Q542" s="15"/>
      <c r="R542" s="15"/>
      <c r="S542" s="15"/>
      <c r="T542" s="15"/>
      <c r="U542" s="15"/>
      <c r="V542" s="15"/>
      <c r="W542" s="15"/>
      <c r="X542" s="14"/>
      <c r="Y542" s="14"/>
      <c r="Z542" s="15"/>
      <c r="AA542" s="3"/>
      <c r="AB542" s="3"/>
      <c r="AC542" s="3"/>
      <c r="AD542" s="3"/>
      <c r="AE542" s="3"/>
      <c r="AF542" s="3"/>
    </row>
    <row r="543" ht="15.75" customHeight="1">
      <c r="J543" s="15"/>
      <c r="K543" s="188"/>
      <c r="L543" s="15"/>
      <c r="M543" s="15"/>
      <c r="N543" s="15"/>
      <c r="O543" s="15"/>
      <c r="P543" s="15"/>
      <c r="Q543" s="15"/>
      <c r="R543" s="15"/>
      <c r="S543" s="15"/>
      <c r="T543" s="15"/>
      <c r="U543" s="15"/>
      <c r="V543" s="15"/>
      <c r="W543" s="15"/>
      <c r="X543" s="14"/>
      <c r="Y543" s="14"/>
      <c r="Z543" s="15"/>
      <c r="AA543" s="3"/>
      <c r="AB543" s="3"/>
      <c r="AC543" s="3"/>
      <c r="AD543" s="3"/>
      <c r="AE543" s="3"/>
      <c r="AF543" s="3"/>
    </row>
    <row r="544" ht="15.75" customHeight="1">
      <c r="J544" s="15"/>
      <c r="K544" s="188"/>
      <c r="L544" s="15"/>
      <c r="M544" s="15"/>
      <c r="N544" s="15"/>
      <c r="O544" s="15"/>
      <c r="P544" s="15"/>
      <c r="Q544" s="15"/>
      <c r="R544" s="15"/>
      <c r="S544" s="15"/>
      <c r="T544" s="15"/>
      <c r="U544" s="15"/>
      <c r="V544" s="15"/>
      <c r="W544" s="15"/>
      <c r="X544" s="14"/>
      <c r="Y544" s="14"/>
      <c r="Z544" s="15"/>
      <c r="AA544" s="3"/>
      <c r="AB544" s="3"/>
      <c r="AC544" s="3"/>
      <c r="AD544" s="3"/>
      <c r="AE544" s="3"/>
      <c r="AF544" s="3"/>
    </row>
    <row r="545" ht="15.75" customHeight="1">
      <c r="J545" s="15"/>
      <c r="K545" s="188"/>
      <c r="L545" s="15"/>
      <c r="M545" s="15"/>
      <c r="N545" s="15"/>
      <c r="O545" s="15"/>
      <c r="P545" s="15"/>
      <c r="Q545" s="15"/>
      <c r="R545" s="15"/>
      <c r="S545" s="15"/>
      <c r="T545" s="15"/>
      <c r="U545" s="15"/>
      <c r="V545" s="15"/>
      <c r="W545" s="15"/>
      <c r="X545" s="14"/>
      <c r="Y545" s="14"/>
      <c r="Z545" s="15"/>
      <c r="AA545" s="3"/>
      <c r="AB545" s="3"/>
      <c r="AC545" s="3"/>
      <c r="AD545" s="3"/>
      <c r="AE545" s="3"/>
      <c r="AF545" s="3"/>
    </row>
    <row r="546" ht="15.75" customHeight="1">
      <c r="J546" s="15"/>
      <c r="K546" s="188"/>
      <c r="L546" s="15"/>
      <c r="M546" s="15"/>
      <c r="N546" s="15"/>
      <c r="O546" s="15"/>
      <c r="P546" s="15"/>
      <c r="Q546" s="15"/>
      <c r="R546" s="15"/>
      <c r="S546" s="15"/>
      <c r="T546" s="15"/>
      <c r="U546" s="15"/>
      <c r="V546" s="15"/>
      <c r="W546" s="15"/>
      <c r="X546" s="14"/>
      <c r="Y546" s="14"/>
      <c r="Z546" s="15"/>
      <c r="AA546" s="3"/>
      <c r="AB546" s="3"/>
      <c r="AC546" s="3"/>
      <c r="AD546" s="3"/>
      <c r="AE546" s="3"/>
      <c r="AF546" s="3"/>
    </row>
    <row r="547" ht="15.75" customHeight="1">
      <c r="J547" s="15"/>
      <c r="K547" s="188"/>
      <c r="L547" s="15"/>
      <c r="M547" s="15"/>
      <c r="N547" s="15"/>
      <c r="O547" s="15"/>
      <c r="P547" s="15"/>
      <c r="Q547" s="15"/>
      <c r="R547" s="15"/>
      <c r="S547" s="15"/>
      <c r="T547" s="15"/>
      <c r="U547" s="15"/>
      <c r="V547" s="15"/>
      <c r="W547" s="15"/>
      <c r="X547" s="14"/>
      <c r="Y547" s="14"/>
      <c r="Z547" s="15"/>
      <c r="AA547" s="3"/>
      <c r="AB547" s="3"/>
      <c r="AC547" s="3"/>
      <c r="AD547" s="3"/>
      <c r="AE547" s="3"/>
      <c r="AF547" s="3"/>
    </row>
    <row r="548" ht="15.75" customHeight="1">
      <c r="J548" s="15"/>
      <c r="K548" s="188"/>
      <c r="L548" s="15"/>
      <c r="M548" s="15"/>
      <c r="N548" s="15"/>
      <c r="O548" s="15"/>
      <c r="P548" s="15"/>
      <c r="Q548" s="15"/>
      <c r="R548" s="15"/>
      <c r="S548" s="15"/>
      <c r="T548" s="15"/>
      <c r="U548" s="15"/>
      <c r="V548" s="15"/>
      <c r="W548" s="15"/>
      <c r="X548" s="14"/>
      <c r="Y548" s="14"/>
      <c r="Z548" s="15"/>
      <c r="AA548" s="3"/>
      <c r="AB548" s="3"/>
      <c r="AC548" s="3"/>
      <c r="AD548" s="3"/>
      <c r="AE548" s="3"/>
      <c r="AF548" s="3"/>
    </row>
    <row r="549" ht="15.75" customHeight="1">
      <c r="J549" s="15"/>
      <c r="K549" s="188"/>
      <c r="L549" s="15"/>
      <c r="M549" s="15"/>
      <c r="N549" s="15"/>
      <c r="O549" s="15"/>
      <c r="P549" s="15"/>
      <c r="Q549" s="15"/>
      <c r="R549" s="15"/>
      <c r="S549" s="15"/>
      <c r="T549" s="15"/>
      <c r="U549" s="15"/>
      <c r="V549" s="15"/>
      <c r="W549" s="15"/>
      <c r="X549" s="14"/>
      <c r="Y549" s="14"/>
      <c r="Z549" s="15"/>
      <c r="AA549" s="3"/>
      <c r="AB549" s="3"/>
      <c r="AC549" s="3"/>
      <c r="AD549" s="3"/>
      <c r="AE549" s="3"/>
      <c r="AF549" s="3"/>
    </row>
    <row r="550" ht="15.75" customHeight="1">
      <c r="J550" s="15"/>
      <c r="K550" s="188"/>
      <c r="L550" s="15"/>
      <c r="M550" s="15"/>
      <c r="N550" s="15"/>
      <c r="O550" s="15"/>
      <c r="P550" s="15"/>
      <c r="Q550" s="15"/>
      <c r="R550" s="15"/>
      <c r="S550" s="15"/>
      <c r="T550" s="15"/>
      <c r="U550" s="15"/>
      <c r="V550" s="15"/>
      <c r="W550" s="15"/>
      <c r="X550" s="14"/>
      <c r="Y550" s="14"/>
      <c r="Z550" s="15"/>
      <c r="AA550" s="3"/>
      <c r="AB550" s="3"/>
      <c r="AC550" s="3"/>
      <c r="AD550" s="3"/>
      <c r="AE550" s="3"/>
      <c r="AF550" s="3"/>
    </row>
    <row r="551" ht="15.75" customHeight="1">
      <c r="J551" s="15"/>
      <c r="K551" s="188"/>
      <c r="L551" s="15"/>
      <c r="M551" s="15"/>
      <c r="N551" s="15"/>
      <c r="O551" s="15"/>
      <c r="P551" s="15"/>
      <c r="Q551" s="15"/>
      <c r="R551" s="15"/>
      <c r="S551" s="15"/>
      <c r="T551" s="15"/>
      <c r="U551" s="15"/>
      <c r="V551" s="15"/>
      <c r="W551" s="15"/>
      <c r="X551" s="14"/>
      <c r="Y551" s="14"/>
      <c r="Z551" s="15"/>
      <c r="AA551" s="3"/>
      <c r="AB551" s="3"/>
      <c r="AC551" s="3"/>
      <c r="AD551" s="3"/>
      <c r="AE551" s="3"/>
      <c r="AF551" s="3"/>
    </row>
    <row r="552" ht="15.75" customHeight="1">
      <c r="J552" s="15"/>
      <c r="K552" s="188"/>
      <c r="L552" s="15"/>
      <c r="M552" s="15"/>
      <c r="N552" s="15"/>
      <c r="O552" s="15"/>
      <c r="P552" s="15"/>
      <c r="Q552" s="15"/>
      <c r="R552" s="15"/>
      <c r="S552" s="15"/>
      <c r="T552" s="15"/>
      <c r="U552" s="15"/>
      <c r="V552" s="15"/>
      <c r="W552" s="15"/>
      <c r="X552" s="14"/>
      <c r="Y552" s="14"/>
      <c r="Z552" s="15"/>
      <c r="AA552" s="3"/>
      <c r="AB552" s="3"/>
      <c r="AC552" s="3"/>
      <c r="AD552" s="3"/>
      <c r="AE552" s="3"/>
      <c r="AF552" s="3"/>
    </row>
    <row r="553" ht="15.75" customHeight="1">
      <c r="J553" s="15"/>
      <c r="K553" s="188"/>
      <c r="L553" s="15"/>
      <c r="M553" s="15"/>
      <c r="N553" s="15"/>
      <c r="O553" s="15"/>
      <c r="P553" s="15"/>
      <c r="Q553" s="15"/>
      <c r="R553" s="15"/>
      <c r="S553" s="15"/>
      <c r="T553" s="15"/>
      <c r="U553" s="15"/>
      <c r="V553" s="15"/>
      <c r="W553" s="15"/>
      <c r="X553" s="14"/>
      <c r="Y553" s="14"/>
      <c r="Z553" s="15"/>
      <c r="AA553" s="3"/>
      <c r="AB553" s="3"/>
      <c r="AC553" s="3"/>
      <c r="AD553" s="3"/>
      <c r="AE553" s="3"/>
      <c r="AF553" s="3"/>
    </row>
    <row r="554" ht="15.75" customHeight="1">
      <c r="J554" s="15"/>
      <c r="K554" s="188"/>
      <c r="L554" s="15"/>
      <c r="M554" s="15"/>
      <c r="N554" s="15"/>
      <c r="O554" s="15"/>
      <c r="P554" s="15"/>
      <c r="Q554" s="15"/>
      <c r="R554" s="15"/>
      <c r="S554" s="15"/>
      <c r="T554" s="15"/>
      <c r="U554" s="15"/>
      <c r="V554" s="15"/>
      <c r="W554" s="15"/>
      <c r="X554" s="14"/>
      <c r="Y554" s="14"/>
      <c r="Z554" s="15"/>
      <c r="AA554" s="3"/>
      <c r="AB554" s="3"/>
      <c r="AC554" s="3"/>
      <c r="AD554" s="3"/>
      <c r="AE554" s="3"/>
      <c r="AF554" s="3"/>
    </row>
    <row r="555" ht="15.75" customHeight="1">
      <c r="J555" s="15"/>
      <c r="K555" s="188"/>
      <c r="L555" s="15"/>
      <c r="M555" s="15"/>
      <c r="N555" s="15"/>
      <c r="O555" s="15"/>
      <c r="P555" s="15"/>
      <c r="Q555" s="15"/>
      <c r="R555" s="15"/>
      <c r="S555" s="15"/>
      <c r="T555" s="15"/>
      <c r="U555" s="15"/>
      <c r="V555" s="15"/>
      <c r="W555" s="15"/>
      <c r="X555" s="14"/>
      <c r="Y555" s="14"/>
      <c r="Z555" s="15"/>
      <c r="AA555" s="3"/>
      <c r="AB555" s="3"/>
      <c r="AC555" s="3"/>
      <c r="AD555" s="3"/>
      <c r="AE555" s="3"/>
      <c r="AF555" s="3"/>
    </row>
    <row r="556" ht="15.75" customHeight="1">
      <c r="J556" s="15"/>
      <c r="K556" s="188"/>
      <c r="L556" s="15"/>
      <c r="M556" s="15"/>
      <c r="N556" s="15"/>
      <c r="O556" s="15"/>
      <c r="P556" s="15"/>
      <c r="Q556" s="15"/>
      <c r="R556" s="15"/>
      <c r="S556" s="15"/>
      <c r="T556" s="15"/>
      <c r="U556" s="15"/>
      <c r="V556" s="15"/>
      <c r="W556" s="15"/>
      <c r="X556" s="14"/>
      <c r="Y556" s="14"/>
      <c r="Z556" s="15"/>
      <c r="AA556" s="3"/>
      <c r="AB556" s="3"/>
      <c r="AC556" s="3"/>
      <c r="AD556" s="3"/>
      <c r="AE556" s="3"/>
      <c r="AF556" s="3"/>
    </row>
    <row r="557" ht="15.75" customHeight="1">
      <c r="J557" s="15"/>
      <c r="K557" s="188"/>
      <c r="L557" s="15"/>
      <c r="M557" s="15"/>
      <c r="N557" s="15"/>
      <c r="O557" s="15"/>
      <c r="P557" s="15"/>
      <c r="Q557" s="15"/>
      <c r="R557" s="15"/>
      <c r="S557" s="15"/>
      <c r="T557" s="15"/>
      <c r="U557" s="15"/>
      <c r="V557" s="15"/>
      <c r="W557" s="15"/>
      <c r="X557" s="14"/>
      <c r="Y557" s="14"/>
      <c r="Z557" s="15"/>
      <c r="AA557" s="3"/>
      <c r="AB557" s="3"/>
      <c r="AC557" s="3"/>
      <c r="AD557" s="3"/>
      <c r="AE557" s="3"/>
      <c r="AF557" s="3"/>
    </row>
    <row r="558" ht="15.75" customHeight="1">
      <c r="J558" s="15"/>
      <c r="K558" s="188"/>
      <c r="L558" s="15"/>
      <c r="M558" s="15"/>
      <c r="N558" s="15"/>
      <c r="O558" s="15"/>
      <c r="P558" s="15"/>
      <c r="Q558" s="15"/>
      <c r="R558" s="15"/>
      <c r="S558" s="15"/>
      <c r="T558" s="15"/>
      <c r="U558" s="15"/>
      <c r="V558" s="15"/>
      <c r="W558" s="15"/>
      <c r="X558" s="14"/>
      <c r="Y558" s="14"/>
      <c r="Z558" s="15"/>
      <c r="AA558" s="3"/>
      <c r="AB558" s="3"/>
      <c r="AC558" s="3"/>
      <c r="AD558" s="3"/>
      <c r="AE558" s="3"/>
      <c r="AF558" s="3"/>
    </row>
    <row r="559" ht="15.75" customHeight="1">
      <c r="J559" s="15"/>
      <c r="K559" s="188"/>
      <c r="L559" s="15"/>
      <c r="M559" s="15"/>
      <c r="N559" s="15"/>
      <c r="O559" s="15"/>
      <c r="P559" s="15"/>
      <c r="Q559" s="15"/>
      <c r="R559" s="15"/>
      <c r="S559" s="15"/>
      <c r="T559" s="15"/>
      <c r="U559" s="15"/>
      <c r="V559" s="15"/>
      <c r="W559" s="15"/>
      <c r="X559" s="14"/>
      <c r="Y559" s="14"/>
      <c r="Z559" s="15"/>
      <c r="AA559" s="3"/>
      <c r="AB559" s="3"/>
      <c r="AC559" s="3"/>
      <c r="AD559" s="3"/>
      <c r="AE559" s="3"/>
      <c r="AF559" s="3"/>
    </row>
    <row r="560" ht="15.75" customHeight="1">
      <c r="J560" s="15"/>
      <c r="K560" s="188"/>
      <c r="L560" s="15"/>
      <c r="M560" s="15"/>
      <c r="N560" s="15"/>
      <c r="O560" s="15"/>
      <c r="P560" s="15"/>
      <c r="Q560" s="15"/>
      <c r="R560" s="15"/>
      <c r="S560" s="15"/>
      <c r="T560" s="15"/>
      <c r="U560" s="15"/>
      <c r="V560" s="15"/>
      <c r="W560" s="15"/>
      <c r="X560" s="14"/>
      <c r="Y560" s="14"/>
      <c r="Z560" s="15"/>
      <c r="AA560" s="3"/>
      <c r="AB560" s="3"/>
      <c r="AC560" s="3"/>
      <c r="AD560" s="3"/>
      <c r="AE560" s="3"/>
      <c r="AF560" s="3"/>
    </row>
    <row r="561" ht="15.75" customHeight="1">
      <c r="J561" s="15"/>
      <c r="K561" s="188"/>
      <c r="L561" s="15"/>
      <c r="M561" s="15"/>
      <c r="N561" s="15"/>
      <c r="O561" s="15"/>
      <c r="P561" s="15"/>
      <c r="Q561" s="15"/>
      <c r="R561" s="15"/>
      <c r="S561" s="15"/>
      <c r="T561" s="15"/>
      <c r="U561" s="15"/>
      <c r="V561" s="15"/>
      <c r="W561" s="15"/>
      <c r="X561" s="14"/>
      <c r="Y561" s="14"/>
      <c r="Z561" s="15"/>
      <c r="AA561" s="3"/>
      <c r="AB561" s="3"/>
      <c r="AC561" s="3"/>
      <c r="AD561" s="3"/>
      <c r="AE561" s="3"/>
      <c r="AF561" s="3"/>
    </row>
    <row r="562" ht="15.75" customHeight="1">
      <c r="J562" s="15"/>
      <c r="K562" s="188"/>
      <c r="L562" s="15"/>
      <c r="M562" s="15"/>
      <c r="N562" s="15"/>
      <c r="O562" s="15"/>
      <c r="P562" s="15"/>
      <c r="Q562" s="15"/>
      <c r="R562" s="15"/>
      <c r="S562" s="15"/>
      <c r="T562" s="15"/>
      <c r="U562" s="15"/>
      <c r="V562" s="15"/>
      <c r="W562" s="15"/>
      <c r="X562" s="14"/>
      <c r="Y562" s="14"/>
      <c r="Z562" s="15"/>
      <c r="AA562" s="3"/>
      <c r="AB562" s="3"/>
      <c r="AC562" s="3"/>
      <c r="AD562" s="3"/>
      <c r="AE562" s="3"/>
      <c r="AF562" s="3"/>
    </row>
    <row r="563" ht="15.75" customHeight="1">
      <c r="J563" s="15"/>
      <c r="K563" s="188"/>
      <c r="L563" s="15"/>
      <c r="M563" s="15"/>
      <c r="N563" s="15"/>
      <c r="O563" s="15"/>
      <c r="P563" s="15"/>
      <c r="Q563" s="15"/>
      <c r="R563" s="15"/>
      <c r="S563" s="15"/>
      <c r="T563" s="15"/>
      <c r="U563" s="15"/>
      <c r="V563" s="15"/>
      <c r="W563" s="15"/>
      <c r="X563" s="14"/>
      <c r="Y563" s="14"/>
      <c r="Z563" s="15"/>
      <c r="AA563" s="3"/>
      <c r="AB563" s="3"/>
      <c r="AC563" s="3"/>
      <c r="AD563" s="3"/>
      <c r="AE563" s="3"/>
      <c r="AF563" s="3"/>
    </row>
    <row r="564" ht="15.75" customHeight="1">
      <c r="J564" s="15"/>
      <c r="K564" s="188"/>
      <c r="L564" s="15"/>
      <c r="M564" s="15"/>
      <c r="N564" s="15"/>
      <c r="O564" s="15"/>
      <c r="P564" s="15"/>
      <c r="Q564" s="15"/>
      <c r="R564" s="15"/>
      <c r="S564" s="15"/>
      <c r="T564" s="15"/>
      <c r="U564" s="15"/>
      <c r="V564" s="15"/>
      <c r="W564" s="15"/>
      <c r="X564" s="14"/>
      <c r="Y564" s="14"/>
      <c r="Z564" s="15"/>
      <c r="AA564" s="3"/>
      <c r="AB564" s="3"/>
      <c r="AC564" s="3"/>
      <c r="AD564" s="3"/>
      <c r="AE564" s="3"/>
      <c r="AF564" s="3"/>
    </row>
    <row r="565" ht="15.75" customHeight="1">
      <c r="J565" s="15"/>
      <c r="K565" s="188"/>
      <c r="L565" s="15"/>
      <c r="M565" s="15"/>
      <c r="N565" s="15"/>
      <c r="O565" s="15"/>
      <c r="P565" s="15"/>
      <c r="Q565" s="15"/>
      <c r="R565" s="15"/>
      <c r="S565" s="15"/>
      <c r="T565" s="15"/>
      <c r="U565" s="15"/>
      <c r="V565" s="15"/>
      <c r="W565" s="15"/>
      <c r="X565" s="14"/>
      <c r="Y565" s="14"/>
      <c r="Z565" s="15"/>
      <c r="AA565" s="3"/>
      <c r="AB565" s="3"/>
      <c r="AC565" s="3"/>
      <c r="AD565" s="3"/>
      <c r="AE565" s="3"/>
      <c r="AF565" s="3"/>
    </row>
    <row r="566" ht="15.75" customHeight="1">
      <c r="J566" s="15"/>
      <c r="K566" s="188"/>
      <c r="L566" s="15"/>
      <c r="M566" s="15"/>
      <c r="N566" s="15"/>
      <c r="O566" s="15"/>
      <c r="P566" s="15"/>
      <c r="Q566" s="15"/>
      <c r="R566" s="15"/>
      <c r="S566" s="15"/>
      <c r="T566" s="15"/>
      <c r="U566" s="15"/>
      <c r="V566" s="15"/>
      <c r="W566" s="15"/>
      <c r="X566" s="14"/>
      <c r="Y566" s="14"/>
      <c r="Z566" s="15"/>
      <c r="AA566" s="3"/>
      <c r="AB566" s="3"/>
      <c r="AC566" s="3"/>
      <c r="AD566" s="3"/>
      <c r="AE566" s="3"/>
      <c r="AF566" s="3"/>
    </row>
    <row r="567" ht="15.75" customHeight="1">
      <c r="J567" s="15"/>
      <c r="K567" s="188"/>
      <c r="L567" s="15"/>
      <c r="M567" s="15"/>
      <c r="N567" s="15"/>
      <c r="O567" s="15"/>
      <c r="P567" s="15"/>
      <c r="Q567" s="15"/>
      <c r="R567" s="15"/>
      <c r="S567" s="15"/>
      <c r="T567" s="15"/>
      <c r="U567" s="15"/>
      <c r="V567" s="15"/>
      <c r="W567" s="15"/>
      <c r="X567" s="14"/>
      <c r="Y567" s="14"/>
      <c r="Z567" s="15"/>
      <c r="AA567" s="3"/>
      <c r="AB567" s="3"/>
      <c r="AC567" s="3"/>
      <c r="AD567" s="3"/>
      <c r="AE567" s="3"/>
      <c r="AF567" s="3"/>
    </row>
    <row r="568" ht="15.75" customHeight="1">
      <c r="J568" s="15"/>
      <c r="K568" s="188"/>
      <c r="L568" s="15"/>
      <c r="M568" s="15"/>
      <c r="N568" s="15"/>
      <c r="O568" s="15"/>
      <c r="P568" s="15"/>
      <c r="Q568" s="15"/>
      <c r="R568" s="15"/>
      <c r="S568" s="15"/>
      <c r="T568" s="15"/>
      <c r="U568" s="15"/>
      <c r="V568" s="15"/>
      <c r="W568" s="15"/>
      <c r="X568" s="14"/>
      <c r="Y568" s="14"/>
      <c r="Z568" s="15"/>
      <c r="AA568" s="3"/>
      <c r="AB568" s="3"/>
      <c r="AC568" s="3"/>
      <c r="AD568" s="3"/>
      <c r="AE568" s="3"/>
      <c r="AF568" s="3"/>
    </row>
    <row r="569" ht="15.75" customHeight="1">
      <c r="J569" s="15"/>
      <c r="K569" s="188"/>
      <c r="L569" s="15"/>
      <c r="M569" s="15"/>
      <c r="N569" s="15"/>
      <c r="O569" s="15"/>
      <c r="P569" s="15"/>
      <c r="Q569" s="15"/>
      <c r="R569" s="15"/>
      <c r="S569" s="15"/>
      <c r="T569" s="15"/>
      <c r="U569" s="15"/>
      <c r="V569" s="15"/>
      <c r="W569" s="15"/>
      <c r="X569" s="14"/>
      <c r="Y569" s="14"/>
      <c r="Z569" s="15"/>
      <c r="AA569" s="3"/>
      <c r="AB569" s="3"/>
      <c r="AC569" s="3"/>
      <c r="AD569" s="3"/>
      <c r="AE569" s="3"/>
      <c r="AF569" s="3"/>
    </row>
    <row r="570" ht="15.75" customHeight="1">
      <c r="J570" s="15"/>
      <c r="K570" s="188"/>
      <c r="L570" s="15"/>
      <c r="M570" s="15"/>
      <c r="N570" s="15"/>
      <c r="O570" s="15"/>
      <c r="P570" s="15"/>
      <c r="Q570" s="15"/>
      <c r="R570" s="15"/>
      <c r="S570" s="15"/>
      <c r="T570" s="15"/>
      <c r="U570" s="15"/>
      <c r="V570" s="15"/>
      <c r="W570" s="15"/>
      <c r="X570" s="14"/>
      <c r="Y570" s="14"/>
      <c r="Z570" s="15"/>
      <c r="AA570" s="3"/>
      <c r="AB570" s="3"/>
      <c r="AC570" s="3"/>
      <c r="AD570" s="3"/>
      <c r="AE570" s="3"/>
      <c r="AF570" s="3"/>
    </row>
    <row r="571" ht="15.75" customHeight="1">
      <c r="J571" s="15"/>
      <c r="K571" s="188"/>
      <c r="L571" s="15"/>
      <c r="M571" s="15"/>
      <c r="N571" s="15"/>
      <c r="O571" s="15"/>
      <c r="P571" s="15"/>
      <c r="Q571" s="15"/>
      <c r="R571" s="15"/>
      <c r="S571" s="15"/>
      <c r="T571" s="15"/>
      <c r="U571" s="15"/>
      <c r="V571" s="15"/>
      <c r="W571" s="15"/>
      <c r="X571" s="14"/>
      <c r="Y571" s="14"/>
      <c r="Z571" s="15"/>
      <c r="AA571" s="3"/>
      <c r="AB571" s="3"/>
      <c r="AC571" s="3"/>
      <c r="AD571" s="3"/>
      <c r="AE571" s="3"/>
      <c r="AF571" s="3"/>
    </row>
    <row r="572" ht="15.75" customHeight="1">
      <c r="J572" s="15"/>
      <c r="K572" s="188"/>
      <c r="L572" s="15"/>
      <c r="M572" s="15"/>
      <c r="N572" s="15"/>
      <c r="O572" s="15"/>
      <c r="P572" s="15"/>
      <c r="Q572" s="15"/>
      <c r="R572" s="15"/>
      <c r="S572" s="15"/>
      <c r="T572" s="15"/>
      <c r="U572" s="15"/>
      <c r="V572" s="15"/>
      <c r="W572" s="15"/>
      <c r="X572" s="14"/>
      <c r="Y572" s="14"/>
      <c r="Z572" s="15"/>
      <c r="AA572" s="3"/>
      <c r="AB572" s="3"/>
      <c r="AC572" s="3"/>
      <c r="AD572" s="3"/>
      <c r="AE572" s="3"/>
      <c r="AF572" s="3"/>
    </row>
    <row r="573" ht="15.75" customHeight="1">
      <c r="J573" s="15"/>
      <c r="K573" s="188"/>
      <c r="L573" s="15"/>
      <c r="M573" s="15"/>
      <c r="N573" s="15"/>
      <c r="O573" s="15"/>
      <c r="P573" s="15"/>
      <c r="Q573" s="15"/>
      <c r="R573" s="15"/>
      <c r="S573" s="15"/>
      <c r="T573" s="15"/>
      <c r="U573" s="15"/>
      <c r="V573" s="15"/>
      <c r="W573" s="15"/>
      <c r="X573" s="14"/>
      <c r="Y573" s="14"/>
      <c r="Z573" s="15"/>
      <c r="AA573" s="3"/>
      <c r="AB573" s="3"/>
      <c r="AC573" s="3"/>
      <c r="AD573" s="3"/>
      <c r="AE573" s="3"/>
      <c r="AF573" s="3"/>
    </row>
    <row r="574" ht="15.75" customHeight="1">
      <c r="J574" s="15"/>
      <c r="K574" s="188"/>
      <c r="L574" s="15"/>
      <c r="M574" s="15"/>
      <c r="N574" s="15"/>
      <c r="O574" s="15"/>
      <c r="P574" s="15"/>
      <c r="Q574" s="15"/>
      <c r="R574" s="15"/>
      <c r="S574" s="15"/>
      <c r="T574" s="15"/>
      <c r="U574" s="15"/>
      <c r="V574" s="15"/>
      <c r="W574" s="15"/>
      <c r="X574" s="14"/>
      <c r="Y574" s="14"/>
      <c r="Z574" s="15"/>
      <c r="AA574" s="3"/>
      <c r="AB574" s="3"/>
      <c r="AC574" s="3"/>
      <c r="AD574" s="3"/>
      <c r="AE574" s="3"/>
      <c r="AF574" s="3"/>
    </row>
    <row r="575" ht="15.75" customHeight="1">
      <c r="J575" s="15"/>
      <c r="K575" s="188"/>
      <c r="L575" s="15"/>
      <c r="M575" s="15"/>
      <c r="N575" s="15"/>
      <c r="O575" s="15"/>
      <c r="P575" s="15"/>
      <c r="Q575" s="15"/>
      <c r="R575" s="15"/>
      <c r="S575" s="15"/>
      <c r="T575" s="15"/>
      <c r="U575" s="15"/>
      <c r="V575" s="15"/>
      <c r="W575" s="15"/>
      <c r="X575" s="14"/>
      <c r="Y575" s="14"/>
      <c r="Z575" s="15"/>
      <c r="AA575" s="3"/>
      <c r="AB575" s="3"/>
      <c r="AC575" s="3"/>
      <c r="AD575" s="3"/>
      <c r="AE575" s="3"/>
      <c r="AF575" s="3"/>
    </row>
    <row r="576" ht="15.75" customHeight="1">
      <c r="J576" s="15"/>
      <c r="K576" s="188"/>
      <c r="L576" s="15"/>
      <c r="M576" s="15"/>
      <c r="N576" s="15"/>
      <c r="O576" s="15"/>
      <c r="P576" s="15"/>
      <c r="Q576" s="15"/>
      <c r="R576" s="15"/>
      <c r="S576" s="15"/>
      <c r="T576" s="15"/>
      <c r="U576" s="15"/>
      <c r="V576" s="15"/>
      <c r="W576" s="15"/>
      <c r="X576" s="14"/>
      <c r="Y576" s="14"/>
      <c r="Z576" s="15"/>
      <c r="AA576" s="3"/>
      <c r="AB576" s="3"/>
      <c r="AC576" s="3"/>
      <c r="AD576" s="3"/>
      <c r="AE576" s="3"/>
      <c r="AF576" s="3"/>
    </row>
    <row r="577" ht="15.75" customHeight="1">
      <c r="J577" s="15"/>
      <c r="K577" s="188"/>
      <c r="L577" s="15"/>
      <c r="M577" s="15"/>
      <c r="N577" s="15"/>
      <c r="O577" s="15"/>
      <c r="P577" s="15"/>
      <c r="Q577" s="15"/>
      <c r="R577" s="15"/>
      <c r="S577" s="15"/>
      <c r="T577" s="15"/>
      <c r="U577" s="15"/>
      <c r="V577" s="15"/>
      <c r="W577" s="15"/>
      <c r="X577" s="14"/>
      <c r="Y577" s="14"/>
      <c r="Z577" s="15"/>
      <c r="AA577" s="3"/>
      <c r="AB577" s="3"/>
      <c r="AC577" s="3"/>
      <c r="AD577" s="3"/>
      <c r="AE577" s="3"/>
      <c r="AF577" s="3"/>
    </row>
    <row r="578" ht="15.75" customHeight="1">
      <c r="J578" s="15"/>
      <c r="K578" s="188"/>
      <c r="L578" s="15"/>
      <c r="M578" s="15"/>
      <c r="N578" s="15"/>
      <c r="O578" s="15"/>
      <c r="P578" s="15"/>
      <c r="Q578" s="15"/>
      <c r="R578" s="15"/>
      <c r="S578" s="15"/>
      <c r="T578" s="15"/>
      <c r="U578" s="15"/>
      <c r="V578" s="15"/>
      <c r="W578" s="15"/>
      <c r="X578" s="14"/>
      <c r="Y578" s="14"/>
      <c r="Z578" s="15"/>
      <c r="AA578" s="3"/>
      <c r="AB578" s="3"/>
      <c r="AC578" s="3"/>
      <c r="AD578" s="3"/>
      <c r="AE578" s="3"/>
      <c r="AF578" s="3"/>
    </row>
    <row r="579" ht="15.75" customHeight="1">
      <c r="J579" s="15"/>
      <c r="K579" s="188"/>
      <c r="L579" s="15"/>
      <c r="M579" s="15"/>
      <c r="N579" s="15"/>
      <c r="O579" s="15"/>
      <c r="P579" s="15"/>
      <c r="Q579" s="15"/>
      <c r="R579" s="15"/>
      <c r="S579" s="15"/>
      <c r="T579" s="15"/>
      <c r="U579" s="15"/>
      <c r="V579" s="15"/>
      <c r="W579" s="15"/>
      <c r="X579" s="14"/>
      <c r="Y579" s="14"/>
      <c r="Z579" s="15"/>
      <c r="AA579" s="3"/>
      <c r="AB579" s="3"/>
      <c r="AC579" s="3"/>
      <c r="AD579" s="3"/>
      <c r="AE579" s="3"/>
      <c r="AF579" s="3"/>
    </row>
    <row r="580" ht="15.75" customHeight="1">
      <c r="J580" s="15"/>
      <c r="K580" s="188"/>
      <c r="L580" s="15"/>
      <c r="M580" s="15"/>
      <c r="N580" s="15"/>
      <c r="O580" s="15"/>
      <c r="P580" s="15"/>
      <c r="Q580" s="15"/>
      <c r="R580" s="15"/>
      <c r="S580" s="15"/>
      <c r="T580" s="15"/>
      <c r="U580" s="15"/>
      <c r="V580" s="15"/>
      <c r="W580" s="15"/>
      <c r="X580" s="14"/>
      <c r="Y580" s="14"/>
      <c r="Z580" s="15"/>
      <c r="AA580" s="3"/>
      <c r="AB580" s="3"/>
      <c r="AC580" s="3"/>
      <c r="AD580" s="3"/>
      <c r="AE580" s="3"/>
      <c r="AF580" s="3"/>
    </row>
    <row r="581" ht="15.75" customHeight="1">
      <c r="J581" s="15"/>
      <c r="K581" s="188"/>
      <c r="L581" s="15"/>
      <c r="M581" s="15"/>
      <c r="N581" s="15"/>
      <c r="O581" s="15"/>
      <c r="P581" s="15"/>
      <c r="Q581" s="15"/>
      <c r="R581" s="15"/>
      <c r="S581" s="15"/>
      <c r="T581" s="15"/>
      <c r="U581" s="15"/>
      <c r="V581" s="15"/>
      <c r="W581" s="15"/>
      <c r="X581" s="14"/>
      <c r="Y581" s="14"/>
      <c r="Z581" s="15"/>
      <c r="AA581" s="3"/>
      <c r="AB581" s="3"/>
      <c r="AC581" s="3"/>
      <c r="AD581" s="3"/>
      <c r="AE581" s="3"/>
      <c r="AF581" s="3"/>
    </row>
    <row r="582" ht="15.75" customHeight="1">
      <c r="J582" s="15"/>
      <c r="K582" s="188"/>
      <c r="L582" s="15"/>
      <c r="M582" s="15"/>
      <c r="N582" s="15"/>
      <c r="O582" s="15"/>
      <c r="P582" s="15"/>
      <c r="Q582" s="15"/>
      <c r="R582" s="15"/>
      <c r="S582" s="15"/>
      <c r="T582" s="15"/>
      <c r="U582" s="15"/>
      <c r="V582" s="15"/>
      <c r="W582" s="15"/>
      <c r="X582" s="14"/>
      <c r="Y582" s="14"/>
      <c r="Z582" s="15"/>
      <c r="AA582" s="3"/>
      <c r="AB582" s="3"/>
      <c r="AC582" s="3"/>
      <c r="AD582" s="3"/>
      <c r="AE582" s="3"/>
      <c r="AF582" s="3"/>
    </row>
    <row r="583" ht="15.75" customHeight="1">
      <c r="J583" s="15"/>
      <c r="K583" s="188"/>
      <c r="L583" s="15"/>
      <c r="M583" s="15"/>
      <c r="N583" s="15"/>
      <c r="O583" s="15"/>
      <c r="P583" s="15"/>
      <c r="Q583" s="15"/>
      <c r="R583" s="15"/>
      <c r="S583" s="15"/>
      <c r="T583" s="15"/>
      <c r="U583" s="15"/>
      <c r="V583" s="15"/>
      <c r="W583" s="15"/>
      <c r="X583" s="14"/>
      <c r="Y583" s="14"/>
      <c r="Z583" s="15"/>
      <c r="AA583" s="3"/>
      <c r="AB583" s="3"/>
      <c r="AC583" s="3"/>
      <c r="AD583" s="3"/>
      <c r="AE583" s="3"/>
      <c r="AF583" s="3"/>
    </row>
    <row r="584" ht="15.75" customHeight="1">
      <c r="J584" s="15"/>
      <c r="K584" s="188"/>
      <c r="L584" s="15"/>
      <c r="M584" s="15"/>
      <c r="N584" s="15"/>
      <c r="O584" s="15"/>
      <c r="P584" s="15"/>
      <c r="Q584" s="15"/>
      <c r="R584" s="15"/>
      <c r="S584" s="15"/>
      <c r="T584" s="15"/>
      <c r="U584" s="15"/>
      <c r="V584" s="15"/>
      <c r="W584" s="15"/>
      <c r="X584" s="14"/>
      <c r="Y584" s="14"/>
      <c r="Z584" s="15"/>
      <c r="AA584" s="3"/>
      <c r="AB584" s="3"/>
      <c r="AC584" s="3"/>
      <c r="AD584" s="3"/>
      <c r="AE584" s="3"/>
      <c r="AF584" s="3"/>
    </row>
    <row r="585" ht="15.75" customHeight="1">
      <c r="J585" s="15"/>
      <c r="K585" s="188"/>
      <c r="L585" s="15"/>
      <c r="M585" s="15"/>
      <c r="N585" s="15"/>
      <c r="O585" s="15"/>
      <c r="P585" s="15"/>
      <c r="Q585" s="15"/>
      <c r="R585" s="15"/>
      <c r="S585" s="15"/>
      <c r="T585" s="15"/>
      <c r="U585" s="15"/>
      <c r="V585" s="15"/>
      <c r="W585" s="15"/>
      <c r="X585" s="14"/>
      <c r="Y585" s="14"/>
      <c r="Z585" s="15"/>
      <c r="AA585" s="3"/>
      <c r="AB585" s="3"/>
      <c r="AC585" s="3"/>
      <c r="AD585" s="3"/>
      <c r="AE585" s="3"/>
      <c r="AF585" s="3"/>
    </row>
    <row r="586" ht="15.75" customHeight="1">
      <c r="J586" s="15"/>
      <c r="K586" s="188"/>
      <c r="L586" s="15"/>
      <c r="M586" s="15"/>
      <c r="N586" s="15"/>
      <c r="O586" s="15"/>
      <c r="P586" s="15"/>
      <c r="Q586" s="15"/>
      <c r="R586" s="15"/>
      <c r="S586" s="15"/>
      <c r="T586" s="15"/>
      <c r="U586" s="15"/>
      <c r="V586" s="15"/>
      <c r="W586" s="15"/>
      <c r="X586" s="14"/>
      <c r="Y586" s="14"/>
      <c r="Z586" s="15"/>
      <c r="AA586" s="3"/>
      <c r="AB586" s="3"/>
      <c r="AC586" s="3"/>
      <c r="AD586" s="3"/>
      <c r="AE586" s="3"/>
      <c r="AF586" s="3"/>
    </row>
    <row r="587" ht="15.75" customHeight="1">
      <c r="J587" s="15"/>
      <c r="K587" s="188"/>
      <c r="L587" s="15"/>
      <c r="M587" s="15"/>
      <c r="N587" s="15"/>
      <c r="O587" s="15"/>
      <c r="P587" s="15"/>
      <c r="Q587" s="15"/>
      <c r="R587" s="15"/>
      <c r="S587" s="15"/>
      <c r="T587" s="15"/>
      <c r="U587" s="15"/>
      <c r="V587" s="15"/>
      <c r="W587" s="15"/>
      <c r="X587" s="14"/>
      <c r="Y587" s="14"/>
      <c r="Z587" s="15"/>
      <c r="AA587" s="3"/>
      <c r="AB587" s="3"/>
      <c r="AC587" s="3"/>
      <c r="AD587" s="3"/>
      <c r="AE587" s="3"/>
      <c r="AF587" s="3"/>
    </row>
    <row r="588" ht="15.75" customHeight="1">
      <c r="J588" s="15"/>
      <c r="K588" s="188"/>
      <c r="L588" s="15"/>
      <c r="M588" s="15"/>
      <c r="N588" s="15"/>
      <c r="O588" s="15"/>
      <c r="P588" s="15"/>
      <c r="Q588" s="15"/>
      <c r="R588" s="15"/>
      <c r="S588" s="15"/>
      <c r="T588" s="15"/>
      <c r="U588" s="15"/>
      <c r="V588" s="15"/>
      <c r="W588" s="15"/>
      <c r="X588" s="14"/>
      <c r="Y588" s="14"/>
      <c r="Z588" s="15"/>
      <c r="AA588" s="3"/>
      <c r="AB588" s="3"/>
      <c r="AC588" s="3"/>
      <c r="AD588" s="3"/>
      <c r="AE588" s="3"/>
      <c r="AF588" s="3"/>
    </row>
    <row r="589" ht="15.75" customHeight="1">
      <c r="J589" s="15"/>
      <c r="K589" s="188"/>
      <c r="L589" s="15"/>
      <c r="M589" s="15"/>
      <c r="N589" s="15"/>
      <c r="O589" s="15"/>
      <c r="P589" s="15"/>
      <c r="Q589" s="15"/>
      <c r="R589" s="15"/>
      <c r="S589" s="15"/>
      <c r="T589" s="15"/>
      <c r="U589" s="15"/>
      <c r="V589" s="15"/>
      <c r="W589" s="15"/>
      <c r="X589" s="14"/>
      <c r="Y589" s="14"/>
      <c r="Z589" s="15"/>
      <c r="AA589" s="3"/>
      <c r="AB589" s="3"/>
      <c r="AC589" s="3"/>
      <c r="AD589" s="3"/>
      <c r="AE589" s="3"/>
      <c r="AF589" s="3"/>
    </row>
    <row r="590" ht="15.75" customHeight="1">
      <c r="J590" s="15"/>
      <c r="K590" s="188"/>
      <c r="L590" s="15"/>
      <c r="M590" s="15"/>
      <c r="N590" s="15"/>
      <c r="O590" s="15"/>
      <c r="P590" s="15"/>
      <c r="Q590" s="15"/>
      <c r="R590" s="15"/>
      <c r="S590" s="15"/>
      <c r="T590" s="15"/>
      <c r="U590" s="15"/>
      <c r="V590" s="15"/>
      <c r="W590" s="15"/>
      <c r="X590" s="14"/>
      <c r="Y590" s="14"/>
      <c r="Z590" s="15"/>
      <c r="AA590" s="3"/>
      <c r="AB590" s="3"/>
      <c r="AC590" s="3"/>
      <c r="AD590" s="3"/>
      <c r="AE590" s="3"/>
      <c r="AF590" s="3"/>
    </row>
    <row r="591" ht="15.75" customHeight="1">
      <c r="J591" s="15"/>
      <c r="K591" s="188"/>
      <c r="L591" s="15"/>
      <c r="M591" s="15"/>
      <c r="N591" s="15"/>
      <c r="O591" s="15"/>
      <c r="P591" s="15"/>
      <c r="Q591" s="15"/>
      <c r="R591" s="15"/>
      <c r="S591" s="15"/>
      <c r="T591" s="15"/>
      <c r="U591" s="15"/>
      <c r="V591" s="15"/>
      <c r="W591" s="15"/>
      <c r="X591" s="14"/>
      <c r="Y591" s="14"/>
      <c r="Z591" s="15"/>
      <c r="AA591" s="3"/>
      <c r="AB591" s="3"/>
      <c r="AC591" s="3"/>
      <c r="AD591" s="3"/>
      <c r="AE591" s="3"/>
      <c r="AF591" s="3"/>
    </row>
    <row r="592" ht="15.75" customHeight="1">
      <c r="J592" s="15"/>
      <c r="K592" s="188"/>
      <c r="L592" s="15"/>
      <c r="M592" s="15"/>
      <c r="N592" s="15"/>
      <c r="O592" s="15"/>
      <c r="P592" s="15"/>
      <c r="Q592" s="15"/>
      <c r="R592" s="15"/>
      <c r="S592" s="15"/>
      <c r="T592" s="15"/>
      <c r="U592" s="15"/>
      <c r="V592" s="15"/>
      <c r="W592" s="15"/>
      <c r="X592" s="14"/>
      <c r="Y592" s="14"/>
      <c r="Z592" s="15"/>
      <c r="AA592" s="3"/>
      <c r="AB592" s="3"/>
      <c r="AC592" s="3"/>
      <c r="AD592" s="3"/>
      <c r="AE592" s="3"/>
      <c r="AF592" s="3"/>
    </row>
    <row r="593" ht="15.75" customHeight="1">
      <c r="J593" s="15"/>
      <c r="K593" s="188"/>
      <c r="L593" s="15"/>
      <c r="M593" s="15"/>
      <c r="N593" s="15"/>
      <c r="O593" s="15"/>
      <c r="P593" s="15"/>
      <c r="Q593" s="15"/>
      <c r="R593" s="15"/>
      <c r="S593" s="15"/>
      <c r="T593" s="15"/>
      <c r="U593" s="15"/>
      <c r="V593" s="15"/>
      <c r="W593" s="15"/>
      <c r="X593" s="14"/>
      <c r="Y593" s="14"/>
      <c r="Z593" s="15"/>
      <c r="AA593" s="3"/>
      <c r="AB593" s="3"/>
      <c r="AC593" s="3"/>
      <c r="AD593" s="3"/>
      <c r="AE593" s="3"/>
      <c r="AF593" s="3"/>
    </row>
    <row r="594" ht="15.75" customHeight="1">
      <c r="J594" s="15"/>
      <c r="K594" s="188"/>
      <c r="L594" s="15"/>
      <c r="M594" s="15"/>
      <c r="N594" s="15"/>
      <c r="O594" s="15"/>
      <c r="P594" s="15"/>
      <c r="Q594" s="15"/>
      <c r="R594" s="15"/>
      <c r="S594" s="15"/>
      <c r="T594" s="15"/>
      <c r="U594" s="15"/>
      <c r="V594" s="15"/>
      <c r="W594" s="15"/>
      <c r="X594" s="14"/>
      <c r="Y594" s="14"/>
      <c r="Z594" s="15"/>
      <c r="AA594" s="3"/>
      <c r="AB594" s="3"/>
      <c r="AC594" s="3"/>
      <c r="AD594" s="3"/>
      <c r="AE594" s="3"/>
      <c r="AF594" s="3"/>
    </row>
    <row r="595" ht="15.75" customHeight="1">
      <c r="J595" s="15"/>
      <c r="K595" s="188"/>
      <c r="L595" s="15"/>
      <c r="M595" s="15"/>
      <c r="N595" s="15"/>
      <c r="O595" s="15"/>
      <c r="P595" s="15"/>
      <c r="Q595" s="15"/>
      <c r="R595" s="15"/>
      <c r="S595" s="15"/>
      <c r="T595" s="15"/>
      <c r="U595" s="15"/>
      <c r="V595" s="15"/>
      <c r="W595" s="15"/>
      <c r="X595" s="14"/>
      <c r="Y595" s="14"/>
      <c r="Z595" s="15"/>
      <c r="AA595" s="3"/>
      <c r="AB595" s="3"/>
      <c r="AC595" s="3"/>
      <c r="AD595" s="3"/>
      <c r="AE595" s="3"/>
      <c r="AF595" s="3"/>
    </row>
    <row r="596" ht="15.75" customHeight="1">
      <c r="J596" s="15"/>
      <c r="K596" s="188"/>
      <c r="L596" s="15"/>
      <c r="M596" s="15"/>
      <c r="N596" s="15"/>
      <c r="O596" s="15"/>
      <c r="P596" s="15"/>
      <c r="Q596" s="15"/>
      <c r="R596" s="15"/>
      <c r="S596" s="15"/>
      <c r="T596" s="15"/>
      <c r="U596" s="15"/>
      <c r="V596" s="15"/>
      <c r="W596" s="15"/>
      <c r="X596" s="14"/>
      <c r="Y596" s="14"/>
      <c r="Z596" s="15"/>
      <c r="AA596" s="3"/>
      <c r="AB596" s="3"/>
      <c r="AC596" s="3"/>
      <c r="AD596" s="3"/>
      <c r="AE596" s="3"/>
      <c r="AF596" s="3"/>
    </row>
    <row r="597" ht="15.75" customHeight="1">
      <c r="J597" s="15"/>
      <c r="K597" s="188"/>
      <c r="L597" s="15"/>
      <c r="M597" s="15"/>
      <c r="N597" s="15"/>
      <c r="O597" s="15"/>
      <c r="P597" s="15"/>
      <c r="Q597" s="15"/>
      <c r="R597" s="15"/>
      <c r="S597" s="15"/>
      <c r="T597" s="15"/>
      <c r="U597" s="15"/>
      <c r="V597" s="15"/>
      <c r="W597" s="15"/>
      <c r="X597" s="14"/>
      <c r="Y597" s="14"/>
      <c r="Z597" s="15"/>
      <c r="AA597" s="3"/>
      <c r="AB597" s="3"/>
      <c r="AC597" s="3"/>
      <c r="AD597" s="3"/>
      <c r="AE597" s="3"/>
      <c r="AF597" s="3"/>
    </row>
    <row r="598" ht="15.75" customHeight="1">
      <c r="J598" s="15"/>
      <c r="K598" s="188"/>
      <c r="L598" s="15"/>
      <c r="M598" s="15"/>
      <c r="N598" s="15"/>
      <c r="O598" s="15"/>
      <c r="P598" s="15"/>
      <c r="Q598" s="15"/>
      <c r="R598" s="15"/>
      <c r="S598" s="15"/>
      <c r="T598" s="15"/>
      <c r="U598" s="15"/>
      <c r="V598" s="15"/>
      <c r="W598" s="15"/>
      <c r="X598" s="14"/>
      <c r="Y598" s="14"/>
      <c r="Z598" s="15"/>
      <c r="AA598" s="3"/>
      <c r="AB598" s="3"/>
      <c r="AC598" s="3"/>
      <c r="AD598" s="3"/>
      <c r="AE598" s="3"/>
      <c r="AF598" s="3"/>
    </row>
    <row r="599" ht="15.75" customHeight="1">
      <c r="J599" s="15"/>
      <c r="K599" s="188"/>
      <c r="L599" s="15"/>
      <c r="M599" s="15"/>
      <c r="N599" s="15"/>
      <c r="O599" s="15"/>
      <c r="P599" s="15"/>
      <c r="Q599" s="15"/>
      <c r="R599" s="15"/>
      <c r="S599" s="15"/>
      <c r="T599" s="15"/>
      <c r="U599" s="15"/>
      <c r="V599" s="15"/>
      <c r="W599" s="15"/>
      <c r="X599" s="14"/>
      <c r="Y599" s="14"/>
      <c r="Z599" s="15"/>
      <c r="AA599" s="3"/>
      <c r="AB599" s="3"/>
      <c r="AC599" s="3"/>
      <c r="AD599" s="3"/>
      <c r="AE599" s="3"/>
      <c r="AF599" s="3"/>
    </row>
    <row r="600" ht="15.75" customHeight="1">
      <c r="J600" s="15"/>
      <c r="K600" s="188"/>
      <c r="L600" s="15"/>
      <c r="M600" s="15"/>
      <c r="N600" s="15"/>
      <c r="O600" s="15"/>
      <c r="P600" s="15"/>
      <c r="Q600" s="15"/>
      <c r="R600" s="15"/>
      <c r="S600" s="15"/>
      <c r="T600" s="15"/>
      <c r="U600" s="15"/>
      <c r="V600" s="15"/>
      <c r="W600" s="15"/>
      <c r="X600" s="14"/>
      <c r="Y600" s="14"/>
      <c r="Z600" s="15"/>
      <c r="AA600" s="3"/>
      <c r="AB600" s="3"/>
      <c r="AC600" s="3"/>
      <c r="AD600" s="3"/>
      <c r="AE600" s="3"/>
      <c r="AF600" s="3"/>
    </row>
    <row r="601" ht="15.75" customHeight="1">
      <c r="J601" s="15"/>
      <c r="K601" s="188"/>
      <c r="L601" s="15"/>
      <c r="M601" s="15"/>
      <c r="N601" s="15"/>
      <c r="O601" s="15"/>
      <c r="P601" s="15"/>
      <c r="Q601" s="15"/>
      <c r="R601" s="15"/>
      <c r="S601" s="15"/>
      <c r="T601" s="15"/>
      <c r="U601" s="15"/>
      <c r="V601" s="15"/>
      <c r="W601" s="15"/>
      <c r="X601" s="14"/>
      <c r="Y601" s="14"/>
      <c r="Z601" s="15"/>
      <c r="AA601" s="3"/>
      <c r="AB601" s="3"/>
      <c r="AC601" s="3"/>
      <c r="AD601" s="3"/>
      <c r="AE601" s="3"/>
      <c r="AF601" s="3"/>
    </row>
    <row r="602" ht="15.75" customHeight="1">
      <c r="J602" s="15"/>
      <c r="K602" s="188"/>
      <c r="L602" s="15"/>
      <c r="M602" s="15"/>
      <c r="N602" s="15"/>
      <c r="O602" s="15"/>
      <c r="P602" s="15"/>
      <c r="Q602" s="15"/>
      <c r="R602" s="15"/>
      <c r="S602" s="15"/>
      <c r="T602" s="15"/>
      <c r="U602" s="15"/>
      <c r="V602" s="15"/>
      <c r="W602" s="15"/>
      <c r="X602" s="14"/>
      <c r="Y602" s="14"/>
      <c r="Z602" s="15"/>
      <c r="AA602" s="3"/>
      <c r="AB602" s="3"/>
      <c r="AC602" s="3"/>
      <c r="AD602" s="3"/>
      <c r="AE602" s="3"/>
      <c r="AF602" s="3"/>
    </row>
    <row r="603" ht="15.75" customHeight="1">
      <c r="J603" s="15"/>
      <c r="K603" s="188"/>
      <c r="L603" s="15"/>
      <c r="M603" s="15"/>
      <c r="N603" s="15"/>
      <c r="O603" s="15"/>
      <c r="P603" s="15"/>
      <c r="Q603" s="15"/>
      <c r="R603" s="15"/>
      <c r="S603" s="15"/>
      <c r="T603" s="15"/>
      <c r="U603" s="15"/>
      <c r="V603" s="15"/>
      <c r="W603" s="15"/>
      <c r="X603" s="14"/>
      <c r="Y603" s="14"/>
      <c r="Z603" s="15"/>
      <c r="AA603" s="3"/>
      <c r="AB603" s="3"/>
      <c r="AC603" s="3"/>
      <c r="AD603" s="3"/>
      <c r="AE603" s="3"/>
      <c r="AF603" s="3"/>
    </row>
    <row r="604" ht="15.75" customHeight="1">
      <c r="J604" s="15"/>
      <c r="K604" s="188"/>
      <c r="L604" s="15"/>
      <c r="M604" s="15"/>
      <c r="N604" s="15"/>
      <c r="O604" s="15"/>
      <c r="P604" s="15"/>
      <c r="Q604" s="15"/>
      <c r="R604" s="15"/>
      <c r="S604" s="15"/>
      <c r="T604" s="15"/>
      <c r="U604" s="15"/>
      <c r="V604" s="15"/>
      <c r="W604" s="15"/>
      <c r="X604" s="14"/>
      <c r="Y604" s="14"/>
      <c r="Z604" s="15"/>
      <c r="AA604" s="3"/>
      <c r="AB604" s="3"/>
      <c r="AC604" s="3"/>
      <c r="AD604" s="3"/>
      <c r="AE604" s="3"/>
      <c r="AF604" s="3"/>
    </row>
    <row r="605" ht="15.75" customHeight="1">
      <c r="J605" s="15"/>
      <c r="K605" s="188"/>
      <c r="L605" s="15"/>
      <c r="M605" s="15"/>
      <c r="N605" s="15"/>
      <c r="O605" s="15"/>
      <c r="P605" s="15"/>
      <c r="Q605" s="15"/>
      <c r="R605" s="15"/>
      <c r="S605" s="15"/>
      <c r="T605" s="15"/>
      <c r="U605" s="15"/>
      <c r="V605" s="15"/>
      <c r="W605" s="15"/>
      <c r="X605" s="14"/>
      <c r="Y605" s="14"/>
      <c r="Z605" s="15"/>
      <c r="AA605" s="3"/>
      <c r="AB605" s="3"/>
      <c r="AC605" s="3"/>
      <c r="AD605" s="3"/>
      <c r="AE605" s="3"/>
      <c r="AF605" s="3"/>
    </row>
    <row r="606" ht="15.75" customHeight="1">
      <c r="J606" s="15"/>
      <c r="K606" s="188"/>
      <c r="L606" s="15"/>
      <c r="M606" s="15"/>
      <c r="N606" s="15"/>
      <c r="O606" s="15"/>
      <c r="P606" s="15"/>
      <c r="Q606" s="15"/>
      <c r="R606" s="15"/>
      <c r="S606" s="15"/>
      <c r="T606" s="15"/>
      <c r="U606" s="15"/>
      <c r="V606" s="15"/>
      <c r="W606" s="15"/>
      <c r="X606" s="14"/>
      <c r="Y606" s="14"/>
      <c r="Z606" s="15"/>
      <c r="AA606" s="3"/>
      <c r="AB606" s="3"/>
      <c r="AC606" s="3"/>
      <c r="AD606" s="3"/>
      <c r="AE606" s="3"/>
      <c r="AF606" s="3"/>
    </row>
    <row r="607" ht="15.75" customHeight="1">
      <c r="J607" s="15"/>
      <c r="K607" s="188"/>
      <c r="L607" s="15"/>
      <c r="M607" s="15"/>
      <c r="N607" s="15"/>
      <c r="O607" s="15"/>
      <c r="P607" s="15"/>
      <c r="Q607" s="15"/>
      <c r="R607" s="15"/>
      <c r="S607" s="15"/>
      <c r="T607" s="15"/>
      <c r="U607" s="15"/>
      <c r="V607" s="15"/>
      <c r="W607" s="15"/>
      <c r="X607" s="14"/>
      <c r="Y607" s="14"/>
      <c r="Z607" s="15"/>
      <c r="AA607" s="3"/>
      <c r="AB607" s="3"/>
      <c r="AC607" s="3"/>
      <c r="AD607" s="3"/>
      <c r="AE607" s="3"/>
      <c r="AF607" s="3"/>
    </row>
    <row r="608" ht="15.75" customHeight="1">
      <c r="J608" s="15"/>
      <c r="K608" s="188"/>
      <c r="L608" s="15"/>
      <c r="M608" s="15"/>
      <c r="N608" s="15"/>
      <c r="O608" s="15"/>
      <c r="P608" s="15"/>
      <c r="Q608" s="15"/>
      <c r="R608" s="15"/>
      <c r="S608" s="15"/>
      <c r="T608" s="15"/>
      <c r="U608" s="15"/>
      <c r="V608" s="15"/>
      <c r="W608" s="15"/>
      <c r="X608" s="14"/>
      <c r="Y608" s="14"/>
      <c r="Z608" s="15"/>
      <c r="AA608" s="3"/>
      <c r="AB608" s="3"/>
      <c r="AC608" s="3"/>
      <c r="AD608" s="3"/>
      <c r="AE608" s="3"/>
      <c r="AF608" s="3"/>
    </row>
    <row r="609" ht="15.75" customHeight="1">
      <c r="J609" s="15"/>
      <c r="K609" s="188"/>
      <c r="L609" s="15"/>
      <c r="M609" s="15"/>
      <c r="N609" s="15"/>
      <c r="O609" s="15"/>
      <c r="P609" s="15"/>
      <c r="Q609" s="15"/>
      <c r="R609" s="15"/>
      <c r="S609" s="15"/>
      <c r="T609" s="15"/>
      <c r="U609" s="15"/>
      <c r="V609" s="15"/>
      <c r="W609" s="15"/>
      <c r="X609" s="14"/>
      <c r="Y609" s="14"/>
      <c r="Z609" s="15"/>
      <c r="AA609" s="3"/>
      <c r="AB609" s="3"/>
      <c r="AC609" s="3"/>
      <c r="AD609" s="3"/>
      <c r="AE609" s="3"/>
      <c r="AF609" s="3"/>
    </row>
    <row r="610" ht="15.75" customHeight="1">
      <c r="J610" s="15"/>
      <c r="K610" s="188"/>
      <c r="L610" s="15"/>
      <c r="M610" s="15"/>
      <c r="N610" s="15"/>
      <c r="O610" s="15"/>
      <c r="P610" s="15"/>
      <c r="Q610" s="15"/>
      <c r="R610" s="15"/>
      <c r="S610" s="15"/>
      <c r="T610" s="15"/>
      <c r="U610" s="15"/>
      <c r="V610" s="15"/>
      <c r="W610" s="15"/>
      <c r="X610" s="14"/>
      <c r="Y610" s="14"/>
      <c r="Z610" s="15"/>
      <c r="AA610" s="3"/>
      <c r="AB610" s="3"/>
      <c r="AC610" s="3"/>
      <c r="AD610" s="3"/>
      <c r="AE610" s="3"/>
      <c r="AF610" s="3"/>
    </row>
    <row r="611" ht="15.75" customHeight="1">
      <c r="J611" s="15"/>
      <c r="K611" s="188"/>
      <c r="L611" s="15"/>
      <c r="M611" s="15"/>
      <c r="N611" s="15"/>
      <c r="O611" s="15"/>
      <c r="P611" s="15"/>
      <c r="Q611" s="15"/>
      <c r="R611" s="15"/>
      <c r="S611" s="15"/>
      <c r="T611" s="15"/>
      <c r="U611" s="15"/>
      <c r="V611" s="15"/>
      <c r="W611" s="15"/>
      <c r="X611" s="14"/>
      <c r="Y611" s="14"/>
      <c r="Z611" s="15"/>
      <c r="AA611" s="3"/>
      <c r="AB611" s="3"/>
      <c r="AC611" s="3"/>
      <c r="AD611" s="3"/>
      <c r="AE611" s="3"/>
      <c r="AF611" s="3"/>
    </row>
    <row r="612" ht="15.75" customHeight="1">
      <c r="J612" s="15"/>
      <c r="K612" s="188"/>
      <c r="L612" s="15"/>
      <c r="M612" s="15"/>
      <c r="N612" s="15"/>
      <c r="O612" s="15"/>
      <c r="P612" s="15"/>
      <c r="Q612" s="15"/>
      <c r="R612" s="15"/>
      <c r="S612" s="15"/>
      <c r="T612" s="15"/>
      <c r="U612" s="15"/>
      <c r="V612" s="15"/>
      <c r="W612" s="15"/>
      <c r="X612" s="14"/>
      <c r="Y612" s="14"/>
      <c r="Z612" s="15"/>
      <c r="AA612" s="3"/>
      <c r="AB612" s="3"/>
      <c r="AC612" s="3"/>
      <c r="AD612" s="3"/>
      <c r="AE612" s="3"/>
      <c r="AF612" s="3"/>
    </row>
    <row r="613" ht="15.75" customHeight="1">
      <c r="J613" s="15"/>
      <c r="K613" s="188"/>
      <c r="L613" s="15"/>
      <c r="M613" s="15"/>
      <c r="N613" s="15"/>
      <c r="O613" s="15"/>
      <c r="P613" s="15"/>
      <c r="Q613" s="15"/>
      <c r="R613" s="15"/>
      <c r="S613" s="15"/>
      <c r="T613" s="15"/>
      <c r="U613" s="15"/>
      <c r="V613" s="15"/>
      <c r="W613" s="15"/>
      <c r="X613" s="14"/>
      <c r="Y613" s="14"/>
      <c r="Z613" s="15"/>
      <c r="AA613" s="3"/>
      <c r="AB613" s="3"/>
      <c r="AC613" s="3"/>
      <c r="AD613" s="3"/>
      <c r="AE613" s="3"/>
      <c r="AF613" s="3"/>
    </row>
    <row r="614" ht="15.75" customHeight="1">
      <c r="J614" s="15"/>
      <c r="K614" s="188"/>
      <c r="L614" s="15"/>
      <c r="M614" s="15"/>
      <c r="N614" s="15"/>
      <c r="O614" s="15"/>
      <c r="P614" s="15"/>
      <c r="Q614" s="15"/>
      <c r="R614" s="15"/>
      <c r="S614" s="15"/>
      <c r="T614" s="15"/>
      <c r="U614" s="15"/>
      <c r="V614" s="15"/>
      <c r="W614" s="15"/>
      <c r="X614" s="14"/>
      <c r="Y614" s="14"/>
      <c r="Z614" s="15"/>
      <c r="AA614" s="3"/>
      <c r="AB614" s="3"/>
      <c r="AC614" s="3"/>
      <c r="AD614" s="3"/>
      <c r="AE614" s="3"/>
      <c r="AF614" s="3"/>
    </row>
    <row r="615" ht="15.75" customHeight="1">
      <c r="J615" s="15"/>
      <c r="K615" s="188"/>
      <c r="L615" s="15"/>
      <c r="M615" s="15"/>
      <c r="N615" s="15"/>
      <c r="O615" s="15"/>
      <c r="P615" s="15"/>
      <c r="Q615" s="15"/>
      <c r="R615" s="15"/>
      <c r="S615" s="15"/>
      <c r="T615" s="15"/>
      <c r="U615" s="15"/>
      <c r="V615" s="15"/>
      <c r="W615" s="15"/>
      <c r="X615" s="14"/>
      <c r="Y615" s="14"/>
      <c r="Z615" s="15"/>
      <c r="AA615" s="3"/>
      <c r="AB615" s="3"/>
      <c r="AC615" s="3"/>
      <c r="AD615" s="3"/>
      <c r="AE615" s="3"/>
      <c r="AF615" s="3"/>
    </row>
    <row r="616" ht="15.75" customHeight="1">
      <c r="J616" s="15"/>
      <c r="K616" s="188"/>
      <c r="L616" s="15"/>
      <c r="M616" s="15"/>
      <c r="N616" s="15"/>
      <c r="O616" s="15"/>
      <c r="P616" s="15"/>
      <c r="Q616" s="15"/>
      <c r="R616" s="15"/>
      <c r="S616" s="15"/>
      <c r="T616" s="15"/>
      <c r="U616" s="15"/>
      <c r="V616" s="15"/>
      <c r="W616" s="15"/>
      <c r="X616" s="14"/>
      <c r="Y616" s="14"/>
      <c r="Z616" s="15"/>
      <c r="AA616" s="3"/>
      <c r="AB616" s="3"/>
      <c r="AC616" s="3"/>
      <c r="AD616" s="3"/>
      <c r="AE616" s="3"/>
      <c r="AF616" s="3"/>
    </row>
    <row r="617" ht="15.75" customHeight="1">
      <c r="J617" s="15"/>
      <c r="K617" s="188"/>
      <c r="L617" s="15"/>
      <c r="M617" s="15"/>
      <c r="N617" s="15"/>
      <c r="O617" s="15"/>
      <c r="P617" s="15"/>
      <c r="Q617" s="15"/>
      <c r="R617" s="15"/>
      <c r="S617" s="15"/>
      <c r="T617" s="15"/>
      <c r="U617" s="15"/>
      <c r="V617" s="15"/>
      <c r="W617" s="15"/>
      <c r="X617" s="14"/>
      <c r="Y617" s="14"/>
      <c r="Z617" s="15"/>
      <c r="AA617" s="3"/>
      <c r="AB617" s="3"/>
      <c r="AC617" s="3"/>
      <c r="AD617" s="3"/>
      <c r="AE617" s="3"/>
      <c r="AF617" s="3"/>
    </row>
    <row r="618" ht="15.75" customHeight="1">
      <c r="J618" s="15"/>
      <c r="K618" s="188"/>
      <c r="L618" s="15"/>
      <c r="M618" s="15"/>
      <c r="N618" s="15"/>
      <c r="O618" s="15"/>
      <c r="P618" s="15"/>
      <c r="Q618" s="15"/>
      <c r="R618" s="15"/>
      <c r="S618" s="15"/>
      <c r="T618" s="15"/>
      <c r="U618" s="15"/>
      <c r="V618" s="15"/>
      <c r="W618" s="15"/>
      <c r="X618" s="14"/>
      <c r="Y618" s="14"/>
      <c r="Z618" s="15"/>
      <c r="AA618" s="3"/>
      <c r="AB618" s="3"/>
      <c r="AC618" s="3"/>
      <c r="AD618" s="3"/>
      <c r="AE618" s="3"/>
      <c r="AF618" s="3"/>
    </row>
    <row r="619" ht="15.75" customHeight="1">
      <c r="J619" s="15"/>
      <c r="K619" s="188"/>
      <c r="L619" s="15"/>
      <c r="M619" s="15"/>
      <c r="N619" s="15"/>
      <c r="O619" s="15"/>
      <c r="P619" s="15"/>
      <c r="Q619" s="15"/>
      <c r="R619" s="15"/>
      <c r="S619" s="15"/>
      <c r="T619" s="15"/>
      <c r="U619" s="15"/>
      <c r="V619" s="15"/>
      <c r="W619" s="15"/>
      <c r="X619" s="14"/>
      <c r="Y619" s="14"/>
      <c r="Z619" s="15"/>
      <c r="AA619" s="3"/>
      <c r="AB619" s="3"/>
      <c r="AC619" s="3"/>
      <c r="AD619" s="3"/>
      <c r="AE619" s="3"/>
      <c r="AF619" s="3"/>
    </row>
    <row r="620" ht="15.75" customHeight="1">
      <c r="J620" s="15"/>
      <c r="K620" s="188"/>
      <c r="L620" s="15"/>
      <c r="M620" s="15"/>
      <c r="N620" s="15"/>
      <c r="O620" s="15"/>
      <c r="P620" s="15"/>
      <c r="Q620" s="15"/>
      <c r="R620" s="15"/>
      <c r="S620" s="15"/>
      <c r="T620" s="15"/>
      <c r="U620" s="15"/>
      <c r="V620" s="15"/>
      <c r="W620" s="15"/>
      <c r="X620" s="14"/>
      <c r="Y620" s="14"/>
      <c r="Z620" s="15"/>
      <c r="AA620" s="3"/>
      <c r="AB620" s="3"/>
      <c r="AC620" s="3"/>
      <c r="AD620" s="3"/>
      <c r="AE620" s="3"/>
      <c r="AF620" s="3"/>
    </row>
    <row r="621" ht="15.75" customHeight="1">
      <c r="J621" s="15"/>
      <c r="K621" s="188"/>
      <c r="L621" s="15"/>
      <c r="M621" s="15"/>
      <c r="N621" s="15"/>
      <c r="O621" s="15"/>
      <c r="P621" s="15"/>
      <c r="Q621" s="15"/>
      <c r="R621" s="15"/>
      <c r="S621" s="15"/>
      <c r="T621" s="15"/>
      <c r="U621" s="15"/>
      <c r="V621" s="15"/>
      <c r="W621" s="15"/>
      <c r="X621" s="14"/>
      <c r="Y621" s="14"/>
      <c r="Z621" s="15"/>
      <c r="AA621" s="3"/>
      <c r="AB621" s="3"/>
      <c r="AC621" s="3"/>
      <c r="AD621" s="3"/>
      <c r="AE621" s="3"/>
      <c r="AF621" s="3"/>
    </row>
    <row r="622" ht="15.75" customHeight="1">
      <c r="J622" s="15"/>
      <c r="K622" s="188"/>
      <c r="L622" s="15"/>
      <c r="M622" s="15"/>
      <c r="N622" s="15"/>
      <c r="O622" s="15"/>
      <c r="P622" s="15"/>
      <c r="Q622" s="15"/>
      <c r="R622" s="15"/>
      <c r="S622" s="15"/>
      <c r="T622" s="15"/>
      <c r="U622" s="15"/>
      <c r="V622" s="15"/>
      <c r="W622" s="15"/>
      <c r="X622" s="14"/>
      <c r="Y622" s="14"/>
      <c r="Z622" s="15"/>
      <c r="AA622" s="3"/>
      <c r="AB622" s="3"/>
      <c r="AC622" s="3"/>
      <c r="AD622" s="3"/>
      <c r="AE622" s="3"/>
      <c r="AF622" s="3"/>
    </row>
    <row r="623" ht="15.75" customHeight="1">
      <c r="J623" s="15"/>
      <c r="K623" s="188"/>
      <c r="L623" s="15"/>
      <c r="M623" s="15"/>
      <c r="N623" s="15"/>
      <c r="O623" s="15"/>
      <c r="P623" s="15"/>
      <c r="Q623" s="15"/>
      <c r="R623" s="15"/>
      <c r="S623" s="15"/>
      <c r="T623" s="15"/>
      <c r="U623" s="15"/>
      <c r="V623" s="15"/>
      <c r="W623" s="15"/>
      <c r="X623" s="14"/>
      <c r="Y623" s="14"/>
      <c r="Z623" s="15"/>
      <c r="AA623" s="3"/>
      <c r="AB623" s="3"/>
      <c r="AC623" s="3"/>
      <c r="AD623" s="3"/>
      <c r="AE623" s="3"/>
      <c r="AF623" s="3"/>
    </row>
    <row r="624" ht="15.75" customHeight="1">
      <c r="J624" s="15"/>
      <c r="K624" s="188"/>
      <c r="L624" s="15"/>
      <c r="M624" s="15"/>
      <c r="N624" s="15"/>
      <c r="O624" s="15"/>
      <c r="P624" s="15"/>
      <c r="Q624" s="15"/>
      <c r="R624" s="15"/>
      <c r="S624" s="15"/>
      <c r="T624" s="15"/>
      <c r="U624" s="15"/>
      <c r="V624" s="15"/>
      <c r="W624" s="15"/>
      <c r="X624" s="14"/>
      <c r="Y624" s="14"/>
      <c r="Z624" s="15"/>
      <c r="AA624" s="3"/>
      <c r="AB624" s="3"/>
      <c r="AC624" s="3"/>
      <c r="AD624" s="3"/>
      <c r="AE624" s="3"/>
      <c r="AF624" s="3"/>
    </row>
    <row r="625" ht="15.75" customHeight="1">
      <c r="J625" s="15"/>
      <c r="K625" s="188"/>
      <c r="L625" s="15"/>
      <c r="M625" s="15"/>
      <c r="N625" s="15"/>
      <c r="O625" s="15"/>
      <c r="P625" s="15"/>
      <c r="Q625" s="15"/>
      <c r="R625" s="15"/>
      <c r="S625" s="15"/>
      <c r="T625" s="15"/>
      <c r="U625" s="15"/>
      <c r="V625" s="15"/>
      <c r="W625" s="15"/>
      <c r="X625" s="14"/>
      <c r="Y625" s="14"/>
      <c r="Z625" s="15"/>
      <c r="AA625" s="3"/>
      <c r="AB625" s="3"/>
      <c r="AC625" s="3"/>
      <c r="AD625" s="3"/>
      <c r="AE625" s="3"/>
      <c r="AF625" s="3"/>
    </row>
    <row r="626" ht="15.75" customHeight="1">
      <c r="J626" s="15"/>
      <c r="K626" s="188"/>
      <c r="L626" s="15"/>
      <c r="M626" s="15"/>
      <c r="N626" s="15"/>
      <c r="O626" s="15"/>
      <c r="P626" s="15"/>
      <c r="Q626" s="15"/>
      <c r="R626" s="15"/>
      <c r="S626" s="15"/>
      <c r="T626" s="15"/>
      <c r="U626" s="15"/>
      <c r="V626" s="15"/>
      <c r="W626" s="15"/>
      <c r="X626" s="14"/>
      <c r="Y626" s="14"/>
      <c r="Z626" s="15"/>
      <c r="AA626" s="3"/>
      <c r="AB626" s="3"/>
      <c r="AC626" s="3"/>
      <c r="AD626" s="3"/>
      <c r="AE626" s="3"/>
      <c r="AF626" s="3"/>
    </row>
    <row r="627" ht="15.75" customHeight="1">
      <c r="J627" s="15"/>
      <c r="K627" s="188"/>
      <c r="L627" s="15"/>
      <c r="M627" s="15"/>
      <c r="N627" s="15"/>
      <c r="O627" s="15"/>
      <c r="P627" s="15"/>
      <c r="Q627" s="15"/>
      <c r="R627" s="15"/>
      <c r="S627" s="15"/>
      <c r="T627" s="15"/>
      <c r="U627" s="15"/>
      <c r="V627" s="15"/>
      <c r="W627" s="15"/>
      <c r="X627" s="14"/>
      <c r="Y627" s="14"/>
      <c r="Z627" s="15"/>
      <c r="AA627" s="3"/>
      <c r="AB627" s="3"/>
      <c r="AC627" s="3"/>
      <c r="AD627" s="3"/>
      <c r="AE627" s="3"/>
      <c r="AF627" s="3"/>
    </row>
    <row r="628" ht="15.75" customHeight="1">
      <c r="J628" s="15"/>
      <c r="K628" s="188"/>
      <c r="L628" s="15"/>
      <c r="M628" s="15"/>
      <c r="N628" s="15"/>
      <c r="O628" s="15"/>
      <c r="P628" s="15"/>
      <c r="Q628" s="15"/>
      <c r="R628" s="15"/>
      <c r="S628" s="15"/>
      <c r="T628" s="15"/>
      <c r="U628" s="15"/>
      <c r="V628" s="15"/>
      <c r="W628" s="15"/>
      <c r="X628" s="14"/>
      <c r="Y628" s="14"/>
      <c r="Z628" s="15"/>
      <c r="AA628" s="3"/>
      <c r="AB628" s="3"/>
      <c r="AC628" s="3"/>
      <c r="AD628" s="3"/>
      <c r="AE628" s="3"/>
      <c r="AF628" s="3"/>
    </row>
    <row r="629" ht="15.75" customHeight="1">
      <c r="J629" s="15"/>
      <c r="K629" s="188"/>
      <c r="L629" s="15"/>
      <c r="M629" s="15"/>
      <c r="N629" s="15"/>
      <c r="O629" s="15"/>
      <c r="P629" s="15"/>
      <c r="Q629" s="15"/>
      <c r="R629" s="15"/>
      <c r="S629" s="15"/>
      <c r="T629" s="15"/>
      <c r="U629" s="15"/>
      <c r="V629" s="15"/>
      <c r="W629" s="15"/>
      <c r="X629" s="14"/>
      <c r="Y629" s="14"/>
      <c r="Z629" s="15"/>
      <c r="AA629" s="3"/>
      <c r="AB629" s="3"/>
      <c r="AC629" s="3"/>
      <c r="AD629" s="3"/>
      <c r="AE629" s="3"/>
      <c r="AF629" s="3"/>
    </row>
    <row r="630" ht="15.75" customHeight="1">
      <c r="J630" s="15"/>
      <c r="K630" s="188"/>
      <c r="L630" s="15"/>
      <c r="M630" s="15"/>
      <c r="N630" s="15"/>
      <c r="O630" s="15"/>
      <c r="P630" s="15"/>
      <c r="Q630" s="15"/>
      <c r="R630" s="15"/>
      <c r="S630" s="15"/>
      <c r="T630" s="15"/>
      <c r="U630" s="15"/>
      <c r="V630" s="15"/>
      <c r="W630" s="15"/>
      <c r="X630" s="14"/>
      <c r="Y630" s="14"/>
      <c r="Z630" s="15"/>
      <c r="AA630" s="3"/>
      <c r="AB630" s="3"/>
      <c r="AC630" s="3"/>
      <c r="AD630" s="3"/>
      <c r="AE630" s="3"/>
      <c r="AF630" s="3"/>
    </row>
    <row r="631" ht="15.75" customHeight="1">
      <c r="J631" s="15"/>
      <c r="K631" s="188"/>
      <c r="L631" s="15"/>
      <c r="M631" s="15"/>
      <c r="N631" s="15"/>
      <c r="O631" s="15"/>
      <c r="P631" s="15"/>
      <c r="Q631" s="15"/>
      <c r="R631" s="15"/>
      <c r="S631" s="15"/>
      <c r="T631" s="15"/>
      <c r="U631" s="15"/>
      <c r="V631" s="15"/>
      <c r="W631" s="15"/>
      <c r="X631" s="14"/>
      <c r="Y631" s="14"/>
      <c r="Z631" s="15"/>
      <c r="AA631" s="3"/>
      <c r="AB631" s="3"/>
      <c r="AC631" s="3"/>
      <c r="AD631" s="3"/>
      <c r="AE631" s="3"/>
      <c r="AF631" s="3"/>
    </row>
    <row r="632" ht="15.75" customHeight="1">
      <c r="J632" s="15"/>
      <c r="K632" s="188"/>
      <c r="L632" s="15"/>
      <c r="M632" s="15"/>
      <c r="N632" s="15"/>
      <c r="O632" s="15"/>
      <c r="P632" s="15"/>
      <c r="Q632" s="15"/>
      <c r="R632" s="15"/>
      <c r="S632" s="15"/>
      <c r="T632" s="15"/>
      <c r="U632" s="15"/>
      <c r="V632" s="15"/>
      <c r="W632" s="15"/>
      <c r="X632" s="14"/>
      <c r="Y632" s="14"/>
      <c r="Z632" s="15"/>
      <c r="AA632" s="3"/>
      <c r="AB632" s="3"/>
      <c r="AC632" s="3"/>
      <c r="AD632" s="3"/>
      <c r="AE632" s="3"/>
      <c r="AF632" s="3"/>
    </row>
    <row r="633" ht="15.75" customHeight="1">
      <c r="J633" s="15"/>
      <c r="K633" s="188"/>
      <c r="L633" s="15"/>
      <c r="M633" s="15"/>
      <c r="N633" s="15"/>
      <c r="O633" s="15"/>
      <c r="P633" s="15"/>
      <c r="Q633" s="15"/>
      <c r="R633" s="15"/>
      <c r="S633" s="15"/>
      <c r="T633" s="15"/>
      <c r="U633" s="15"/>
      <c r="V633" s="15"/>
      <c r="W633" s="15"/>
      <c r="X633" s="14"/>
      <c r="Y633" s="14"/>
      <c r="Z633" s="15"/>
      <c r="AA633" s="3"/>
      <c r="AB633" s="3"/>
      <c r="AC633" s="3"/>
      <c r="AD633" s="3"/>
      <c r="AE633" s="3"/>
      <c r="AF633" s="3"/>
    </row>
    <row r="634" ht="15.75" customHeight="1">
      <c r="J634" s="15"/>
      <c r="K634" s="188"/>
      <c r="L634" s="15"/>
      <c r="M634" s="15"/>
      <c r="N634" s="15"/>
      <c r="O634" s="15"/>
      <c r="P634" s="15"/>
      <c r="Q634" s="15"/>
      <c r="R634" s="15"/>
      <c r="S634" s="15"/>
      <c r="T634" s="15"/>
      <c r="U634" s="15"/>
      <c r="V634" s="15"/>
      <c r="W634" s="15"/>
      <c r="X634" s="14"/>
      <c r="Y634" s="14"/>
      <c r="Z634" s="15"/>
      <c r="AA634" s="3"/>
      <c r="AB634" s="3"/>
      <c r="AC634" s="3"/>
      <c r="AD634" s="3"/>
      <c r="AE634" s="3"/>
      <c r="AF634" s="3"/>
    </row>
    <row r="635" ht="15.75" customHeight="1">
      <c r="J635" s="15"/>
      <c r="K635" s="188"/>
      <c r="L635" s="15"/>
      <c r="M635" s="15"/>
      <c r="N635" s="15"/>
      <c r="O635" s="15"/>
      <c r="P635" s="15"/>
      <c r="Q635" s="15"/>
      <c r="R635" s="15"/>
      <c r="S635" s="15"/>
      <c r="T635" s="15"/>
      <c r="U635" s="15"/>
      <c r="V635" s="15"/>
      <c r="W635" s="15"/>
      <c r="X635" s="14"/>
      <c r="Y635" s="14"/>
      <c r="Z635" s="15"/>
      <c r="AA635" s="3"/>
      <c r="AB635" s="3"/>
      <c r="AC635" s="3"/>
      <c r="AD635" s="3"/>
      <c r="AE635" s="3"/>
      <c r="AF635" s="3"/>
    </row>
    <row r="636" ht="15.75" customHeight="1">
      <c r="J636" s="15"/>
      <c r="K636" s="188"/>
      <c r="L636" s="15"/>
      <c r="M636" s="15"/>
      <c r="N636" s="15"/>
      <c r="O636" s="15"/>
      <c r="P636" s="15"/>
      <c r="Q636" s="15"/>
      <c r="R636" s="15"/>
      <c r="S636" s="15"/>
      <c r="T636" s="15"/>
      <c r="U636" s="15"/>
      <c r="V636" s="15"/>
      <c r="W636" s="15"/>
      <c r="X636" s="14"/>
      <c r="Y636" s="14"/>
      <c r="Z636" s="15"/>
      <c r="AA636" s="3"/>
      <c r="AB636" s="3"/>
      <c r="AC636" s="3"/>
      <c r="AD636" s="3"/>
      <c r="AE636" s="3"/>
      <c r="AF636" s="3"/>
    </row>
    <row r="637" ht="15.75" customHeight="1">
      <c r="J637" s="15"/>
      <c r="K637" s="188"/>
      <c r="L637" s="15"/>
      <c r="M637" s="15"/>
      <c r="N637" s="15"/>
      <c r="O637" s="15"/>
      <c r="P637" s="15"/>
      <c r="Q637" s="15"/>
      <c r="R637" s="15"/>
      <c r="S637" s="15"/>
      <c r="T637" s="15"/>
      <c r="U637" s="15"/>
      <c r="V637" s="15"/>
      <c r="W637" s="15"/>
      <c r="X637" s="14"/>
      <c r="Y637" s="14"/>
      <c r="Z637" s="15"/>
      <c r="AA637" s="3"/>
      <c r="AB637" s="3"/>
      <c r="AC637" s="3"/>
      <c r="AD637" s="3"/>
      <c r="AE637" s="3"/>
      <c r="AF637" s="3"/>
    </row>
    <row r="638" ht="15.75" customHeight="1">
      <c r="J638" s="15"/>
      <c r="K638" s="188"/>
      <c r="L638" s="15"/>
      <c r="M638" s="15"/>
      <c r="N638" s="15"/>
      <c r="O638" s="15"/>
      <c r="P638" s="15"/>
      <c r="Q638" s="15"/>
      <c r="R638" s="15"/>
      <c r="S638" s="15"/>
      <c r="T638" s="15"/>
      <c r="U638" s="15"/>
      <c r="V638" s="15"/>
      <c r="W638" s="15"/>
      <c r="X638" s="14"/>
      <c r="Y638" s="14"/>
      <c r="Z638" s="15"/>
      <c r="AA638" s="3"/>
      <c r="AB638" s="3"/>
      <c r="AC638" s="3"/>
      <c r="AD638" s="3"/>
      <c r="AE638" s="3"/>
      <c r="AF638" s="3"/>
    </row>
    <row r="639" ht="15.75" customHeight="1">
      <c r="J639" s="15"/>
      <c r="K639" s="188"/>
      <c r="L639" s="15"/>
      <c r="M639" s="15"/>
      <c r="N639" s="15"/>
      <c r="O639" s="15"/>
      <c r="P639" s="15"/>
      <c r="Q639" s="15"/>
      <c r="R639" s="15"/>
      <c r="S639" s="15"/>
      <c r="T639" s="15"/>
      <c r="U639" s="15"/>
      <c r="V639" s="15"/>
      <c r="W639" s="15"/>
      <c r="X639" s="14"/>
      <c r="Y639" s="14"/>
      <c r="Z639" s="15"/>
      <c r="AA639" s="3"/>
      <c r="AB639" s="3"/>
      <c r="AC639" s="3"/>
      <c r="AD639" s="3"/>
      <c r="AE639" s="3"/>
      <c r="AF639" s="3"/>
    </row>
    <row r="640" ht="15.75" customHeight="1">
      <c r="J640" s="15"/>
      <c r="K640" s="188"/>
      <c r="L640" s="15"/>
      <c r="M640" s="15"/>
      <c r="N640" s="15"/>
      <c r="O640" s="15"/>
      <c r="P640" s="15"/>
      <c r="Q640" s="15"/>
      <c r="R640" s="15"/>
      <c r="S640" s="15"/>
      <c r="T640" s="15"/>
      <c r="U640" s="15"/>
      <c r="V640" s="15"/>
      <c r="W640" s="15"/>
      <c r="X640" s="14"/>
      <c r="Y640" s="14"/>
      <c r="Z640" s="15"/>
      <c r="AA640" s="3"/>
      <c r="AB640" s="3"/>
      <c r="AC640" s="3"/>
      <c r="AD640" s="3"/>
      <c r="AE640" s="3"/>
      <c r="AF640" s="3"/>
    </row>
    <row r="641" ht="15.75" customHeight="1">
      <c r="J641" s="15"/>
      <c r="K641" s="188"/>
      <c r="L641" s="15"/>
      <c r="M641" s="15"/>
      <c r="N641" s="15"/>
      <c r="O641" s="15"/>
      <c r="P641" s="15"/>
      <c r="Q641" s="15"/>
      <c r="R641" s="15"/>
      <c r="S641" s="15"/>
      <c r="T641" s="15"/>
      <c r="U641" s="15"/>
      <c r="V641" s="15"/>
      <c r="W641" s="15"/>
      <c r="X641" s="14"/>
      <c r="Y641" s="14"/>
      <c r="Z641" s="15"/>
      <c r="AA641" s="3"/>
      <c r="AB641" s="3"/>
      <c r="AC641" s="3"/>
      <c r="AD641" s="3"/>
      <c r="AE641" s="3"/>
      <c r="AF641" s="3"/>
    </row>
    <row r="642" ht="15.75" customHeight="1">
      <c r="J642" s="15"/>
      <c r="K642" s="188"/>
      <c r="L642" s="15"/>
      <c r="M642" s="15"/>
      <c r="N642" s="15"/>
      <c r="O642" s="15"/>
      <c r="P642" s="15"/>
      <c r="Q642" s="15"/>
      <c r="R642" s="15"/>
      <c r="S642" s="15"/>
      <c r="T642" s="15"/>
      <c r="U642" s="15"/>
      <c r="V642" s="15"/>
      <c r="W642" s="15"/>
      <c r="X642" s="14"/>
      <c r="Y642" s="14"/>
      <c r="Z642" s="15"/>
      <c r="AA642" s="3"/>
      <c r="AB642" s="3"/>
      <c r="AC642" s="3"/>
      <c r="AD642" s="3"/>
      <c r="AE642" s="3"/>
      <c r="AF642" s="3"/>
    </row>
    <row r="643" ht="15.75" customHeight="1">
      <c r="J643" s="15"/>
      <c r="K643" s="188"/>
      <c r="L643" s="15"/>
      <c r="M643" s="15"/>
      <c r="N643" s="15"/>
      <c r="O643" s="15"/>
      <c r="P643" s="15"/>
      <c r="Q643" s="15"/>
      <c r="R643" s="15"/>
      <c r="S643" s="15"/>
      <c r="T643" s="15"/>
      <c r="U643" s="15"/>
      <c r="V643" s="15"/>
      <c r="W643" s="15"/>
      <c r="X643" s="14"/>
      <c r="Y643" s="14"/>
      <c r="Z643" s="15"/>
      <c r="AA643" s="3"/>
      <c r="AB643" s="3"/>
      <c r="AC643" s="3"/>
      <c r="AD643" s="3"/>
      <c r="AE643" s="3"/>
      <c r="AF643" s="3"/>
    </row>
    <row r="644" ht="15.75" customHeight="1">
      <c r="J644" s="15"/>
      <c r="K644" s="188"/>
      <c r="L644" s="15"/>
      <c r="M644" s="15"/>
      <c r="N644" s="15"/>
      <c r="O644" s="15"/>
      <c r="P644" s="15"/>
      <c r="Q644" s="15"/>
      <c r="R644" s="15"/>
      <c r="S644" s="15"/>
      <c r="T644" s="15"/>
      <c r="U644" s="15"/>
      <c r="V644" s="15"/>
      <c r="W644" s="15"/>
      <c r="X644" s="14"/>
      <c r="Y644" s="14"/>
      <c r="Z644" s="15"/>
      <c r="AA644" s="3"/>
      <c r="AB644" s="3"/>
      <c r="AC644" s="3"/>
      <c r="AD644" s="3"/>
      <c r="AE644" s="3"/>
      <c r="AF644" s="3"/>
    </row>
    <row r="645" ht="15.75" customHeight="1">
      <c r="J645" s="15"/>
      <c r="K645" s="188"/>
      <c r="L645" s="15"/>
      <c r="M645" s="15"/>
      <c r="N645" s="15"/>
      <c r="O645" s="15"/>
      <c r="P645" s="15"/>
      <c r="Q645" s="15"/>
      <c r="R645" s="15"/>
      <c r="S645" s="15"/>
      <c r="T645" s="15"/>
      <c r="U645" s="15"/>
      <c r="V645" s="15"/>
      <c r="W645" s="15"/>
      <c r="X645" s="14"/>
      <c r="Y645" s="14"/>
      <c r="Z645" s="15"/>
      <c r="AA645" s="3"/>
      <c r="AB645" s="3"/>
      <c r="AC645" s="3"/>
      <c r="AD645" s="3"/>
      <c r="AE645" s="3"/>
      <c r="AF645" s="3"/>
    </row>
    <row r="646" ht="15.75" customHeight="1">
      <c r="J646" s="15"/>
      <c r="K646" s="188"/>
      <c r="L646" s="15"/>
      <c r="M646" s="15"/>
      <c r="N646" s="15"/>
      <c r="O646" s="15"/>
      <c r="P646" s="15"/>
      <c r="Q646" s="15"/>
      <c r="R646" s="15"/>
      <c r="S646" s="15"/>
      <c r="T646" s="15"/>
      <c r="U646" s="15"/>
      <c r="V646" s="15"/>
      <c r="W646" s="15"/>
      <c r="X646" s="14"/>
      <c r="Y646" s="14"/>
      <c r="Z646" s="15"/>
      <c r="AA646" s="3"/>
      <c r="AB646" s="3"/>
      <c r="AC646" s="3"/>
      <c r="AD646" s="3"/>
      <c r="AE646" s="3"/>
      <c r="AF646" s="3"/>
    </row>
    <row r="647" ht="15.75" customHeight="1">
      <c r="J647" s="15"/>
      <c r="K647" s="188"/>
      <c r="L647" s="15"/>
      <c r="M647" s="15"/>
      <c r="N647" s="15"/>
      <c r="O647" s="15"/>
      <c r="P647" s="15"/>
      <c r="Q647" s="15"/>
      <c r="R647" s="15"/>
      <c r="S647" s="15"/>
      <c r="T647" s="15"/>
      <c r="U647" s="15"/>
      <c r="V647" s="15"/>
      <c r="W647" s="15"/>
      <c r="X647" s="14"/>
      <c r="Y647" s="14"/>
      <c r="Z647" s="15"/>
      <c r="AA647" s="3"/>
      <c r="AB647" s="3"/>
      <c r="AC647" s="3"/>
      <c r="AD647" s="3"/>
      <c r="AE647" s="3"/>
      <c r="AF647" s="3"/>
    </row>
    <row r="648" ht="15.75" customHeight="1">
      <c r="J648" s="15"/>
      <c r="K648" s="188"/>
      <c r="L648" s="15"/>
      <c r="M648" s="15"/>
      <c r="N648" s="15"/>
      <c r="O648" s="15"/>
      <c r="P648" s="15"/>
      <c r="Q648" s="15"/>
      <c r="R648" s="15"/>
      <c r="S648" s="15"/>
      <c r="T648" s="15"/>
      <c r="U648" s="15"/>
      <c r="V648" s="15"/>
      <c r="W648" s="15"/>
      <c r="X648" s="14"/>
      <c r="Y648" s="14"/>
      <c r="Z648" s="15"/>
      <c r="AA648" s="3"/>
      <c r="AB648" s="3"/>
      <c r="AC648" s="3"/>
      <c r="AD648" s="3"/>
      <c r="AE648" s="3"/>
      <c r="AF648" s="3"/>
    </row>
    <row r="649" ht="15.75" customHeight="1">
      <c r="J649" s="15"/>
      <c r="K649" s="188"/>
      <c r="L649" s="15"/>
      <c r="M649" s="15"/>
      <c r="N649" s="15"/>
      <c r="O649" s="15"/>
      <c r="P649" s="15"/>
      <c r="Q649" s="15"/>
      <c r="R649" s="15"/>
      <c r="S649" s="15"/>
      <c r="T649" s="15"/>
      <c r="U649" s="15"/>
      <c r="V649" s="15"/>
      <c r="W649" s="15"/>
      <c r="X649" s="14"/>
      <c r="Y649" s="14"/>
      <c r="Z649" s="15"/>
      <c r="AA649" s="3"/>
      <c r="AB649" s="3"/>
      <c r="AC649" s="3"/>
      <c r="AD649" s="3"/>
      <c r="AE649" s="3"/>
      <c r="AF649" s="3"/>
    </row>
    <row r="650" ht="15.75" customHeight="1">
      <c r="J650" s="15"/>
      <c r="K650" s="188"/>
      <c r="L650" s="15"/>
      <c r="M650" s="15"/>
      <c r="N650" s="15"/>
      <c r="O650" s="15"/>
      <c r="P650" s="15"/>
      <c r="Q650" s="15"/>
      <c r="R650" s="15"/>
      <c r="S650" s="15"/>
      <c r="T650" s="15"/>
      <c r="U650" s="15"/>
      <c r="V650" s="15"/>
      <c r="W650" s="15"/>
      <c r="X650" s="14"/>
      <c r="Y650" s="14"/>
      <c r="Z650" s="15"/>
      <c r="AA650" s="3"/>
      <c r="AB650" s="3"/>
      <c r="AC650" s="3"/>
      <c r="AD650" s="3"/>
      <c r="AE650" s="3"/>
      <c r="AF650" s="3"/>
    </row>
    <row r="651" ht="15.75" customHeight="1">
      <c r="J651" s="15"/>
      <c r="K651" s="188"/>
      <c r="L651" s="15"/>
      <c r="M651" s="15"/>
      <c r="N651" s="15"/>
      <c r="O651" s="15"/>
      <c r="P651" s="15"/>
      <c r="Q651" s="15"/>
      <c r="R651" s="15"/>
      <c r="S651" s="15"/>
      <c r="T651" s="15"/>
      <c r="U651" s="15"/>
      <c r="V651" s="15"/>
      <c r="W651" s="15"/>
      <c r="X651" s="14"/>
      <c r="Y651" s="14"/>
      <c r="Z651" s="15"/>
      <c r="AA651" s="3"/>
      <c r="AB651" s="3"/>
      <c r="AC651" s="3"/>
      <c r="AD651" s="3"/>
      <c r="AE651" s="3"/>
      <c r="AF651" s="3"/>
    </row>
    <row r="652" ht="15.75" customHeight="1">
      <c r="J652" s="15"/>
      <c r="K652" s="188"/>
      <c r="L652" s="15"/>
      <c r="M652" s="15"/>
      <c r="N652" s="15"/>
      <c r="O652" s="15"/>
      <c r="P652" s="15"/>
      <c r="Q652" s="15"/>
      <c r="R652" s="15"/>
      <c r="S652" s="15"/>
      <c r="T652" s="15"/>
      <c r="U652" s="15"/>
      <c r="V652" s="15"/>
      <c r="W652" s="15"/>
      <c r="X652" s="14"/>
      <c r="Y652" s="14"/>
      <c r="Z652" s="15"/>
      <c r="AA652" s="3"/>
      <c r="AB652" s="3"/>
      <c r="AC652" s="3"/>
      <c r="AD652" s="3"/>
      <c r="AE652" s="3"/>
      <c r="AF652" s="3"/>
    </row>
    <row r="653" ht="15.75" customHeight="1">
      <c r="J653" s="15"/>
      <c r="K653" s="188"/>
      <c r="L653" s="15"/>
      <c r="M653" s="15"/>
      <c r="N653" s="15"/>
      <c r="O653" s="15"/>
      <c r="P653" s="15"/>
      <c r="Q653" s="15"/>
      <c r="R653" s="15"/>
      <c r="S653" s="15"/>
      <c r="T653" s="15"/>
      <c r="U653" s="15"/>
      <c r="V653" s="15"/>
      <c r="W653" s="15"/>
      <c r="X653" s="14"/>
      <c r="Y653" s="14"/>
      <c r="Z653" s="15"/>
      <c r="AA653" s="3"/>
      <c r="AB653" s="3"/>
      <c r="AC653" s="3"/>
      <c r="AD653" s="3"/>
      <c r="AE653" s="3"/>
      <c r="AF653" s="3"/>
    </row>
    <row r="654" ht="15.75" customHeight="1">
      <c r="J654" s="15"/>
      <c r="K654" s="188"/>
      <c r="L654" s="15"/>
      <c r="M654" s="15"/>
      <c r="N654" s="15"/>
      <c r="O654" s="15"/>
      <c r="P654" s="15"/>
      <c r="Q654" s="15"/>
      <c r="R654" s="15"/>
      <c r="S654" s="15"/>
      <c r="T654" s="15"/>
      <c r="U654" s="15"/>
      <c r="V654" s="15"/>
      <c r="W654" s="15"/>
      <c r="X654" s="14"/>
      <c r="Y654" s="14"/>
      <c r="Z654" s="15"/>
      <c r="AA654" s="3"/>
      <c r="AB654" s="3"/>
      <c r="AC654" s="3"/>
      <c r="AD654" s="3"/>
      <c r="AE654" s="3"/>
      <c r="AF654" s="3"/>
    </row>
    <row r="655" ht="15.75" customHeight="1">
      <c r="J655" s="15"/>
      <c r="K655" s="188"/>
      <c r="L655" s="15"/>
      <c r="M655" s="15"/>
      <c r="N655" s="15"/>
      <c r="O655" s="15"/>
      <c r="P655" s="15"/>
      <c r="Q655" s="15"/>
      <c r="R655" s="15"/>
      <c r="S655" s="15"/>
      <c r="T655" s="15"/>
      <c r="U655" s="15"/>
      <c r="V655" s="15"/>
      <c r="W655" s="15"/>
      <c r="X655" s="14"/>
      <c r="Y655" s="14"/>
      <c r="Z655" s="15"/>
      <c r="AA655" s="3"/>
      <c r="AB655" s="3"/>
      <c r="AC655" s="3"/>
      <c r="AD655" s="3"/>
      <c r="AE655" s="3"/>
      <c r="AF655" s="3"/>
    </row>
    <row r="656" ht="15.75" customHeight="1">
      <c r="J656" s="15"/>
      <c r="K656" s="188"/>
      <c r="L656" s="15"/>
      <c r="M656" s="15"/>
      <c r="N656" s="15"/>
      <c r="O656" s="15"/>
      <c r="P656" s="15"/>
      <c r="Q656" s="15"/>
      <c r="R656" s="15"/>
      <c r="S656" s="15"/>
      <c r="T656" s="15"/>
      <c r="U656" s="15"/>
      <c r="V656" s="15"/>
      <c r="W656" s="15"/>
      <c r="X656" s="14"/>
      <c r="Y656" s="14"/>
      <c r="Z656" s="15"/>
      <c r="AA656" s="3"/>
      <c r="AB656" s="3"/>
      <c r="AC656" s="3"/>
      <c r="AD656" s="3"/>
      <c r="AE656" s="3"/>
      <c r="AF656" s="3"/>
    </row>
    <row r="657" ht="15.75" customHeight="1">
      <c r="J657" s="15"/>
      <c r="K657" s="188"/>
      <c r="L657" s="15"/>
      <c r="M657" s="15"/>
      <c r="N657" s="15"/>
      <c r="O657" s="15"/>
      <c r="P657" s="15"/>
      <c r="Q657" s="15"/>
      <c r="R657" s="15"/>
      <c r="S657" s="15"/>
      <c r="T657" s="15"/>
      <c r="U657" s="15"/>
      <c r="V657" s="15"/>
      <c r="W657" s="15"/>
      <c r="X657" s="14"/>
      <c r="Y657" s="14"/>
      <c r="Z657" s="15"/>
      <c r="AA657" s="3"/>
      <c r="AB657" s="3"/>
      <c r="AC657" s="3"/>
      <c r="AD657" s="3"/>
      <c r="AE657" s="3"/>
      <c r="AF657" s="3"/>
    </row>
    <row r="658" ht="15.75" customHeight="1">
      <c r="J658" s="15"/>
      <c r="K658" s="188"/>
      <c r="L658" s="15"/>
      <c r="M658" s="15"/>
      <c r="N658" s="15"/>
      <c r="O658" s="15"/>
      <c r="P658" s="15"/>
      <c r="Q658" s="15"/>
      <c r="R658" s="15"/>
      <c r="S658" s="15"/>
      <c r="T658" s="15"/>
      <c r="U658" s="15"/>
      <c r="V658" s="15"/>
      <c r="W658" s="15"/>
      <c r="X658" s="14"/>
      <c r="Y658" s="14"/>
      <c r="Z658" s="15"/>
      <c r="AA658" s="3"/>
      <c r="AB658" s="3"/>
      <c r="AC658" s="3"/>
      <c r="AD658" s="3"/>
      <c r="AE658" s="3"/>
      <c r="AF658" s="3"/>
    </row>
    <row r="659" ht="15.75" customHeight="1">
      <c r="J659" s="15"/>
      <c r="K659" s="188"/>
      <c r="L659" s="15"/>
      <c r="M659" s="15"/>
      <c r="N659" s="15"/>
      <c r="O659" s="15"/>
      <c r="P659" s="15"/>
      <c r="Q659" s="15"/>
      <c r="R659" s="15"/>
      <c r="S659" s="15"/>
      <c r="T659" s="15"/>
      <c r="U659" s="15"/>
      <c r="V659" s="15"/>
      <c r="W659" s="15"/>
      <c r="X659" s="14"/>
      <c r="Y659" s="14"/>
      <c r="Z659" s="15"/>
      <c r="AA659" s="3"/>
      <c r="AB659" s="3"/>
      <c r="AC659" s="3"/>
      <c r="AD659" s="3"/>
      <c r="AE659" s="3"/>
      <c r="AF659" s="3"/>
    </row>
    <row r="660" ht="15.75" customHeight="1">
      <c r="J660" s="15"/>
      <c r="K660" s="188"/>
      <c r="L660" s="15"/>
      <c r="M660" s="15"/>
      <c r="N660" s="15"/>
      <c r="O660" s="15"/>
      <c r="P660" s="15"/>
      <c r="Q660" s="15"/>
      <c r="R660" s="15"/>
      <c r="S660" s="15"/>
      <c r="T660" s="15"/>
      <c r="U660" s="15"/>
      <c r="V660" s="15"/>
      <c r="W660" s="15"/>
      <c r="X660" s="14"/>
      <c r="Y660" s="14"/>
      <c r="Z660" s="15"/>
      <c r="AA660" s="3"/>
      <c r="AB660" s="3"/>
      <c r="AC660" s="3"/>
      <c r="AD660" s="3"/>
      <c r="AE660" s="3"/>
      <c r="AF660" s="3"/>
    </row>
    <row r="661" ht="15.75" customHeight="1">
      <c r="J661" s="15"/>
      <c r="K661" s="188"/>
      <c r="L661" s="15"/>
      <c r="M661" s="15"/>
      <c r="N661" s="15"/>
      <c r="O661" s="15"/>
      <c r="P661" s="15"/>
      <c r="Q661" s="15"/>
      <c r="R661" s="15"/>
      <c r="S661" s="15"/>
      <c r="T661" s="15"/>
      <c r="U661" s="15"/>
      <c r="V661" s="15"/>
      <c r="W661" s="15"/>
      <c r="X661" s="14"/>
      <c r="Y661" s="14"/>
      <c r="Z661" s="15"/>
      <c r="AA661" s="3"/>
      <c r="AB661" s="3"/>
      <c r="AC661" s="3"/>
      <c r="AD661" s="3"/>
      <c r="AE661" s="3"/>
      <c r="AF661" s="3"/>
    </row>
    <row r="662" ht="15.75" customHeight="1">
      <c r="J662" s="15"/>
      <c r="K662" s="188"/>
      <c r="L662" s="15"/>
      <c r="M662" s="15"/>
      <c r="N662" s="15"/>
      <c r="O662" s="15"/>
      <c r="P662" s="15"/>
      <c r="Q662" s="15"/>
      <c r="R662" s="15"/>
      <c r="S662" s="15"/>
      <c r="T662" s="15"/>
      <c r="U662" s="15"/>
      <c r="V662" s="15"/>
      <c r="W662" s="15"/>
      <c r="X662" s="14"/>
      <c r="Y662" s="14"/>
      <c r="Z662" s="15"/>
      <c r="AA662" s="3"/>
      <c r="AB662" s="3"/>
      <c r="AC662" s="3"/>
      <c r="AD662" s="3"/>
      <c r="AE662" s="3"/>
      <c r="AF662" s="3"/>
    </row>
    <row r="663" ht="15.75" customHeight="1">
      <c r="J663" s="15"/>
      <c r="K663" s="188"/>
      <c r="L663" s="15"/>
      <c r="M663" s="15"/>
      <c r="N663" s="15"/>
      <c r="O663" s="15"/>
      <c r="P663" s="15"/>
      <c r="Q663" s="15"/>
      <c r="R663" s="15"/>
      <c r="S663" s="15"/>
      <c r="T663" s="15"/>
      <c r="U663" s="15"/>
      <c r="V663" s="15"/>
      <c r="W663" s="15"/>
      <c r="X663" s="14"/>
      <c r="Y663" s="14"/>
      <c r="Z663" s="15"/>
      <c r="AA663" s="3"/>
      <c r="AB663" s="3"/>
      <c r="AC663" s="3"/>
      <c r="AD663" s="3"/>
      <c r="AE663" s="3"/>
      <c r="AF663" s="3"/>
    </row>
    <row r="664" ht="15.75" customHeight="1">
      <c r="J664" s="15"/>
      <c r="K664" s="188"/>
      <c r="L664" s="15"/>
      <c r="M664" s="15"/>
      <c r="N664" s="15"/>
      <c r="O664" s="15"/>
      <c r="P664" s="15"/>
      <c r="Q664" s="15"/>
      <c r="R664" s="15"/>
      <c r="S664" s="15"/>
      <c r="T664" s="15"/>
      <c r="U664" s="15"/>
      <c r="V664" s="15"/>
      <c r="W664" s="15"/>
      <c r="X664" s="14"/>
      <c r="Y664" s="14"/>
      <c r="Z664" s="15"/>
      <c r="AA664" s="3"/>
      <c r="AB664" s="3"/>
      <c r="AC664" s="3"/>
      <c r="AD664" s="3"/>
      <c r="AE664" s="3"/>
      <c r="AF664" s="3"/>
    </row>
    <row r="665" ht="15.75" customHeight="1">
      <c r="J665" s="15"/>
      <c r="K665" s="188"/>
      <c r="L665" s="15"/>
      <c r="M665" s="15"/>
      <c r="N665" s="15"/>
      <c r="O665" s="15"/>
      <c r="P665" s="15"/>
      <c r="Q665" s="15"/>
      <c r="R665" s="15"/>
      <c r="S665" s="15"/>
      <c r="T665" s="15"/>
      <c r="U665" s="15"/>
      <c r="V665" s="15"/>
      <c r="W665" s="15"/>
      <c r="X665" s="14"/>
      <c r="Y665" s="14"/>
      <c r="Z665" s="15"/>
      <c r="AA665" s="3"/>
      <c r="AB665" s="3"/>
      <c r="AC665" s="3"/>
      <c r="AD665" s="3"/>
      <c r="AE665" s="3"/>
      <c r="AF665" s="3"/>
    </row>
    <row r="666" ht="15.75" customHeight="1">
      <c r="J666" s="15"/>
      <c r="K666" s="188"/>
      <c r="L666" s="15"/>
      <c r="M666" s="15"/>
      <c r="N666" s="15"/>
      <c r="O666" s="15"/>
      <c r="P666" s="15"/>
      <c r="Q666" s="15"/>
      <c r="R666" s="15"/>
      <c r="S666" s="15"/>
      <c r="T666" s="15"/>
      <c r="U666" s="15"/>
      <c r="V666" s="15"/>
      <c r="W666" s="15"/>
      <c r="X666" s="14"/>
      <c r="Y666" s="14"/>
      <c r="Z666" s="15"/>
      <c r="AA666" s="3"/>
      <c r="AB666" s="3"/>
      <c r="AC666" s="3"/>
      <c r="AD666" s="3"/>
      <c r="AE666" s="3"/>
      <c r="AF666" s="3"/>
    </row>
    <row r="667" ht="15.75" customHeight="1">
      <c r="J667" s="15"/>
      <c r="K667" s="188"/>
      <c r="L667" s="15"/>
      <c r="M667" s="15"/>
      <c r="N667" s="15"/>
      <c r="O667" s="15"/>
      <c r="P667" s="15"/>
      <c r="Q667" s="15"/>
      <c r="R667" s="15"/>
      <c r="S667" s="15"/>
      <c r="T667" s="15"/>
      <c r="U667" s="15"/>
      <c r="V667" s="15"/>
      <c r="W667" s="15"/>
      <c r="X667" s="14"/>
      <c r="Y667" s="14"/>
      <c r="Z667" s="15"/>
      <c r="AA667" s="3"/>
      <c r="AB667" s="3"/>
      <c r="AC667" s="3"/>
      <c r="AD667" s="3"/>
      <c r="AE667" s="3"/>
      <c r="AF667" s="3"/>
    </row>
    <row r="668" ht="15.75" customHeight="1">
      <c r="J668" s="15"/>
      <c r="K668" s="188"/>
      <c r="L668" s="15"/>
      <c r="M668" s="15"/>
      <c r="N668" s="15"/>
      <c r="O668" s="15"/>
      <c r="P668" s="15"/>
      <c r="Q668" s="15"/>
      <c r="R668" s="15"/>
      <c r="S668" s="15"/>
      <c r="T668" s="15"/>
      <c r="U668" s="15"/>
      <c r="V668" s="15"/>
      <c r="W668" s="15"/>
      <c r="X668" s="14"/>
      <c r="Y668" s="14"/>
      <c r="Z668" s="15"/>
      <c r="AA668" s="3"/>
      <c r="AB668" s="3"/>
      <c r="AC668" s="3"/>
      <c r="AD668" s="3"/>
      <c r="AE668" s="3"/>
      <c r="AF668" s="3"/>
    </row>
    <row r="669" ht="15.75" customHeight="1">
      <c r="J669" s="15"/>
      <c r="K669" s="188"/>
      <c r="L669" s="15"/>
      <c r="M669" s="15"/>
      <c r="N669" s="15"/>
      <c r="O669" s="15"/>
      <c r="P669" s="15"/>
      <c r="Q669" s="15"/>
      <c r="R669" s="15"/>
      <c r="S669" s="15"/>
      <c r="T669" s="15"/>
      <c r="U669" s="15"/>
      <c r="V669" s="15"/>
      <c r="W669" s="15"/>
      <c r="X669" s="14"/>
      <c r="Y669" s="14"/>
      <c r="Z669" s="15"/>
      <c r="AA669" s="3"/>
      <c r="AB669" s="3"/>
      <c r="AC669" s="3"/>
      <c r="AD669" s="3"/>
      <c r="AE669" s="3"/>
      <c r="AF669" s="3"/>
    </row>
    <row r="670" ht="15.75" customHeight="1">
      <c r="J670" s="15"/>
      <c r="K670" s="188"/>
      <c r="L670" s="15"/>
      <c r="M670" s="15"/>
      <c r="N670" s="15"/>
      <c r="O670" s="15"/>
      <c r="P670" s="15"/>
      <c r="Q670" s="15"/>
      <c r="R670" s="15"/>
      <c r="S670" s="15"/>
      <c r="T670" s="15"/>
      <c r="U670" s="15"/>
      <c r="V670" s="15"/>
      <c r="W670" s="15"/>
      <c r="X670" s="14"/>
      <c r="Y670" s="14"/>
      <c r="Z670" s="15"/>
      <c r="AA670" s="3"/>
      <c r="AB670" s="3"/>
      <c r="AC670" s="3"/>
      <c r="AD670" s="3"/>
      <c r="AE670" s="3"/>
      <c r="AF670" s="3"/>
    </row>
    <row r="671" ht="15.75" customHeight="1">
      <c r="J671" s="15"/>
      <c r="K671" s="188"/>
      <c r="L671" s="15"/>
      <c r="M671" s="15"/>
      <c r="N671" s="15"/>
      <c r="O671" s="15"/>
      <c r="P671" s="15"/>
      <c r="Q671" s="15"/>
      <c r="R671" s="15"/>
      <c r="S671" s="15"/>
      <c r="T671" s="15"/>
      <c r="U671" s="15"/>
      <c r="V671" s="15"/>
      <c r="W671" s="15"/>
      <c r="X671" s="14"/>
      <c r="Y671" s="14"/>
      <c r="Z671" s="15"/>
      <c r="AA671" s="3"/>
      <c r="AB671" s="3"/>
      <c r="AC671" s="3"/>
      <c r="AD671" s="3"/>
      <c r="AE671" s="3"/>
      <c r="AF671" s="3"/>
    </row>
    <row r="672" ht="15.75" customHeight="1">
      <c r="J672" s="15"/>
      <c r="K672" s="188"/>
      <c r="L672" s="15"/>
      <c r="M672" s="15"/>
      <c r="N672" s="15"/>
      <c r="O672" s="15"/>
      <c r="P672" s="15"/>
      <c r="Q672" s="15"/>
      <c r="R672" s="15"/>
      <c r="S672" s="15"/>
      <c r="T672" s="15"/>
      <c r="U672" s="15"/>
      <c r="V672" s="15"/>
      <c r="W672" s="15"/>
      <c r="X672" s="14"/>
      <c r="Y672" s="14"/>
      <c r="Z672" s="15"/>
      <c r="AA672" s="3"/>
      <c r="AB672" s="3"/>
      <c r="AC672" s="3"/>
      <c r="AD672" s="3"/>
      <c r="AE672" s="3"/>
      <c r="AF672" s="3"/>
    </row>
    <row r="673" ht="15.75" customHeight="1">
      <c r="J673" s="15"/>
      <c r="K673" s="188"/>
      <c r="L673" s="15"/>
      <c r="M673" s="15"/>
      <c r="N673" s="15"/>
      <c r="O673" s="15"/>
      <c r="P673" s="15"/>
      <c r="Q673" s="15"/>
      <c r="R673" s="15"/>
      <c r="S673" s="15"/>
      <c r="T673" s="15"/>
      <c r="U673" s="15"/>
      <c r="V673" s="15"/>
      <c r="W673" s="15"/>
      <c r="X673" s="14"/>
      <c r="Y673" s="14"/>
      <c r="Z673" s="15"/>
      <c r="AA673" s="3"/>
      <c r="AB673" s="3"/>
      <c r="AC673" s="3"/>
      <c r="AD673" s="3"/>
      <c r="AE673" s="3"/>
      <c r="AF673" s="3"/>
    </row>
    <row r="674" ht="15.75" customHeight="1">
      <c r="J674" s="15"/>
      <c r="K674" s="188"/>
      <c r="L674" s="15"/>
      <c r="M674" s="15"/>
      <c r="N674" s="15"/>
      <c r="O674" s="15"/>
      <c r="P674" s="15"/>
      <c r="Q674" s="15"/>
      <c r="R674" s="15"/>
      <c r="S674" s="15"/>
      <c r="T674" s="15"/>
      <c r="U674" s="15"/>
      <c r="V674" s="15"/>
      <c r="W674" s="15"/>
      <c r="X674" s="14"/>
      <c r="Y674" s="14"/>
      <c r="Z674" s="15"/>
      <c r="AA674" s="3"/>
      <c r="AB674" s="3"/>
      <c r="AC674" s="3"/>
      <c r="AD674" s="3"/>
      <c r="AE674" s="3"/>
      <c r="AF674" s="3"/>
    </row>
    <row r="675" ht="15.75" customHeight="1">
      <c r="J675" s="15"/>
      <c r="K675" s="188"/>
      <c r="L675" s="15"/>
      <c r="M675" s="15"/>
      <c r="N675" s="15"/>
      <c r="O675" s="15"/>
      <c r="P675" s="15"/>
      <c r="Q675" s="15"/>
      <c r="R675" s="15"/>
      <c r="S675" s="15"/>
      <c r="T675" s="15"/>
      <c r="U675" s="15"/>
      <c r="V675" s="15"/>
      <c r="W675" s="15"/>
      <c r="X675" s="14"/>
      <c r="Y675" s="14"/>
      <c r="Z675" s="15"/>
      <c r="AA675" s="3"/>
      <c r="AB675" s="3"/>
      <c r="AC675" s="3"/>
      <c r="AD675" s="3"/>
      <c r="AE675" s="3"/>
      <c r="AF675" s="3"/>
    </row>
    <row r="676" ht="15.75" customHeight="1">
      <c r="J676" s="15"/>
      <c r="K676" s="188"/>
      <c r="L676" s="15"/>
      <c r="M676" s="15"/>
      <c r="N676" s="15"/>
      <c r="O676" s="15"/>
      <c r="P676" s="15"/>
      <c r="Q676" s="15"/>
      <c r="R676" s="15"/>
      <c r="S676" s="15"/>
      <c r="T676" s="15"/>
      <c r="U676" s="15"/>
      <c r="V676" s="15"/>
      <c r="W676" s="15"/>
      <c r="X676" s="14"/>
      <c r="Y676" s="14"/>
      <c r="Z676" s="15"/>
      <c r="AA676" s="3"/>
      <c r="AB676" s="3"/>
      <c r="AC676" s="3"/>
      <c r="AD676" s="3"/>
      <c r="AE676" s="3"/>
      <c r="AF676" s="3"/>
    </row>
    <row r="677" ht="15.75" customHeight="1">
      <c r="J677" s="15"/>
      <c r="K677" s="188"/>
      <c r="L677" s="15"/>
      <c r="M677" s="15"/>
      <c r="N677" s="15"/>
      <c r="O677" s="15"/>
      <c r="P677" s="15"/>
      <c r="Q677" s="15"/>
      <c r="R677" s="15"/>
      <c r="S677" s="15"/>
      <c r="T677" s="15"/>
      <c r="U677" s="15"/>
      <c r="V677" s="15"/>
      <c r="W677" s="15"/>
      <c r="X677" s="14"/>
      <c r="Y677" s="14"/>
      <c r="Z677" s="15"/>
      <c r="AA677" s="3"/>
      <c r="AB677" s="3"/>
      <c r="AC677" s="3"/>
      <c r="AD677" s="3"/>
      <c r="AE677" s="3"/>
      <c r="AF677" s="3"/>
    </row>
    <row r="678" ht="15.75" customHeight="1">
      <c r="J678" s="15"/>
      <c r="K678" s="188"/>
      <c r="L678" s="15"/>
      <c r="M678" s="15"/>
      <c r="N678" s="15"/>
      <c r="O678" s="15"/>
      <c r="P678" s="15"/>
      <c r="Q678" s="15"/>
      <c r="R678" s="15"/>
      <c r="S678" s="15"/>
      <c r="T678" s="15"/>
      <c r="U678" s="15"/>
      <c r="V678" s="15"/>
      <c r="W678" s="15"/>
      <c r="X678" s="14"/>
      <c r="Y678" s="14"/>
      <c r="Z678" s="15"/>
      <c r="AA678" s="3"/>
      <c r="AB678" s="3"/>
      <c r="AC678" s="3"/>
      <c r="AD678" s="3"/>
      <c r="AE678" s="3"/>
      <c r="AF678" s="3"/>
    </row>
    <row r="679" ht="15.75" customHeight="1">
      <c r="J679" s="15"/>
      <c r="K679" s="188"/>
      <c r="L679" s="15"/>
      <c r="M679" s="15"/>
      <c r="N679" s="15"/>
      <c r="O679" s="15"/>
      <c r="P679" s="15"/>
      <c r="Q679" s="15"/>
      <c r="R679" s="15"/>
      <c r="S679" s="15"/>
      <c r="T679" s="15"/>
      <c r="U679" s="15"/>
      <c r="V679" s="15"/>
      <c r="W679" s="15"/>
      <c r="X679" s="14"/>
      <c r="Y679" s="14"/>
      <c r="Z679" s="15"/>
      <c r="AA679" s="3"/>
      <c r="AB679" s="3"/>
      <c r="AC679" s="3"/>
      <c r="AD679" s="3"/>
      <c r="AE679" s="3"/>
      <c r="AF679" s="3"/>
    </row>
    <row r="680" ht="15.75" customHeight="1">
      <c r="J680" s="15"/>
      <c r="K680" s="188"/>
      <c r="L680" s="15"/>
      <c r="M680" s="15"/>
      <c r="N680" s="15"/>
      <c r="O680" s="15"/>
      <c r="P680" s="15"/>
      <c r="Q680" s="15"/>
      <c r="R680" s="15"/>
      <c r="S680" s="15"/>
      <c r="T680" s="15"/>
      <c r="U680" s="15"/>
      <c r="V680" s="15"/>
      <c r="W680" s="15"/>
      <c r="X680" s="14"/>
      <c r="Y680" s="14"/>
      <c r="Z680" s="15"/>
      <c r="AA680" s="3"/>
      <c r="AB680" s="3"/>
      <c r="AC680" s="3"/>
      <c r="AD680" s="3"/>
      <c r="AE680" s="3"/>
      <c r="AF680" s="3"/>
    </row>
    <row r="681" ht="15.75" customHeight="1">
      <c r="J681" s="15"/>
      <c r="K681" s="188"/>
      <c r="L681" s="15"/>
      <c r="M681" s="15"/>
      <c r="N681" s="15"/>
      <c r="O681" s="15"/>
      <c r="P681" s="15"/>
      <c r="Q681" s="15"/>
      <c r="R681" s="15"/>
      <c r="S681" s="15"/>
      <c r="T681" s="15"/>
      <c r="U681" s="15"/>
      <c r="V681" s="15"/>
      <c r="W681" s="15"/>
      <c r="X681" s="14"/>
      <c r="Y681" s="14"/>
      <c r="Z681" s="15"/>
      <c r="AA681" s="3"/>
      <c r="AB681" s="3"/>
      <c r="AC681" s="3"/>
      <c r="AD681" s="3"/>
      <c r="AE681" s="3"/>
      <c r="AF681" s="3"/>
    </row>
    <row r="682" ht="15.75" customHeight="1">
      <c r="J682" s="15"/>
      <c r="K682" s="188"/>
      <c r="L682" s="15"/>
      <c r="M682" s="15"/>
      <c r="N682" s="15"/>
      <c r="O682" s="15"/>
      <c r="P682" s="15"/>
      <c r="Q682" s="15"/>
      <c r="R682" s="15"/>
      <c r="S682" s="15"/>
      <c r="T682" s="15"/>
      <c r="U682" s="15"/>
      <c r="V682" s="15"/>
      <c r="W682" s="15"/>
      <c r="X682" s="14"/>
      <c r="Y682" s="14"/>
      <c r="Z682" s="15"/>
      <c r="AA682" s="3"/>
      <c r="AB682" s="3"/>
      <c r="AC682" s="3"/>
      <c r="AD682" s="3"/>
      <c r="AE682" s="3"/>
      <c r="AF682" s="3"/>
    </row>
    <row r="683" ht="15.75" customHeight="1">
      <c r="J683" s="15"/>
      <c r="K683" s="188"/>
      <c r="L683" s="15"/>
      <c r="M683" s="15"/>
      <c r="N683" s="15"/>
      <c r="O683" s="15"/>
      <c r="P683" s="15"/>
      <c r="Q683" s="15"/>
      <c r="R683" s="15"/>
      <c r="S683" s="15"/>
      <c r="T683" s="15"/>
      <c r="U683" s="15"/>
      <c r="V683" s="15"/>
      <c r="W683" s="15"/>
      <c r="X683" s="14"/>
      <c r="Y683" s="14"/>
      <c r="Z683" s="15"/>
      <c r="AA683" s="3"/>
      <c r="AB683" s="3"/>
      <c r="AC683" s="3"/>
      <c r="AD683" s="3"/>
      <c r="AE683" s="3"/>
      <c r="AF683" s="3"/>
    </row>
    <row r="684" ht="15.75" customHeight="1">
      <c r="J684" s="15"/>
      <c r="K684" s="188"/>
      <c r="L684" s="15"/>
      <c r="M684" s="15"/>
      <c r="N684" s="15"/>
      <c r="O684" s="15"/>
      <c r="P684" s="15"/>
      <c r="Q684" s="15"/>
      <c r="R684" s="15"/>
      <c r="S684" s="15"/>
      <c r="T684" s="15"/>
      <c r="U684" s="15"/>
      <c r="V684" s="15"/>
      <c r="W684" s="15"/>
      <c r="X684" s="14"/>
      <c r="Y684" s="14"/>
      <c r="Z684" s="15"/>
      <c r="AA684" s="3"/>
      <c r="AB684" s="3"/>
      <c r="AC684" s="3"/>
      <c r="AD684" s="3"/>
      <c r="AE684" s="3"/>
      <c r="AF684" s="3"/>
    </row>
    <row r="685" ht="15.75" customHeight="1">
      <c r="J685" s="15"/>
      <c r="K685" s="188"/>
      <c r="L685" s="15"/>
      <c r="M685" s="15"/>
      <c r="N685" s="15"/>
      <c r="O685" s="15"/>
      <c r="P685" s="15"/>
      <c r="Q685" s="15"/>
      <c r="R685" s="15"/>
      <c r="S685" s="15"/>
      <c r="T685" s="15"/>
      <c r="U685" s="15"/>
      <c r="V685" s="15"/>
      <c r="W685" s="15"/>
      <c r="X685" s="14"/>
      <c r="Y685" s="14"/>
      <c r="Z685" s="15"/>
      <c r="AA685" s="3"/>
      <c r="AB685" s="3"/>
      <c r="AC685" s="3"/>
      <c r="AD685" s="3"/>
      <c r="AE685" s="3"/>
      <c r="AF685" s="3"/>
    </row>
    <row r="686" ht="15.75" customHeight="1">
      <c r="J686" s="15"/>
      <c r="K686" s="188"/>
      <c r="L686" s="15"/>
      <c r="M686" s="15"/>
      <c r="N686" s="15"/>
      <c r="O686" s="15"/>
      <c r="P686" s="15"/>
      <c r="Q686" s="15"/>
      <c r="R686" s="15"/>
      <c r="S686" s="15"/>
      <c r="T686" s="15"/>
      <c r="U686" s="15"/>
      <c r="V686" s="15"/>
      <c r="W686" s="15"/>
      <c r="X686" s="14"/>
      <c r="Y686" s="14"/>
      <c r="Z686" s="15"/>
      <c r="AA686" s="3"/>
      <c r="AB686" s="3"/>
      <c r="AC686" s="3"/>
      <c r="AD686" s="3"/>
      <c r="AE686" s="3"/>
      <c r="AF686" s="3"/>
    </row>
    <row r="687" ht="15.75" customHeight="1">
      <c r="J687" s="15"/>
      <c r="K687" s="188"/>
      <c r="L687" s="15"/>
      <c r="M687" s="15"/>
      <c r="N687" s="15"/>
      <c r="O687" s="15"/>
      <c r="P687" s="15"/>
      <c r="Q687" s="15"/>
      <c r="R687" s="15"/>
      <c r="S687" s="15"/>
      <c r="T687" s="15"/>
      <c r="U687" s="15"/>
      <c r="V687" s="15"/>
      <c r="W687" s="15"/>
      <c r="X687" s="14"/>
      <c r="Y687" s="14"/>
      <c r="Z687" s="15"/>
      <c r="AA687" s="3"/>
      <c r="AB687" s="3"/>
      <c r="AC687" s="3"/>
      <c r="AD687" s="3"/>
      <c r="AE687" s="3"/>
      <c r="AF687" s="3"/>
    </row>
    <row r="688" ht="15.75" customHeight="1">
      <c r="J688" s="15"/>
      <c r="K688" s="188"/>
      <c r="L688" s="15"/>
      <c r="M688" s="15"/>
      <c r="N688" s="15"/>
      <c r="O688" s="15"/>
      <c r="P688" s="15"/>
      <c r="Q688" s="15"/>
      <c r="R688" s="15"/>
      <c r="S688" s="15"/>
      <c r="T688" s="15"/>
      <c r="U688" s="15"/>
      <c r="V688" s="15"/>
      <c r="W688" s="15"/>
      <c r="X688" s="14"/>
      <c r="Y688" s="14"/>
      <c r="Z688" s="15"/>
      <c r="AA688" s="3"/>
      <c r="AB688" s="3"/>
      <c r="AC688" s="3"/>
      <c r="AD688" s="3"/>
      <c r="AE688" s="3"/>
      <c r="AF688" s="3"/>
    </row>
    <row r="689" ht="15.75" customHeight="1">
      <c r="J689" s="15"/>
      <c r="K689" s="188"/>
      <c r="L689" s="15"/>
      <c r="M689" s="15"/>
      <c r="N689" s="15"/>
      <c r="O689" s="15"/>
      <c r="P689" s="15"/>
      <c r="Q689" s="15"/>
      <c r="R689" s="15"/>
      <c r="S689" s="15"/>
      <c r="T689" s="15"/>
      <c r="U689" s="15"/>
      <c r="V689" s="15"/>
      <c r="W689" s="15"/>
      <c r="X689" s="14"/>
      <c r="Y689" s="14"/>
      <c r="Z689" s="15"/>
      <c r="AA689" s="3"/>
      <c r="AB689" s="3"/>
      <c r="AC689" s="3"/>
      <c r="AD689" s="3"/>
      <c r="AE689" s="3"/>
      <c r="AF689" s="3"/>
    </row>
    <row r="690" ht="15.75" customHeight="1">
      <c r="J690" s="15"/>
      <c r="K690" s="188"/>
      <c r="L690" s="15"/>
      <c r="M690" s="15"/>
      <c r="N690" s="15"/>
      <c r="O690" s="15"/>
      <c r="P690" s="15"/>
      <c r="Q690" s="15"/>
      <c r="R690" s="15"/>
      <c r="S690" s="15"/>
      <c r="T690" s="15"/>
      <c r="U690" s="15"/>
      <c r="V690" s="15"/>
      <c r="W690" s="15"/>
      <c r="X690" s="14"/>
      <c r="Y690" s="14"/>
      <c r="Z690" s="15"/>
      <c r="AA690" s="3"/>
      <c r="AB690" s="3"/>
      <c r="AC690" s="3"/>
      <c r="AD690" s="3"/>
      <c r="AE690" s="3"/>
      <c r="AF690" s="3"/>
    </row>
    <row r="691" ht="15.75" customHeight="1">
      <c r="J691" s="15"/>
      <c r="K691" s="188"/>
      <c r="L691" s="15"/>
      <c r="M691" s="15"/>
      <c r="N691" s="15"/>
      <c r="O691" s="15"/>
      <c r="P691" s="15"/>
      <c r="Q691" s="15"/>
      <c r="R691" s="15"/>
      <c r="S691" s="15"/>
      <c r="T691" s="15"/>
      <c r="U691" s="15"/>
      <c r="V691" s="15"/>
      <c r="W691" s="15"/>
      <c r="X691" s="14"/>
      <c r="Y691" s="14"/>
      <c r="Z691" s="15"/>
      <c r="AA691" s="3"/>
      <c r="AB691" s="3"/>
      <c r="AC691" s="3"/>
      <c r="AD691" s="3"/>
      <c r="AE691" s="3"/>
      <c r="AF691" s="3"/>
    </row>
    <row r="692" ht="15.75" customHeight="1">
      <c r="J692" s="15"/>
      <c r="K692" s="188"/>
      <c r="L692" s="15"/>
      <c r="M692" s="15"/>
      <c r="N692" s="15"/>
      <c r="O692" s="15"/>
      <c r="P692" s="15"/>
      <c r="Q692" s="15"/>
      <c r="R692" s="15"/>
      <c r="S692" s="15"/>
      <c r="T692" s="15"/>
      <c r="U692" s="15"/>
      <c r="V692" s="15"/>
      <c r="W692" s="15"/>
      <c r="X692" s="14"/>
      <c r="Y692" s="14"/>
      <c r="Z692" s="15"/>
      <c r="AA692" s="3"/>
      <c r="AB692" s="3"/>
      <c r="AC692" s="3"/>
      <c r="AD692" s="3"/>
      <c r="AE692" s="3"/>
      <c r="AF692" s="3"/>
    </row>
    <row r="693" ht="15.75" customHeight="1">
      <c r="J693" s="15"/>
      <c r="K693" s="188"/>
      <c r="L693" s="15"/>
      <c r="M693" s="15"/>
      <c r="N693" s="15"/>
      <c r="O693" s="15"/>
      <c r="P693" s="15"/>
      <c r="Q693" s="15"/>
      <c r="R693" s="15"/>
      <c r="S693" s="15"/>
      <c r="T693" s="15"/>
      <c r="U693" s="15"/>
      <c r="V693" s="15"/>
      <c r="W693" s="15"/>
      <c r="X693" s="14"/>
      <c r="Y693" s="14"/>
      <c r="Z693" s="15"/>
      <c r="AA693" s="3"/>
      <c r="AB693" s="3"/>
      <c r="AC693" s="3"/>
      <c r="AD693" s="3"/>
      <c r="AE693" s="3"/>
      <c r="AF693" s="3"/>
    </row>
    <row r="694" ht="15.75" customHeight="1">
      <c r="J694" s="15"/>
      <c r="K694" s="188"/>
      <c r="L694" s="15"/>
      <c r="M694" s="15"/>
      <c r="N694" s="15"/>
      <c r="O694" s="15"/>
      <c r="P694" s="15"/>
      <c r="Q694" s="15"/>
      <c r="R694" s="15"/>
      <c r="S694" s="15"/>
      <c r="T694" s="15"/>
      <c r="U694" s="15"/>
      <c r="V694" s="15"/>
      <c r="W694" s="15"/>
      <c r="X694" s="14"/>
      <c r="Y694" s="14"/>
      <c r="Z694" s="15"/>
      <c r="AA694" s="3"/>
      <c r="AB694" s="3"/>
      <c r="AC694" s="3"/>
      <c r="AD694" s="3"/>
      <c r="AE694" s="3"/>
      <c r="AF694" s="3"/>
    </row>
    <row r="695" ht="15.75" customHeight="1">
      <c r="J695" s="15"/>
      <c r="K695" s="188"/>
      <c r="L695" s="15"/>
      <c r="M695" s="15"/>
      <c r="N695" s="15"/>
      <c r="O695" s="15"/>
      <c r="P695" s="15"/>
      <c r="Q695" s="15"/>
      <c r="R695" s="15"/>
      <c r="S695" s="15"/>
      <c r="T695" s="15"/>
      <c r="U695" s="15"/>
      <c r="V695" s="15"/>
      <c r="W695" s="15"/>
      <c r="X695" s="14"/>
      <c r="Y695" s="14"/>
      <c r="Z695" s="15"/>
      <c r="AA695" s="3"/>
      <c r="AB695" s="3"/>
      <c r="AC695" s="3"/>
      <c r="AD695" s="3"/>
      <c r="AE695" s="3"/>
      <c r="AF695" s="3"/>
    </row>
    <row r="696" ht="15.75" customHeight="1">
      <c r="J696" s="15"/>
      <c r="K696" s="188"/>
      <c r="L696" s="15"/>
      <c r="M696" s="15"/>
      <c r="N696" s="15"/>
      <c r="O696" s="15"/>
      <c r="P696" s="15"/>
      <c r="Q696" s="15"/>
      <c r="R696" s="15"/>
      <c r="S696" s="15"/>
      <c r="T696" s="15"/>
      <c r="U696" s="15"/>
      <c r="V696" s="15"/>
      <c r="W696" s="15"/>
      <c r="X696" s="14"/>
      <c r="Y696" s="14"/>
      <c r="Z696" s="15"/>
      <c r="AA696" s="3"/>
      <c r="AB696" s="3"/>
      <c r="AC696" s="3"/>
      <c r="AD696" s="3"/>
      <c r="AE696" s="3"/>
      <c r="AF696" s="3"/>
    </row>
    <row r="697" ht="15.75" customHeight="1">
      <c r="J697" s="15"/>
      <c r="K697" s="188"/>
      <c r="L697" s="15"/>
      <c r="M697" s="15"/>
      <c r="N697" s="15"/>
      <c r="O697" s="15"/>
      <c r="P697" s="15"/>
      <c r="Q697" s="15"/>
      <c r="R697" s="15"/>
      <c r="S697" s="15"/>
      <c r="T697" s="15"/>
      <c r="U697" s="15"/>
      <c r="V697" s="15"/>
      <c r="W697" s="15"/>
      <c r="X697" s="14"/>
      <c r="Y697" s="14"/>
      <c r="Z697" s="15"/>
      <c r="AA697" s="3"/>
      <c r="AB697" s="3"/>
      <c r="AC697" s="3"/>
      <c r="AD697" s="3"/>
      <c r="AE697" s="3"/>
      <c r="AF697" s="3"/>
    </row>
    <row r="698" ht="15.75" customHeight="1">
      <c r="J698" s="15"/>
      <c r="K698" s="188"/>
      <c r="L698" s="15"/>
      <c r="M698" s="15"/>
      <c r="N698" s="15"/>
      <c r="O698" s="15"/>
      <c r="P698" s="15"/>
      <c r="Q698" s="15"/>
      <c r="R698" s="15"/>
      <c r="S698" s="15"/>
      <c r="T698" s="15"/>
      <c r="U698" s="15"/>
      <c r="V698" s="15"/>
      <c r="W698" s="15"/>
      <c r="X698" s="14"/>
      <c r="Y698" s="14"/>
      <c r="Z698" s="15"/>
      <c r="AA698" s="3"/>
      <c r="AB698" s="3"/>
      <c r="AC698" s="3"/>
      <c r="AD698" s="3"/>
      <c r="AE698" s="3"/>
      <c r="AF698" s="3"/>
    </row>
    <row r="699" ht="15.75" customHeight="1">
      <c r="J699" s="15"/>
      <c r="K699" s="188"/>
      <c r="L699" s="15"/>
      <c r="M699" s="15"/>
      <c r="N699" s="15"/>
      <c r="O699" s="15"/>
      <c r="P699" s="15"/>
      <c r="Q699" s="15"/>
      <c r="R699" s="15"/>
      <c r="S699" s="15"/>
      <c r="T699" s="15"/>
      <c r="U699" s="15"/>
      <c r="V699" s="15"/>
      <c r="W699" s="15"/>
      <c r="X699" s="14"/>
      <c r="Y699" s="14"/>
      <c r="Z699" s="15"/>
      <c r="AA699" s="3"/>
      <c r="AB699" s="3"/>
      <c r="AC699" s="3"/>
      <c r="AD699" s="3"/>
      <c r="AE699" s="3"/>
      <c r="AF699" s="3"/>
    </row>
    <row r="700" ht="15.75" customHeight="1">
      <c r="J700" s="15"/>
      <c r="K700" s="188"/>
      <c r="L700" s="15"/>
      <c r="M700" s="15"/>
      <c r="N700" s="15"/>
      <c r="O700" s="15"/>
      <c r="P700" s="15"/>
      <c r="Q700" s="15"/>
      <c r="R700" s="15"/>
      <c r="S700" s="15"/>
      <c r="T700" s="15"/>
      <c r="U700" s="15"/>
      <c r="V700" s="15"/>
      <c r="W700" s="15"/>
      <c r="X700" s="14"/>
      <c r="Y700" s="14"/>
      <c r="Z700" s="15"/>
      <c r="AA700" s="3"/>
      <c r="AB700" s="3"/>
      <c r="AC700" s="3"/>
      <c r="AD700" s="3"/>
      <c r="AE700" s="3"/>
      <c r="AF700" s="3"/>
    </row>
    <row r="701" ht="15.75" customHeight="1">
      <c r="J701" s="15"/>
      <c r="K701" s="188"/>
      <c r="L701" s="15"/>
      <c r="M701" s="15"/>
      <c r="N701" s="15"/>
      <c r="O701" s="15"/>
      <c r="P701" s="15"/>
      <c r="Q701" s="15"/>
      <c r="R701" s="15"/>
      <c r="S701" s="15"/>
      <c r="T701" s="15"/>
      <c r="U701" s="15"/>
      <c r="V701" s="15"/>
      <c r="W701" s="15"/>
      <c r="X701" s="14"/>
      <c r="Y701" s="14"/>
      <c r="Z701" s="15"/>
      <c r="AA701" s="3"/>
      <c r="AB701" s="3"/>
      <c r="AC701" s="3"/>
      <c r="AD701" s="3"/>
      <c r="AE701" s="3"/>
      <c r="AF701" s="3"/>
    </row>
    <row r="702" ht="15.75" customHeight="1">
      <c r="J702" s="15"/>
      <c r="K702" s="188"/>
      <c r="L702" s="15"/>
      <c r="M702" s="15"/>
      <c r="N702" s="15"/>
      <c r="O702" s="15"/>
      <c r="P702" s="15"/>
      <c r="Q702" s="15"/>
      <c r="R702" s="15"/>
      <c r="S702" s="15"/>
      <c r="T702" s="15"/>
      <c r="U702" s="15"/>
      <c r="V702" s="15"/>
      <c r="W702" s="15"/>
      <c r="X702" s="14"/>
      <c r="Y702" s="14"/>
      <c r="Z702" s="15"/>
      <c r="AA702" s="3"/>
      <c r="AB702" s="3"/>
      <c r="AC702" s="3"/>
      <c r="AD702" s="3"/>
      <c r="AE702" s="3"/>
      <c r="AF702" s="3"/>
    </row>
    <row r="703" ht="15.75" customHeight="1">
      <c r="J703" s="15"/>
      <c r="K703" s="188"/>
      <c r="L703" s="15"/>
      <c r="M703" s="15"/>
      <c r="N703" s="15"/>
      <c r="O703" s="15"/>
      <c r="P703" s="15"/>
      <c r="Q703" s="15"/>
      <c r="R703" s="15"/>
      <c r="S703" s="15"/>
      <c r="T703" s="15"/>
      <c r="U703" s="15"/>
      <c r="V703" s="15"/>
      <c r="W703" s="15"/>
      <c r="X703" s="14"/>
      <c r="Y703" s="14"/>
      <c r="Z703" s="15"/>
      <c r="AA703" s="3"/>
      <c r="AB703" s="3"/>
      <c r="AC703" s="3"/>
      <c r="AD703" s="3"/>
      <c r="AE703" s="3"/>
      <c r="AF703" s="3"/>
    </row>
    <row r="704" ht="15.75" customHeight="1">
      <c r="J704" s="15"/>
      <c r="K704" s="188"/>
      <c r="L704" s="15"/>
      <c r="M704" s="15"/>
      <c r="N704" s="15"/>
      <c r="O704" s="15"/>
      <c r="P704" s="15"/>
      <c r="Q704" s="15"/>
      <c r="R704" s="15"/>
      <c r="S704" s="15"/>
      <c r="T704" s="15"/>
      <c r="U704" s="15"/>
      <c r="V704" s="15"/>
      <c r="W704" s="15"/>
      <c r="X704" s="14"/>
      <c r="Y704" s="14"/>
      <c r="Z704" s="15"/>
      <c r="AA704" s="3"/>
      <c r="AB704" s="3"/>
      <c r="AC704" s="3"/>
      <c r="AD704" s="3"/>
      <c r="AE704" s="3"/>
      <c r="AF704" s="3"/>
    </row>
    <row r="705" ht="15.75" customHeight="1">
      <c r="J705" s="15"/>
      <c r="K705" s="188"/>
      <c r="L705" s="15"/>
      <c r="M705" s="15"/>
      <c r="N705" s="15"/>
      <c r="O705" s="15"/>
      <c r="P705" s="15"/>
      <c r="Q705" s="15"/>
      <c r="R705" s="15"/>
      <c r="S705" s="15"/>
      <c r="T705" s="15"/>
      <c r="U705" s="15"/>
      <c r="V705" s="15"/>
      <c r="W705" s="15"/>
      <c r="X705" s="14"/>
      <c r="Y705" s="14"/>
      <c r="Z705" s="15"/>
      <c r="AA705" s="3"/>
      <c r="AB705" s="3"/>
      <c r="AC705" s="3"/>
      <c r="AD705" s="3"/>
      <c r="AE705" s="3"/>
      <c r="AF705" s="3"/>
    </row>
    <row r="706" ht="15.75" customHeight="1">
      <c r="J706" s="15"/>
      <c r="K706" s="188"/>
      <c r="L706" s="15"/>
      <c r="M706" s="15"/>
      <c r="N706" s="15"/>
      <c r="O706" s="15"/>
      <c r="P706" s="15"/>
      <c r="Q706" s="15"/>
      <c r="R706" s="15"/>
      <c r="S706" s="15"/>
      <c r="T706" s="15"/>
      <c r="U706" s="15"/>
      <c r="V706" s="15"/>
      <c r="W706" s="15"/>
      <c r="X706" s="14"/>
      <c r="Y706" s="14"/>
      <c r="Z706" s="15"/>
      <c r="AA706" s="3"/>
      <c r="AB706" s="3"/>
      <c r="AC706" s="3"/>
      <c r="AD706" s="3"/>
      <c r="AE706" s="3"/>
      <c r="AF706" s="3"/>
    </row>
    <row r="707" ht="15.75" customHeight="1">
      <c r="J707" s="15"/>
      <c r="K707" s="188"/>
      <c r="L707" s="15"/>
      <c r="M707" s="15"/>
      <c r="N707" s="15"/>
      <c r="O707" s="15"/>
      <c r="P707" s="15"/>
      <c r="Q707" s="15"/>
      <c r="R707" s="15"/>
      <c r="S707" s="15"/>
      <c r="T707" s="15"/>
      <c r="U707" s="15"/>
      <c r="V707" s="15"/>
      <c r="W707" s="15"/>
      <c r="X707" s="14"/>
      <c r="Y707" s="14"/>
      <c r="Z707" s="15"/>
      <c r="AA707" s="3"/>
      <c r="AB707" s="3"/>
      <c r="AC707" s="3"/>
      <c r="AD707" s="3"/>
      <c r="AE707" s="3"/>
      <c r="AF707" s="3"/>
    </row>
    <row r="708" ht="15.75" customHeight="1">
      <c r="J708" s="15"/>
      <c r="K708" s="188"/>
      <c r="L708" s="15"/>
      <c r="M708" s="15"/>
      <c r="N708" s="15"/>
      <c r="O708" s="15"/>
      <c r="P708" s="15"/>
      <c r="Q708" s="15"/>
      <c r="R708" s="15"/>
      <c r="S708" s="15"/>
      <c r="T708" s="15"/>
      <c r="U708" s="15"/>
      <c r="V708" s="15"/>
      <c r="W708" s="15"/>
      <c r="X708" s="14"/>
      <c r="Y708" s="14"/>
      <c r="Z708" s="15"/>
      <c r="AA708" s="3"/>
      <c r="AB708" s="3"/>
      <c r="AC708" s="3"/>
      <c r="AD708" s="3"/>
      <c r="AE708" s="3"/>
      <c r="AF708" s="3"/>
    </row>
    <row r="709" ht="15.75" customHeight="1">
      <c r="J709" s="15"/>
      <c r="K709" s="188"/>
      <c r="L709" s="15"/>
      <c r="M709" s="15"/>
      <c r="N709" s="15"/>
      <c r="O709" s="15"/>
      <c r="P709" s="15"/>
      <c r="Q709" s="15"/>
      <c r="R709" s="15"/>
      <c r="S709" s="15"/>
      <c r="T709" s="15"/>
      <c r="U709" s="15"/>
      <c r="V709" s="15"/>
      <c r="W709" s="15"/>
      <c r="X709" s="14"/>
      <c r="Y709" s="14"/>
      <c r="Z709" s="15"/>
      <c r="AA709" s="3"/>
      <c r="AB709" s="3"/>
      <c r="AC709" s="3"/>
      <c r="AD709" s="3"/>
      <c r="AE709" s="3"/>
      <c r="AF709" s="3"/>
    </row>
    <row r="710" ht="15.75" customHeight="1">
      <c r="J710" s="15"/>
      <c r="K710" s="188"/>
      <c r="L710" s="15"/>
      <c r="M710" s="15"/>
      <c r="N710" s="15"/>
      <c r="O710" s="15"/>
      <c r="P710" s="15"/>
      <c r="Q710" s="15"/>
      <c r="R710" s="15"/>
      <c r="S710" s="15"/>
      <c r="T710" s="15"/>
      <c r="U710" s="15"/>
      <c r="V710" s="15"/>
      <c r="W710" s="15"/>
      <c r="X710" s="14"/>
      <c r="Y710" s="14"/>
      <c r="Z710" s="15"/>
      <c r="AA710" s="3"/>
      <c r="AB710" s="3"/>
      <c r="AC710" s="3"/>
      <c r="AD710" s="3"/>
      <c r="AE710" s="3"/>
      <c r="AF710" s="3"/>
    </row>
    <row r="711" ht="15.75" customHeight="1">
      <c r="J711" s="15"/>
      <c r="K711" s="188"/>
      <c r="L711" s="15"/>
      <c r="M711" s="15"/>
      <c r="N711" s="15"/>
      <c r="O711" s="15"/>
      <c r="P711" s="15"/>
      <c r="Q711" s="15"/>
      <c r="R711" s="15"/>
      <c r="S711" s="15"/>
      <c r="T711" s="15"/>
      <c r="U711" s="15"/>
      <c r="V711" s="15"/>
      <c r="W711" s="15"/>
      <c r="X711" s="14"/>
      <c r="Y711" s="14"/>
      <c r="Z711" s="15"/>
      <c r="AA711" s="3"/>
      <c r="AB711" s="3"/>
      <c r="AC711" s="3"/>
      <c r="AD711" s="3"/>
      <c r="AE711" s="3"/>
      <c r="AF711" s="3"/>
    </row>
    <row r="712" ht="15.75" customHeight="1">
      <c r="J712" s="15"/>
      <c r="K712" s="188"/>
      <c r="L712" s="15"/>
      <c r="M712" s="15"/>
      <c r="N712" s="15"/>
      <c r="O712" s="15"/>
      <c r="P712" s="15"/>
      <c r="Q712" s="15"/>
      <c r="R712" s="15"/>
      <c r="S712" s="15"/>
      <c r="T712" s="15"/>
      <c r="U712" s="15"/>
      <c r="V712" s="15"/>
      <c r="W712" s="15"/>
      <c r="X712" s="14"/>
      <c r="Y712" s="14"/>
      <c r="Z712" s="15"/>
      <c r="AA712" s="3"/>
      <c r="AB712" s="3"/>
      <c r="AC712" s="3"/>
      <c r="AD712" s="3"/>
      <c r="AE712" s="3"/>
      <c r="AF712" s="3"/>
    </row>
    <row r="713" ht="15.75" customHeight="1">
      <c r="J713" s="15"/>
      <c r="K713" s="188"/>
      <c r="L713" s="15"/>
      <c r="M713" s="15"/>
      <c r="N713" s="15"/>
      <c r="O713" s="15"/>
      <c r="P713" s="15"/>
      <c r="Q713" s="15"/>
      <c r="R713" s="15"/>
      <c r="S713" s="15"/>
      <c r="T713" s="15"/>
      <c r="U713" s="15"/>
      <c r="V713" s="15"/>
      <c r="W713" s="15"/>
      <c r="X713" s="14"/>
      <c r="Y713" s="14"/>
      <c r="Z713" s="15"/>
      <c r="AA713" s="3"/>
      <c r="AB713" s="3"/>
      <c r="AC713" s="3"/>
      <c r="AD713" s="3"/>
      <c r="AE713" s="3"/>
      <c r="AF713" s="3"/>
    </row>
    <row r="714" ht="15.75" customHeight="1">
      <c r="J714" s="15"/>
      <c r="K714" s="188"/>
      <c r="L714" s="15"/>
      <c r="M714" s="15"/>
      <c r="N714" s="15"/>
      <c r="O714" s="15"/>
      <c r="P714" s="15"/>
      <c r="Q714" s="15"/>
      <c r="R714" s="15"/>
      <c r="S714" s="15"/>
      <c r="T714" s="15"/>
      <c r="U714" s="15"/>
      <c r="V714" s="15"/>
      <c r="W714" s="15"/>
      <c r="X714" s="14"/>
      <c r="Y714" s="14"/>
      <c r="Z714" s="15"/>
      <c r="AA714" s="3"/>
      <c r="AB714" s="3"/>
      <c r="AC714" s="3"/>
      <c r="AD714" s="3"/>
      <c r="AE714" s="3"/>
      <c r="AF714" s="3"/>
    </row>
    <row r="715" ht="15.75" customHeight="1">
      <c r="J715" s="15"/>
      <c r="K715" s="188"/>
      <c r="L715" s="15"/>
      <c r="M715" s="15"/>
      <c r="N715" s="15"/>
      <c r="O715" s="15"/>
      <c r="P715" s="15"/>
      <c r="Q715" s="15"/>
      <c r="R715" s="15"/>
      <c r="S715" s="15"/>
      <c r="T715" s="15"/>
      <c r="U715" s="15"/>
      <c r="V715" s="15"/>
      <c r="W715" s="15"/>
      <c r="X715" s="14"/>
      <c r="Y715" s="14"/>
      <c r="Z715" s="15"/>
      <c r="AA715" s="3"/>
      <c r="AB715" s="3"/>
      <c r="AC715" s="3"/>
      <c r="AD715" s="3"/>
      <c r="AE715" s="3"/>
      <c r="AF715" s="3"/>
    </row>
    <row r="716" ht="15.75" customHeight="1">
      <c r="J716" s="15"/>
      <c r="K716" s="188"/>
      <c r="L716" s="15"/>
      <c r="M716" s="15"/>
      <c r="N716" s="15"/>
      <c r="O716" s="15"/>
      <c r="P716" s="15"/>
      <c r="Q716" s="15"/>
      <c r="R716" s="15"/>
      <c r="S716" s="15"/>
      <c r="T716" s="15"/>
      <c r="U716" s="15"/>
      <c r="V716" s="15"/>
      <c r="W716" s="15"/>
      <c r="X716" s="14"/>
      <c r="Y716" s="14"/>
      <c r="Z716" s="15"/>
      <c r="AA716" s="3"/>
      <c r="AB716" s="3"/>
      <c r="AC716" s="3"/>
      <c r="AD716" s="3"/>
      <c r="AE716" s="3"/>
      <c r="AF716" s="3"/>
    </row>
    <row r="717" ht="15.75" customHeight="1">
      <c r="J717" s="15"/>
      <c r="K717" s="188"/>
      <c r="L717" s="15"/>
      <c r="M717" s="15"/>
      <c r="N717" s="15"/>
      <c r="O717" s="15"/>
      <c r="P717" s="15"/>
      <c r="Q717" s="15"/>
      <c r="R717" s="15"/>
      <c r="S717" s="15"/>
      <c r="T717" s="15"/>
      <c r="U717" s="15"/>
      <c r="V717" s="15"/>
      <c r="W717" s="15"/>
      <c r="X717" s="14"/>
      <c r="Y717" s="14"/>
      <c r="Z717" s="15"/>
      <c r="AA717" s="3"/>
      <c r="AB717" s="3"/>
      <c r="AC717" s="3"/>
      <c r="AD717" s="3"/>
      <c r="AE717" s="3"/>
      <c r="AF717" s="3"/>
    </row>
    <row r="718" ht="15.75" customHeight="1">
      <c r="J718" s="15"/>
      <c r="K718" s="188"/>
      <c r="L718" s="15"/>
      <c r="M718" s="15"/>
      <c r="N718" s="15"/>
      <c r="O718" s="15"/>
      <c r="P718" s="15"/>
      <c r="Q718" s="15"/>
      <c r="R718" s="15"/>
      <c r="S718" s="15"/>
      <c r="T718" s="15"/>
      <c r="U718" s="15"/>
      <c r="V718" s="15"/>
      <c r="W718" s="15"/>
      <c r="X718" s="14"/>
      <c r="Y718" s="14"/>
      <c r="Z718" s="15"/>
      <c r="AA718" s="3"/>
      <c r="AB718" s="3"/>
      <c r="AC718" s="3"/>
      <c r="AD718" s="3"/>
      <c r="AE718" s="3"/>
      <c r="AF718" s="3"/>
    </row>
    <row r="719" ht="15.75" customHeight="1">
      <c r="J719" s="15"/>
      <c r="K719" s="188"/>
      <c r="L719" s="15"/>
      <c r="M719" s="15"/>
      <c r="N719" s="15"/>
      <c r="O719" s="15"/>
      <c r="P719" s="15"/>
      <c r="Q719" s="15"/>
      <c r="R719" s="15"/>
      <c r="S719" s="15"/>
      <c r="T719" s="15"/>
      <c r="U719" s="15"/>
      <c r="V719" s="15"/>
      <c r="W719" s="15"/>
      <c r="X719" s="14"/>
      <c r="Y719" s="14"/>
      <c r="Z719" s="15"/>
      <c r="AA719" s="3"/>
      <c r="AB719" s="3"/>
      <c r="AC719" s="3"/>
      <c r="AD719" s="3"/>
      <c r="AE719" s="3"/>
      <c r="AF719" s="3"/>
    </row>
    <row r="720" ht="15.75" customHeight="1">
      <c r="J720" s="15"/>
      <c r="K720" s="188"/>
      <c r="L720" s="15"/>
      <c r="M720" s="15"/>
      <c r="N720" s="15"/>
      <c r="O720" s="15"/>
      <c r="P720" s="15"/>
      <c r="Q720" s="15"/>
      <c r="R720" s="15"/>
      <c r="S720" s="15"/>
      <c r="T720" s="15"/>
      <c r="U720" s="15"/>
      <c r="V720" s="15"/>
      <c r="W720" s="15"/>
      <c r="X720" s="14"/>
      <c r="Y720" s="14"/>
      <c r="Z720" s="15"/>
      <c r="AA720" s="3"/>
      <c r="AB720" s="3"/>
      <c r="AC720" s="3"/>
      <c r="AD720" s="3"/>
      <c r="AE720" s="3"/>
      <c r="AF720" s="3"/>
    </row>
    <row r="721" ht="15.75" customHeight="1">
      <c r="J721" s="15"/>
      <c r="K721" s="188"/>
      <c r="L721" s="15"/>
      <c r="M721" s="15"/>
      <c r="N721" s="15"/>
      <c r="O721" s="15"/>
      <c r="P721" s="15"/>
      <c r="Q721" s="15"/>
      <c r="R721" s="15"/>
      <c r="S721" s="15"/>
      <c r="T721" s="15"/>
      <c r="U721" s="15"/>
      <c r="V721" s="15"/>
      <c r="W721" s="15"/>
      <c r="X721" s="14"/>
      <c r="Y721" s="14"/>
      <c r="Z721" s="15"/>
      <c r="AA721" s="3"/>
      <c r="AB721" s="3"/>
      <c r="AC721" s="3"/>
      <c r="AD721" s="3"/>
      <c r="AE721" s="3"/>
      <c r="AF721" s="3"/>
    </row>
    <row r="722" ht="15.75" customHeight="1">
      <c r="J722" s="15"/>
      <c r="K722" s="188"/>
      <c r="L722" s="15"/>
      <c r="M722" s="15"/>
      <c r="N722" s="15"/>
      <c r="O722" s="15"/>
      <c r="P722" s="15"/>
      <c r="Q722" s="15"/>
      <c r="R722" s="15"/>
      <c r="S722" s="15"/>
      <c r="T722" s="15"/>
      <c r="U722" s="15"/>
      <c r="V722" s="15"/>
      <c r="W722" s="15"/>
      <c r="X722" s="14"/>
      <c r="Y722" s="14"/>
      <c r="Z722" s="15"/>
      <c r="AA722" s="3"/>
      <c r="AB722" s="3"/>
      <c r="AC722" s="3"/>
      <c r="AD722" s="3"/>
      <c r="AE722" s="3"/>
      <c r="AF722" s="3"/>
    </row>
    <row r="723" ht="15.75" customHeight="1">
      <c r="J723" s="15"/>
      <c r="K723" s="188"/>
      <c r="L723" s="15"/>
      <c r="M723" s="15"/>
      <c r="N723" s="15"/>
      <c r="O723" s="15"/>
      <c r="P723" s="15"/>
      <c r="Q723" s="15"/>
      <c r="R723" s="15"/>
      <c r="S723" s="15"/>
      <c r="T723" s="15"/>
      <c r="U723" s="15"/>
      <c r="V723" s="15"/>
      <c r="W723" s="15"/>
      <c r="X723" s="14"/>
      <c r="Y723" s="14"/>
      <c r="Z723" s="15"/>
      <c r="AA723" s="3"/>
      <c r="AB723" s="3"/>
      <c r="AC723" s="3"/>
      <c r="AD723" s="3"/>
      <c r="AE723" s="3"/>
      <c r="AF723" s="3"/>
    </row>
    <row r="724" ht="15.75" customHeight="1">
      <c r="J724" s="15"/>
      <c r="K724" s="188"/>
      <c r="L724" s="15"/>
      <c r="M724" s="15"/>
      <c r="N724" s="15"/>
      <c r="O724" s="15"/>
      <c r="P724" s="15"/>
      <c r="Q724" s="15"/>
      <c r="R724" s="15"/>
      <c r="S724" s="15"/>
      <c r="T724" s="15"/>
      <c r="U724" s="15"/>
      <c r="V724" s="15"/>
      <c r="W724" s="15"/>
      <c r="X724" s="14"/>
      <c r="Y724" s="14"/>
      <c r="Z724" s="15"/>
      <c r="AA724" s="3"/>
      <c r="AB724" s="3"/>
      <c r="AC724" s="3"/>
      <c r="AD724" s="3"/>
      <c r="AE724" s="3"/>
      <c r="AF724" s="3"/>
    </row>
    <row r="725" ht="15.75" customHeight="1">
      <c r="J725" s="15"/>
      <c r="K725" s="188"/>
      <c r="L725" s="15"/>
      <c r="M725" s="15"/>
      <c r="N725" s="15"/>
      <c r="O725" s="15"/>
      <c r="P725" s="15"/>
      <c r="Q725" s="15"/>
      <c r="R725" s="15"/>
      <c r="S725" s="15"/>
      <c r="T725" s="15"/>
      <c r="U725" s="15"/>
      <c r="V725" s="15"/>
      <c r="W725" s="15"/>
      <c r="X725" s="14"/>
      <c r="Y725" s="14"/>
      <c r="Z725" s="15"/>
      <c r="AA725" s="3"/>
      <c r="AB725" s="3"/>
      <c r="AC725" s="3"/>
      <c r="AD725" s="3"/>
      <c r="AE725" s="3"/>
      <c r="AF725" s="3"/>
    </row>
    <row r="726" ht="15.75" customHeight="1">
      <c r="J726" s="15"/>
      <c r="K726" s="188"/>
      <c r="L726" s="15"/>
      <c r="M726" s="15"/>
      <c r="N726" s="15"/>
      <c r="O726" s="15"/>
      <c r="P726" s="15"/>
      <c r="Q726" s="15"/>
      <c r="R726" s="15"/>
      <c r="S726" s="15"/>
      <c r="T726" s="15"/>
      <c r="U726" s="15"/>
      <c r="V726" s="15"/>
      <c r="W726" s="15"/>
      <c r="X726" s="14"/>
      <c r="Y726" s="14"/>
      <c r="Z726" s="15"/>
      <c r="AA726" s="3"/>
      <c r="AB726" s="3"/>
      <c r="AC726" s="3"/>
      <c r="AD726" s="3"/>
      <c r="AE726" s="3"/>
      <c r="AF726" s="3"/>
    </row>
    <row r="727" ht="15.75" customHeight="1">
      <c r="J727" s="15"/>
      <c r="K727" s="188"/>
      <c r="L727" s="15"/>
      <c r="M727" s="15"/>
      <c r="N727" s="15"/>
      <c r="O727" s="15"/>
      <c r="P727" s="15"/>
      <c r="Q727" s="15"/>
      <c r="R727" s="15"/>
      <c r="S727" s="15"/>
      <c r="T727" s="15"/>
      <c r="U727" s="15"/>
      <c r="V727" s="15"/>
      <c r="W727" s="15"/>
      <c r="X727" s="14"/>
      <c r="Y727" s="14"/>
      <c r="Z727" s="15"/>
      <c r="AA727" s="3"/>
      <c r="AB727" s="3"/>
      <c r="AC727" s="3"/>
      <c r="AD727" s="3"/>
      <c r="AE727" s="3"/>
      <c r="AF727" s="3"/>
    </row>
    <row r="728" ht="15.75" customHeight="1">
      <c r="J728" s="15"/>
      <c r="K728" s="188"/>
      <c r="L728" s="15"/>
      <c r="M728" s="15"/>
      <c r="N728" s="15"/>
      <c r="O728" s="15"/>
      <c r="P728" s="15"/>
      <c r="Q728" s="15"/>
      <c r="R728" s="15"/>
      <c r="S728" s="15"/>
      <c r="T728" s="15"/>
      <c r="U728" s="15"/>
      <c r="V728" s="15"/>
      <c r="W728" s="15"/>
      <c r="X728" s="14"/>
      <c r="Y728" s="14"/>
      <c r="Z728" s="15"/>
      <c r="AA728" s="3"/>
      <c r="AB728" s="3"/>
      <c r="AC728" s="3"/>
      <c r="AD728" s="3"/>
      <c r="AE728" s="3"/>
      <c r="AF728" s="3"/>
    </row>
    <row r="729" ht="15.75" customHeight="1">
      <c r="J729" s="15"/>
      <c r="K729" s="188"/>
      <c r="L729" s="15"/>
      <c r="M729" s="15"/>
      <c r="N729" s="15"/>
      <c r="O729" s="15"/>
      <c r="P729" s="15"/>
      <c r="Q729" s="15"/>
      <c r="R729" s="15"/>
      <c r="S729" s="15"/>
      <c r="T729" s="15"/>
      <c r="U729" s="15"/>
      <c r="V729" s="15"/>
      <c r="W729" s="15"/>
      <c r="X729" s="14"/>
      <c r="Y729" s="14"/>
      <c r="Z729" s="15"/>
      <c r="AA729" s="3"/>
      <c r="AB729" s="3"/>
      <c r="AC729" s="3"/>
      <c r="AD729" s="3"/>
      <c r="AE729" s="3"/>
      <c r="AF729" s="3"/>
    </row>
    <row r="730" ht="15.75" customHeight="1">
      <c r="J730" s="15"/>
      <c r="K730" s="188"/>
      <c r="L730" s="15"/>
      <c r="M730" s="15"/>
      <c r="N730" s="15"/>
      <c r="O730" s="15"/>
      <c r="P730" s="15"/>
      <c r="Q730" s="15"/>
      <c r="R730" s="15"/>
      <c r="S730" s="15"/>
      <c r="T730" s="15"/>
      <c r="U730" s="15"/>
      <c r="V730" s="15"/>
      <c r="W730" s="15"/>
      <c r="X730" s="14"/>
      <c r="Y730" s="14"/>
      <c r="Z730" s="15"/>
      <c r="AA730" s="3"/>
      <c r="AB730" s="3"/>
      <c r="AC730" s="3"/>
      <c r="AD730" s="3"/>
      <c r="AE730" s="3"/>
      <c r="AF730" s="3"/>
    </row>
    <row r="731" ht="15.75" customHeight="1">
      <c r="J731" s="15"/>
      <c r="K731" s="188"/>
      <c r="L731" s="15"/>
      <c r="M731" s="15"/>
      <c r="N731" s="15"/>
      <c r="O731" s="15"/>
      <c r="P731" s="15"/>
      <c r="Q731" s="15"/>
      <c r="R731" s="15"/>
      <c r="S731" s="15"/>
      <c r="T731" s="15"/>
      <c r="U731" s="15"/>
      <c r="V731" s="15"/>
      <c r="W731" s="15"/>
      <c r="X731" s="14"/>
      <c r="Y731" s="14"/>
      <c r="Z731" s="15"/>
      <c r="AA731" s="3"/>
      <c r="AB731" s="3"/>
      <c r="AC731" s="3"/>
      <c r="AD731" s="3"/>
      <c r="AE731" s="3"/>
      <c r="AF731" s="3"/>
    </row>
    <row r="732" ht="15.75" customHeight="1">
      <c r="J732" s="15"/>
      <c r="K732" s="188"/>
      <c r="L732" s="15"/>
      <c r="M732" s="15"/>
      <c r="N732" s="15"/>
      <c r="O732" s="15"/>
      <c r="P732" s="15"/>
      <c r="Q732" s="15"/>
      <c r="R732" s="15"/>
      <c r="S732" s="15"/>
      <c r="T732" s="15"/>
      <c r="U732" s="15"/>
      <c r="V732" s="15"/>
      <c r="W732" s="15"/>
      <c r="X732" s="14"/>
      <c r="Y732" s="14"/>
      <c r="Z732" s="15"/>
      <c r="AA732" s="3"/>
      <c r="AB732" s="3"/>
      <c r="AC732" s="3"/>
      <c r="AD732" s="3"/>
      <c r="AE732" s="3"/>
      <c r="AF732" s="3"/>
    </row>
    <row r="733" ht="15.75" customHeight="1">
      <c r="J733" s="15"/>
      <c r="K733" s="188"/>
      <c r="L733" s="15"/>
      <c r="M733" s="15"/>
      <c r="N733" s="15"/>
      <c r="O733" s="15"/>
      <c r="P733" s="15"/>
      <c r="Q733" s="15"/>
      <c r="R733" s="15"/>
      <c r="S733" s="15"/>
      <c r="T733" s="15"/>
      <c r="U733" s="15"/>
      <c r="V733" s="15"/>
      <c r="W733" s="15"/>
      <c r="X733" s="14"/>
      <c r="Y733" s="14"/>
      <c r="Z733" s="15"/>
      <c r="AA733" s="3"/>
      <c r="AB733" s="3"/>
      <c r="AC733" s="3"/>
      <c r="AD733" s="3"/>
      <c r="AE733" s="3"/>
      <c r="AF733" s="3"/>
    </row>
    <row r="734" ht="15.75" customHeight="1">
      <c r="J734" s="15"/>
      <c r="K734" s="188"/>
      <c r="L734" s="15"/>
      <c r="M734" s="15"/>
      <c r="N734" s="15"/>
      <c r="O734" s="15"/>
      <c r="P734" s="15"/>
      <c r="Q734" s="15"/>
      <c r="R734" s="15"/>
      <c r="S734" s="15"/>
      <c r="T734" s="15"/>
      <c r="U734" s="15"/>
      <c r="V734" s="15"/>
      <c r="W734" s="15"/>
      <c r="X734" s="14"/>
      <c r="Y734" s="14"/>
      <c r="Z734" s="15"/>
      <c r="AA734" s="3"/>
      <c r="AB734" s="3"/>
      <c r="AC734" s="3"/>
      <c r="AD734" s="3"/>
      <c r="AE734" s="3"/>
      <c r="AF734" s="3"/>
    </row>
    <row r="735" ht="15.75" customHeight="1">
      <c r="J735" s="15"/>
      <c r="K735" s="188"/>
      <c r="L735" s="15"/>
      <c r="M735" s="15"/>
      <c r="N735" s="15"/>
      <c r="O735" s="15"/>
      <c r="P735" s="15"/>
      <c r="Q735" s="15"/>
      <c r="R735" s="15"/>
      <c r="S735" s="15"/>
      <c r="T735" s="15"/>
      <c r="U735" s="15"/>
      <c r="V735" s="15"/>
      <c r="W735" s="15"/>
      <c r="X735" s="14"/>
      <c r="Y735" s="14"/>
      <c r="Z735" s="15"/>
      <c r="AA735" s="3"/>
      <c r="AB735" s="3"/>
      <c r="AC735" s="3"/>
      <c r="AD735" s="3"/>
      <c r="AE735" s="3"/>
      <c r="AF735" s="3"/>
    </row>
    <row r="736" ht="15.75" customHeight="1">
      <c r="J736" s="15"/>
      <c r="K736" s="188"/>
      <c r="L736" s="15"/>
      <c r="M736" s="15"/>
      <c r="N736" s="15"/>
      <c r="O736" s="15"/>
      <c r="P736" s="15"/>
      <c r="Q736" s="15"/>
      <c r="R736" s="15"/>
      <c r="S736" s="15"/>
      <c r="T736" s="15"/>
      <c r="U736" s="15"/>
      <c r="V736" s="15"/>
      <c r="W736" s="15"/>
      <c r="X736" s="14"/>
      <c r="Y736" s="14"/>
      <c r="Z736" s="15"/>
      <c r="AA736" s="3"/>
      <c r="AB736" s="3"/>
      <c r="AC736" s="3"/>
      <c r="AD736" s="3"/>
      <c r="AE736" s="3"/>
      <c r="AF736" s="3"/>
    </row>
    <row r="737" ht="15.75" customHeight="1">
      <c r="J737" s="15"/>
      <c r="K737" s="188"/>
      <c r="L737" s="15"/>
      <c r="M737" s="15"/>
      <c r="N737" s="15"/>
      <c r="O737" s="15"/>
      <c r="P737" s="15"/>
      <c r="Q737" s="15"/>
      <c r="R737" s="15"/>
      <c r="S737" s="15"/>
      <c r="T737" s="15"/>
      <c r="U737" s="15"/>
      <c r="V737" s="15"/>
      <c r="W737" s="15"/>
      <c r="X737" s="14"/>
      <c r="Y737" s="14"/>
      <c r="Z737" s="15"/>
      <c r="AA737" s="3"/>
      <c r="AB737" s="3"/>
      <c r="AC737" s="3"/>
      <c r="AD737" s="3"/>
      <c r="AE737" s="3"/>
      <c r="AF737" s="3"/>
    </row>
    <row r="738" ht="15.75" customHeight="1">
      <c r="J738" s="15"/>
      <c r="K738" s="188"/>
      <c r="L738" s="15"/>
      <c r="M738" s="15"/>
      <c r="N738" s="15"/>
      <c r="O738" s="15"/>
      <c r="P738" s="15"/>
      <c r="Q738" s="15"/>
      <c r="R738" s="15"/>
      <c r="S738" s="15"/>
      <c r="T738" s="15"/>
      <c r="U738" s="15"/>
      <c r="V738" s="15"/>
      <c r="W738" s="15"/>
      <c r="X738" s="14"/>
      <c r="Y738" s="14"/>
      <c r="Z738" s="15"/>
      <c r="AA738" s="3"/>
      <c r="AB738" s="3"/>
      <c r="AC738" s="3"/>
      <c r="AD738" s="3"/>
      <c r="AE738" s="3"/>
      <c r="AF738" s="3"/>
    </row>
    <row r="739" ht="15.75" customHeight="1">
      <c r="J739" s="15"/>
      <c r="K739" s="188"/>
      <c r="L739" s="15"/>
      <c r="M739" s="15"/>
      <c r="N739" s="15"/>
      <c r="O739" s="15"/>
      <c r="P739" s="15"/>
      <c r="Q739" s="15"/>
      <c r="R739" s="15"/>
      <c r="S739" s="15"/>
      <c r="T739" s="15"/>
      <c r="U739" s="15"/>
      <c r="V739" s="15"/>
      <c r="W739" s="15"/>
      <c r="X739" s="14"/>
      <c r="Y739" s="14"/>
      <c r="Z739" s="15"/>
      <c r="AA739" s="3"/>
      <c r="AB739" s="3"/>
      <c r="AC739" s="3"/>
      <c r="AD739" s="3"/>
      <c r="AE739" s="3"/>
      <c r="AF739" s="3"/>
    </row>
    <row r="740" ht="15.75" customHeight="1">
      <c r="J740" s="15"/>
      <c r="K740" s="188"/>
      <c r="L740" s="15"/>
      <c r="M740" s="15"/>
      <c r="N740" s="15"/>
      <c r="O740" s="15"/>
      <c r="P740" s="15"/>
      <c r="Q740" s="15"/>
      <c r="R740" s="15"/>
      <c r="S740" s="15"/>
      <c r="T740" s="15"/>
      <c r="U740" s="15"/>
      <c r="V740" s="15"/>
      <c r="W740" s="15"/>
      <c r="X740" s="14"/>
      <c r="Y740" s="14"/>
      <c r="Z740" s="15"/>
      <c r="AA740" s="3"/>
      <c r="AB740" s="3"/>
      <c r="AC740" s="3"/>
      <c r="AD740" s="3"/>
      <c r="AE740" s="3"/>
      <c r="AF740" s="3"/>
    </row>
    <row r="741" ht="15.75" customHeight="1">
      <c r="J741" s="15"/>
      <c r="K741" s="188"/>
      <c r="L741" s="15"/>
      <c r="M741" s="15"/>
      <c r="N741" s="15"/>
      <c r="O741" s="15"/>
      <c r="P741" s="15"/>
      <c r="Q741" s="15"/>
      <c r="R741" s="15"/>
      <c r="S741" s="15"/>
      <c r="T741" s="15"/>
      <c r="U741" s="15"/>
      <c r="V741" s="15"/>
      <c r="W741" s="15"/>
      <c r="X741" s="14"/>
      <c r="Y741" s="14"/>
      <c r="Z741" s="15"/>
      <c r="AA741" s="3"/>
      <c r="AB741" s="3"/>
      <c r="AC741" s="3"/>
      <c r="AD741" s="3"/>
      <c r="AE741" s="3"/>
      <c r="AF741" s="3"/>
    </row>
    <row r="742" ht="15.75" customHeight="1">
      <c r="J742" s="15"/>
      <c r="K742" s="188"/>
      <c r="L742" s="15"/>
      <c r="M742" s="15"/>
      <c r="N742" s="15"/>
      <c r="O742" s="15"/>
      <c r="P742" s="15"/>
      <c r="Q742" s="15"/>
      <c r="R742" s="15"/>
      <c r="S742" s="15"/>
      <c r="T742" s="15"/>
      <c r="U742" s="15"/>
      <c r="V742" s="15"/>
      <c r="W742" s="15"/>
      <c r="X742" s="14"/>
      <c r="Y742" s="14"/>
      <c r="Z742" s="15"/>
      <c r="AA742" s="3"/>
      <c r="AB742" s="3"/>
      <c r="AC742" s="3"/>
      <c r="AD742" s="3"/>
      <c r="AE742" s="3"/>
      <c r="AF742" s="3"/>
    </row>
    <row r="743" ht="15.75" customHeight="1">
      <c r="J743" s="15"/>
      <c r="K743" s="188"/>
      <c r="L743" s="15"/>
      <c r="M743" s="15"/>
      <c r="N743" s="15"/>
      <c r="O743" s="15"/>
      <c r="P743" s="15"/>
      <c r="Q743" s="15"/>
      <c r="R743" s="15"/>
      <c r="S743" s="15"/>
      <c r="T743" s="15"/>
      <c r="U743" s="15"/>
      <c r="V743" s="15"/>
      <c r="W743" s="15"/>
      <c r="X743" s="14"/>
      <c r="Y743" s="14"/>
      <c r="Z743" s="15"/>
      <c r="AA743" s="3"/>
      <c r="AB743" s="3"/>
      <c r="AC743" s="3"/>
      <c r="AD743" s="3"/>
      <c r="AE743" s="3"/>
      <c r="AF743" s="3"/>
    </row>
    <row r="744" ht="15.75" customHeight="1">
      <c r="J744" s="15"/>
      <c r="K744" s="188"/>
      <c r="L744" s="15"/>
      <c r="M744" s="15"/>
      <c r="N744" s="15"/>
      <c r="O744" s="15"/>
      <c r="P744" s="15"/>
      <c r="Q744" s="15"/>
      <c r="R744" s="15"/>
      <c r="S744" s="15"/>
      <c r="T744" s="15"/>
      <c r="U744" s="15"/>
      <c r="V744" s="15"/>
      <c r="W744" s="15"/>
      <c r="X744" s="14"/>
      <c r="Y744" s="14"/>
      <c r="Z744" s="15"/>
      <c r="AA744" s="3"/>
      <c r="AB744" s="3"/>
      <c r="AC744" s="3"/>
      <c r="AD744" s="3"/>
      <c r="AE744" s="3"/>
      <c r="AF744" s="3"/>
    </row>
    <row r="745" ht="15.75" customHeight="1">
      <c r="J745" s="15"/>
      <c r="K745" s="188"/>
      <c r="L745" s="15"/>
      <c r="M745" s="15"/>
      <c r="N745" s="15"/>
      <c r="O745" s="15"/>
      <c r="P745" s="15"/>
      <c r="Q745" s="15"/>
      <c r="R745" s="15"/>
      <c r="S745" s="15"/>
      <c r="T745" s="15"/>
      <c r="U745" s="15"/>
      <c r="V745" s="15"/>
      <c r="W745" s="15"/>
      <c r="X745" s="14"/>
      <c r="Y745" s="14"/>
      <c r="Z745" s="15"/>
      <c r="AA745" s="3"/>
      <c r="AB745" s="3"/>
      <c r="AC745" s="3"/>
      <c r="AD745" s="3"/>
      <c r="AE745" s="3"/>
      <c r="AF745" s="3"/>
    </row>
    <row r="746" ht="15.75" customHeight="1">
      <c r="J746" s="15"/>
      <c r="K746" s="188"/>
      <c r="L746" s="15"/>
      <c r="M746" s="15"/>
      <c r="N746" s="15"/>
      <c r="O746" s="15"/>
      <c r="P746" s="15"/>
      <c r="Q746" s="15"/>
      <c r="R746" s="15"/>
      <c r="S746" s="15"/>
      <c r="T746" s="15"/>
      <c r="U746" s="15"/>
      <c r="V746" s="15"/>
      <c r="W746" s="15"/>
      <c r="X746" s="14"/>
      <c r="Y746" s="14"/>
      <c r="Z746" s="15"/>
      <c r="AA746" s="3"/>
      <c r="AB746" s="3"/>
      <c r="AC746" s="3"/>
      <c r="AD746" s="3"/>
      <c r="AE746" s="3"/>
      <c r="AF746" s="3"/>
    </row>
    <row r="747" ht="15.75" customHeight="1">
      <c r="J747" s="15"/>
      <c r="K747" s="188"/>
      <c r="L747" s="15"/>
      <c r="M747" s="15"/>
      <c r="N747" s="15"/>
      <c r="O747" s="15"/>
      <c r="P747" s="15"/>
      <c r="Q747" s="15"/>
      <c r="R747" s="15"/>
      <c r="S747" s="15"/>
      <c r="T747" s="15"/>
      <c r="U747" s="15"/>
      <c r="V747" s="15"/>
      <c r="W747" s="15"/>
      <c r="X747" s="14"/>
      <c r="Y747" s="14"/>
      <c r="Z747" s="15"/>
      <c r="AA747" s="3"/>
      <c r="AB747" s="3"/>
      <c r="AC747" s="3"/>
      <c r="AD747" s="3"/>
      <c r="AE747" s="3"/>
      <c r="AF747" s="3"/>
    </row>
    <row r="748" ht="15.75" customHeight="1">
      <c r="J748" s="15"/>
      <c r="K748" s="188"/>
      <c r="L748" s="15"/>
      <c r="M748" s="15"/>
      <c r="N748" s="15"/>
      <c r="O748" s="15"/>
      <c r="P748" s="15"/>
      <c r="Q748" s="15"/>
      <c r="R748" s="15"/>
      <c r="S748" s="15"/>
      <c r="T748" s="15"/>
      <c r="U748" s="15"/>
      <c r="V748" s="15"/>
      <c r="W748" s="15"/>
      <c r="X748" s="14"/>
      <c r="Y748" s="14"/>
      <c r="Z748" s="15"/>
      <c r="AA748" s="3"/>
      <c r="AB748" s="3"/>
      <c r="AC748" s="3"/>
      <c r="AD748" s="3"/>
      <c r="AE748" s="3"/>
      <c r="AF748" s="3"/>
    </row>
    <row r="749" ht="15.75" customHeight="1">
      <c r="J749" s="15"/>
      <c r="K749" s="188"/>
      <c r="L749" s="15"/>
      <c r="M749" s="15"/>
      <c r="N749" s="15"/>
      <c r="O749" s="15"/>
      <c r="P749" s="15"/>
      <c r="Q749" s="15"/>
      <c r="R749" s="15"/>
      <c r="S749" s="15"/>
      <c r="T749" s="15"/>
      <c r="U749" s="15"/>
      <c r="V749" s="15"/>
      <c r="W749" s="15"/>
      <c r="X749" s="14"/>
      <c r="Y749" s="14"/>
      <c r="Z749" s="15"/>
      <c r="AA749" s="3"/>
      <c r="AB749" s="3"/>
      <c r="AC749" s="3"/>
      <c r="AD749" s="3"/>
      <c r="AE749" s="3"/>
      <c r="AF749" s="3"/>
    </row>
    <row r="750" ht="15.75" customHeight="1">
      <c r="J750" s="15"/>
      <c r="K750" s="188"/>
      <c r="L750" s="15"/>
      <c r="M750" s="15"/>
      <c r="N750" s="15"/>
      <c r="O750" s="15"/>
      <c r="P750" s="15"/>
      <c r="Q750" s="15"/>
      <c r="R750" s="15"/>
      <c r="S750" s="15"/>
      <c r="T750" s="15"/>
      <c r="U750" s="15"/>
      <c r="V750" s="15"/>
      <c r="W750" s="15"/>
      <c r="X750" s="14"/>
      <c r="Y750" s="14"/>
      <c r="Z750" s="15"/>
      <c r="AA750" s="3"/>
      <c r="AB750" s="3"/>
      <c r="AC750" s="3"/>
      <c r="AD750" s="3"/>
      <c r="AE750" s="3"/>
      <c r="AF750" s="3"/>
    </row>
    <row r="751" ht="15.75" customHeight="1">
      <c r="J751" s="15"/>
      <c r="K751" s="188"/>
      <c r="L751" s="15"/>
      <c r="M751" s="15"/>
      <c r="N751" s="15"/>
      <c r="O751" s="15"/>
      <c r="P751" s="15"/>
      <c r="Q751" s="15"/>
      <c r="R751" s="15"/>
      <c r="S751" s="15"/>
      <c r="T751" s="15"/>
      <c r="U751" s="15"/>
      <c r="V751" s="15"/>
      <c r="W751" s="15"/>
      <c r="X751" s="14"/>
      <c r="Y751" s="14"/>
      <c r="Z751" s="15"/>
      <c r="AA751" s="3"/>
      <c r="AB751" s="3"/>
      <c r="AC751" s="3"/>
      <c r="AD751" s="3"/>
      <c r="AE751" s="3"/>
      <c r="AF751" s="3"/>
    </row>
    <row r="752" ht="15.75" customHeight="1">
      <c r="J752" s="15"/>
      <c r="K752" s="188"/>
      <c r="L752" s="15"/>
      <c r="M752" s="15"/>
      <c r="N752" s="15"/>
      <c r="O752" s="15"/>
      <c r="P752" s="15"/>
      <c r="Q752" s="15"/>
      <c r="R752" s="15"/>
      <c r="S752" s="15"/>
      <c r="T752" s="15"/>
      <c r="U752" s="15"/>
      <c r="V752" s="15"/>
      <c r="W752" s="15"/>
      <c r="X752" s="14"/>
      <c r="Y752" s="14"/>
      <c r="Z752" s="15"/>
      <c r="AA752" s="3"/>
      <c r="AB752" s="3"/>
      <c r="AC752" s="3"/>
      <c r="AD752" s="3"/>
      <c r="AE752" s="3"/>
      <c r="AF752" s="3"/>
    </row>
    <row r="753" ht="15.75" customHeight="1">
      <c r="J753" s="15"/>
      <c r="K753" s="188"/>
      <c r="L753" s="15"/>
      <c r="M753" s="15"/>
      <c r="N753" s="15"/>
      <c r="O753" s="15"/>
      <c r="P753" s="15"/>
      <c r="Q753" s="15"/>
      <c r="R753" s="15"/>
      <c r="S753" s="15"/>
      <c r="T753" s="15"/>
      <c r="U753" s="15"/>
      <c r="V753" s="15"/>
      <c r="W753" s="15"/>
      <c r="X753" s="14"/>
      <c r="Y753" s="14"/>
      <c r="Z753" s="15"/>
      <c r="AA753" s="3"/>
      <c r="AB753" s="3"/>
      <c r="AC753" s="3"/>
      <c r="AD753" s="3"/>
      <c r="AE753" s="3"/>
      <c r="AF753" s="3"/>
    </row>
    <row r="754" ht="15.75" customHeight="1">
      <c r="J754" s="15"/>
      <c r="K754" s="188"/>
      <c r="L754" s="15"/>
      <c r="M754" s="15"/>
      <c r="N754" s="15"/>
      <c r="O754" s="15"/>
      <c r="P754" s="15"/>
      <c r="Q754" s="15"/>
      <c r="R754" s="15"/>
      <c r="S754" s="15"/>
      <c r="T754" s="15"/>
      <c r="U754" s="15"/>
      <c r="V754" s="15"/>
      <c r="W754" s="15"/>
      <c r="X754" s="14"/>
      <c r="Y754" s="14"/>
      <c r="Z754" s="15"/>
      <c r="AA754" s="3"/>
      <c r="AB754" s="3"/>
      <c r="AC754" s="3"/>
      <c r="AD754" s="3"/>
      <c r="AE754" s="3"/>
      <c r="AF754" s="3"/>
    </row>
    <row r="755" ht="15.75" customHeight="1">
      <c r="J755" s="15"/>
      <c r="K755" s="188"/>
      <c r="L755" s="15"/>
      <c r="M755" s="15"/>
      <c r="N755" s="15"/>
      <c r="O755" s="15"/>
      <c r="P755" s="15"/>
      <c r="Q755" s="15"/>
      <c r="R755" s="15"/>
      <c r="S755" s="15"/>
      <c r="T755" s="15"/>
      <c r="U755" s="15"/>
      <c r="V755" s="15"/>
      <c r="W755" s="15"/>
      <c r="X755" s="14"/>
      <c r="Y755" s="14"/>
      <c r="Z755" s="15"/>
      <c r="AA755" s="3"/>
      <c r="AB755" s="3"/>
      <c r="AC755" s="3"/>
      <c r="AD755" s="3"/>
      <c r="AE755" s="3"/>
      <c r="AF755" s="3"/>
    </row>
    <row r="756" ht="15.75" customHeight="1">
      <c r="J756" s="15"/>
      <c r="K756" s="188"/>
      <c r="L756" s="15"/>
      <c r="M756" s="15"/>
      <c r="N756" s="15"/>
      <c r="O756" s="15"/>
      <c r="P756" s="15"/>
      <c r="Q756" s="15"/>
      <c r="R756" s="15"/>
      <c r="S756" s="15"/>
      <c r="T756" s="15"/>
      <c r="U756" s="15"/>
      <c r="V756" s="15"/>
      <c r="W756" s="15"/>
      <c r="X756" s="14"/>
      <c r="Y756" s="14"/>
      <c r="Z756" s="15"/>
      <c r="AA756" s="3"/>
      <c r="AB756" s="3"/>
      <c r="AC756" s="3"/>
      <c r="AD756" s="3"/>
      <c r="AE756" s="3"/>
      <c r="AF756" s="3"/>
    </row>
    <row r="757" ht="15.75" customHeight="1">
      <c r="J757" s="15"/>
      <c r="K757" s="188"/>
      <c r="L757" s="15"/>
      <c r="M757" s="15"/>
      <c r="N757" s="15"/>
      <c r="O757" s="15"/>
      <c r="P757" s="15"/>
      <c r="Q757" s="15"/>
      <c r="R757" s="15"/>
      <c r="S757" s="15"/>
      <c r="T757" s="15"/>
      <c r="U757" s="15"/>
      <c r="V757" s="15"/>
      <c r="W757" s="15"/>
      <c r="X757" s="14"/>
      <c r="Y757" s="14"/>
      <c r="Z757" s="15"/>
      <c r="AA757" s="3"/>
      <c r="AB757" s="3"/>
      <c r="AC757" s="3"/>
      <c r="AD757" s="3"/>
      <c r="AE757" s="3"/>
      <c r="AF757" s="3"/>
    </row>
    <row r="758" ht="15.75" customHeight="1">
      <c r="J758" s="15"/>
      <c r="K758" s="188"/>
      <c r="L758" s="15"/>
      <c r="M758" s="15"/>
      <c r="N758" s="15"/>
      <c r="O758" s="15"/>
      <c r="P758" s="15"/>
      <c r="Q758" s="15"/>
      <c r="R758" s="15"/>
      <c r="S758" s="15"/>
      <c r="T758" s="15"/>
      <c r="U758" s="15"/>
      <c r="V758" s="15"/>
      <c r="W758" s="15"/>
      <c r="X758" s="14"/>
      <c r="Y758" s="14"/>
      <c r="Z758" s="15"/>
      <c r="AA758" s="3"/>
      <c r="AB758" s="3"/>
      <c r="AC758" s="3"/>
      <c r="AD758" s="3"/>
      <c r="AE758" s="3"/>
      <c r="AF758" s="3"/>
    </row>
    <row r="759" ht="15.75" customHeight="1">
      <c r="J759" s="15"/>
      <c r="K759" s="188"/>
      <c r="L759" s="15"/>
      <c r="M759" s="15"/>
      <c r="N759" s="15"/>
      <c r="O759" s="15"/>
      <c r="P759" s="15"/>
      <c r="Q759" s="15"/>
      <c r="R759" s="15"/>
      <c r="S759" s="15"/>
      <c r="T759" s="15"/>
      <c r="U759" s="15"/>
      <c r="V759" s="15"/>
      <c r="W759" s="15"/>
      <c r="X759" s="14"/>
      <c r="Y759" s="14"/>
      <c r="Z759" s="15"/>
      <c r="AA759" s="3"/>
      <c r="AB759" s="3"/>
      <c r="AC759" s="3"/>
      <c r="AD759" s="3"/>
      <c r="AE759" s="3"/>
      <c r="AF759" s="3"/>
    </row>
    <row r="760" ht="15.75" customHeight="1">
      <c r="J760" s="15"/>
      <c r="K760" s="188"/>
      <c r="L760" s="15"/>
      <c r="M760" s="15"/>
      <c r="N760" s="15"/>
      <c r="O760" s="15"/>
      <c r="P760" s="15"/>
      <c r="Q760" s="15"/>
      <c r="R760" s="15"/>
      <c r="S760" s="15"/>
      <c r="T760" s="15"/>
      <c r="U760" s="15"/>
      <c r="V760" s="15"/>
      <c r="W760" s="15"/>
      <c r="X760" s="14"/>
      <c r="Y760" s="14"/>
      <c r="Z760" s="15"/>
      <c r="AA760" s="3"/>
      <c r="AB760" s="3"/>
      <c r="AC760" s="3"/>
      <c r="AD760" s="3"/>
      <c r="AE760" s="3"/>
      <c r="AF760" s="3"/>
    </row>
    <row r="761" ht="15.75" customHeight="1">
      <c r="J761" s="15"/>
      <c r="K761" s="188"/>
      <c r="L761" s="15"/>
      <c r="M761" s="15"/>
      <c r="N761" s="15"/>
      <c r="O761" s="15"/>
      <c r="P761" s="15"/>
      <c r="Q761" s="15"/>
      <c r="R761" s="15"/>
      <c r="S761" s="15"/>
      <c r="T761" s="15"/>
      <c r="U761" s="15"/>
      <c r="V761" s="15"/>
      <c r="W761" s="15"/>
      <c r="X761" s="14"/>
      <c r="Y761" s="14"/>
      <c r="Z761" s="15"/>
      <c r="AA761" s="3"/>
      <c r="AB761" s="3"/>
      <c r="AC761" s="3"/>
      <c r="AD761" s="3"/>
      <c r="AE761" s="3"/>
      <c r="AF761" s="3"/>
    </row>
    <row r="762" ht="15.75" customHeight="1">
      <c r="J762" s="15"/>
      <c r="K762" s="188"/>
      <c r="L762" s="15"/>
      <c r="M762" s="15"/>
      <c r="N762" s="15"/>
      <c r="O762" s="15"/>
      <c r="P762" s="15"/>
      <c r="Q762" s="15"/>
      <c r="R762" s="15"/>
      <c r="S762" s="15"/>
      <c r="T762" s="15"/>
      <c r="U762" s="15"/>
      <c r="V762" s="15"/>
      <c r="W762" s="15"/>
      <c r="X762" s="14"/>
      <c r="Y762" s="14"/>
      <c r="Z762" s="15"/>
      <c r="AA762" s="3"/>
      <c r="AB762" s="3"/>
      <c r="AC762" s="3"/>
      <c r="AD762" s="3"/>
      <c r="AE762" s="3"/>
      <c r="AF762" s="3"/>
    </row>
    <row r="763" ht="15.75" customHeight="1">
      <c r="J763" s="15"/>
      <c r="K763" s="188"/>
      <c r="L763" s="15"/>
      <c r="M763" s="15"/>
      <c r="N763" s="15"/>
      <c r="O763" s="15"/>
      <c r="P763" s="15"/>
      <c r="Q763" s="15"/>
      <c r="R763" s="15"/>
      <c r="S763" s="15"/>
      <c r="T763" s="15"/>
      <c r="U763" s="15"/>
      <c r="V763" s="15"/>
      <c r="W763" s="15"/>
      <c r="X763" s="14"/>
      <c r="Y763" s="14"/>
      <c r="Z763" s="15"/>
      <c r="AA763" s="3"/>
      <c r="AB763" s="3"/>
      <c r="AC763" s="3"/>
      <c r="AD763" s="3"/>
      <c r="AE763" s="3"/>
      <c r="AF763" s="3"/>
    </row>
    <row r="764" ht="15.75" customHeight="1">
      <c r="J764" s="15"/>
      <c r="K764" s="188"/>
      <c r="L764" s="15"/>
      <c r="M764" s="15"/>
      <c r="N764" s="15"/>
      <c r="O764" s="15"/>
      <c r="P764" s="15"/>
      <c r="Q764" s="15"/>
      <c r="R764" s="15"/>
      <c r="S764" s="15"/>
      <c r="T764" s="15"/>
      <c r="U764" s="15"/>
      <c r="V764" s="15"/>
      <c r="W764" s="15"/>
      <c r="X764" s="14"/>
      <c r="Y764" s="14"/>
      <c r="Z764" s="15"/>
      <c r="AA764" s="3"/>
      <c r="AB764" s="3"/>
      <c r="AC764" s="3"/>
      <c r="AD764" s="3"/>
      <c r="AE764" s="3"/>
      <c r="AF764" s="3"/>
    </row>
    <row r="765" ht="15.75" customHeight="1">
      <c r="J765" s="15"/>
      <c r="K765" s="188"/>
      <c r="L765" s="15"/>
      <c r="M765" s="15"/>
      <c r="N765" s="15"/>
      <c r="O765" s="15"/>
      <c r="P765" s="15"/>
      <c r="Q765" s="15"/>
      <c r="R765" s="15"/>
      <c r="S765" s="15"/>
      <c r="T765" s="15"/>
      <c r="U765" s="15"/>
      <c r="V765" s="15"/>
      <c r="W765" s="15"/>
      <c r="X765" s="14"/>
      <c r="Y765" s="14"/>
      <c r="Z765" s="15"/>
      <c r="AA765" s="3"/>
      <c r="AB765" s="3"/>
      <c r="AC765" s="3"/>
      <c r="AD765" s="3"/>
      <c r="AE765" s="3"/>
      <c r="AF765" s="3"/>
    </row>
    <row r="766" ht="15.75" customHeight="1">
      <c r="J766" s="15"/>
      <c r="K766" s="188"/>
      <c r="L766" s="15"/>
      <c r="M766" s="15"/>
      <c r="N766" s="15"/>
      <c r="O766" s="15"/>
      <c r="P766" s="15"/>
      <c r="Q766" s="15"/>
      <c r="R766" s="15"/>
      <c r="S766" s="15"/>
      <c r="T766" s="15"/>
      <c r="U766" s="15"/>
      <c r="V766" s="15"/>
      <c r="W766" s="15"/>
      <c r="X766" s="14"/>
      <c r="Y766" s="14"/>
      <c r="Z766" s="15"/>
      <c r="AA766" s="3"/>
      <c r="AB766" s="3"/>
      <c r="AC766" s="3"/>
      <c r="AD766" s="3"/>
      <c r="AE766" s="3"/>
      <c r="AF766" s="3"/>
    </row>
    <row r="767" ht="15.75" customHeight="1">
      <c r="J767" s="15"/>
      <c r="K767" s="188"/>
      <c r="L767" s="15"/>
      <c r="M767" s="15"/>
      <c r="N767" s="15"/>
      <c r="O767" s="15"/>
      <c r="P767" s="15"/>
      <c r="Q767" s="15"/>
      <c r="R767" s="15"/>
      <c r="S767" s="15"/>
      <c r="T767" s="15"/>
      <c r="U767" s="15"/>
      <c r="V767" s="15"/>
      <c r="W767" s="15"/>
      <c r="X767" s="14"/>
      <c r="Y767" s="14"/>
      <c r="Z767" s="15"/>
      <c r="AA767" s="3"/>
      <c r="AB767" s="3"/>
      <c r="AC767" s="3"/>
      <c r="AD767" s="3"/>
      <c r="AE767" s="3"/>
      <c r="AF767" s="3"/>
    </row>
    <row r="768" ht="15.75" customHeight="1">
      <c r="J768" s="15"/>
      <c r="K768" s="188"/>
      <c r="L768" s="15"/>
      <c r="M768" s="15"/>
      <c r="N768" s="15"/>
      <c r="O768" s="15"/>
      <c r="P768" s="15"/>
      <c r="Q768" s="15"/>
      <c r="R768" s="15"/>
      <c r="S768" s="15"/>
      <c r="T768" s="15"/>
      <c r="U768" s="15"/>
      <c r="V768" s="15"/>
      <c r="W768" s="15"/>
      <c r="X768" s="14"/>
      <c r="Y768" s="14"/>
      <c r="Z768" s="15"/>
      <c r="AA768" s="3"/>
      <c r="AB768" s="3"/>
      <c r="AC768" s="3"/>
      <c r="AD768" s="3"/>
      <c r="AE768" s="3"/>
      <c r="AF768" s="3"/>
    </row>
    <row r="769" ht="15.75" customHeight="1">
      <c r="J769" s="15"/>
      <c r="K769" s="188"/>
      <c r="L769" s="15"/>
      <c r="M769" s="15"/>
      <c r="N769" s="15"/>
      <c r="O769" s="15"/>
      <c r="P769" s="15"/>
      <c r="Q769" s="15"/>
      <c r="R769" s="15"/>
      <c r="S769" s="15"/>
      <c r="T769" s="15"/>
      <c r="U769" s="15"/>
      <c r="V769" s="15"/>
      <c r="W769" s="15"/>
      <c r="X769" s="14"/>
      <c r="Y769" s="14"/>
      <c r="Z769" s="15"/>
      <c r="AA769" s="3"/>
      <c r="AB769" s="3"/>
      <c r="AC769" s="3"/>
      <c r="AD769" s="3"/>
      <c r="AE769" s="3"/>
      <c r="AF769" s="3"/>
    </row>
    <row r="770" ht="15.75" customHeight="1">
      <c r="J770" s="15"/>
      <c r="K770" s="188"/>
      <c r="L770" s="15"/>
      <c r="M770" s="15"/>
      <c r="N770" s="15"/>
      <c r="O770" s="15"/>
      <c r="P770" s="15"/>
      <c r="Q770" s="15"/>
      <c r="R770" s="15"/>
      <c r="S770" s="15"/>
      <c r="T770" s="15"/>
      <c r="U770" s="15"/>
      <c r="V770" s="15"/>
      <c r="W770" s="15"/>
      <c r="X770" s="14"/>
      <c r="Y770" s="14"/>
      <c r="Z770" s="15"/>
      <c r="AA770" s="3"/>
      <c r="AB770" s="3"/>
      <c r="AC770" s="3"/>
      <c r="AD770" s="3"/>
      <c r="AE770" s="3"/>
      <c r="AF770" s="3"/>
    </row>
    <row r="771" ht="15.75" customHeight="1">
      <c r="J771" s="15"/>
      <c r="K771" s="188"/>
      <c r="L771" s="15"/>
      <c r="M771" s="15"/>
      <c r="N771" s="15"/>
      <c r="O771" s="15"/>
      <c r="P771" s="15"/>
      <c r="Q771" s="15"/>
      <c r="R771" s="15"/>
      <c r="S771" s="15"/>
      <c r="T771" s="15"/>
      <c r="U771" s="15"/>
      <c r="V771" s="15"/>
      <c r="W771" s="15"/>
      <c r="X771" s="14"/>
      <c r="Y771" s="14"/>
      <c r="Z771" s="15"/>
      <c r="AA771" s="3"/>
      <c r="AB771" s="3"/>
      <c r="AC771" s="3"/>
      <c r="AD771" s="3"/>
      <c r="AE771" s="3"/>
      <c r="AF771" s="3"/>
    </row>
    <row r="772" ht="15.75" customHeight="1">
      <c r="J772" s="15"/>
      <c r="K772" s="188"/>
      <c r="L772" s="15"/>
      <c r="M772" s="15"/>
      <c r="N772" s="15"/>
      <c r="O772" s="15"/>
      <c r="P772" s="15"/>
      <c r="Q772" s="15"/>
      <c r="R772" s="15"/>
      <c r="S772" s="15"/>
      <c r="T772" s="15"/>
      <c r="U772" s="15"/>
      <c r="V772" s="15"/>
      <c r="W772" s="15"/>
      <c r="X772" s="14"/>
      <c r="Y772" s="14"/>
      <c r="Z772" s="15"/>
      <c r="AA772" s="3"/>
      <c r="AB772" s="3"/>
      <c r="AC772" s="3"/>
      <c r="AD772" s="3"/>
      <c r="AE772" s="3"/>
      <c r="AF772" s="3"/>
    </row>
    <row r="773" ht="15.75" customHeight="1">
      <c r="J773" s="15"/>
      <c r="K773" s="188"/>
      <c r="L773" s="15"/>
      <c r="M773" s="15"/>
      <c r="N773" s="15"/>
      <c r="O773" s="15"/>
      <c r="P773" s="15"/>
      <c r="Q773" s="15"/>
      <c r="R773" s="15"/>
      <c r="S773" s="15"/>
      <c r="T773" s="15"/>
      <c r="U773" s="15"/>
      <c r="V773" s="15"/>
      <c r="W773" s="15"/>
      <c r="X773" s="14"/>
      <c r="Y773" s="14"/>
      <c r="Z773" s="15"/>
      <c r="AA773" s="3"/>
      <c r="AB773" s="3"/>
      <c r="AC773" s="3"/>
      <c r="AD773" s="3"/>
      <c r="AE773" s="3"/>
      <c r="AF773" s="3"/>
    </row>
    <row r="774" ht="15.75" customHeight="1">
      <c r="J774" s="15"/>
      <c r="K774" s="188"/>
      <c r="L774" s="15"/>
      <c r="M774" s="15"/>
      <c r="N774" s="15"/>
      <c r="O774" s="15"/>
      <c r="P774" s="15"/>
      <c r="Q774" s="15"/>
      <c r="R774" s="15"/>
      <c r="S774" s="15"/>
      <c r="T774" s="15"/>
      <c r="U774" s="15"/>
      <c r="V774" s="15"/>
      <c r="W774" s="15"/>
      <c r="X774" s="14"/>
      <c r="Y774" s="14"/>
      <c r="Z774" s="15"/>
      <c r="AA774" s="3"/>
      <c r="AB774" s="3"/>
      <c r="AC774" s="3"/>
      <c r="AD774" s="3"/>
      <c r="AE774" s="3"/>
      <c r="AF774" s="3"/>
    </row>
    <row r="775" ht="15.75" customHeight="1">
      <c r="J775" s="15"/>
      <c r="K775" s="188"/>
      <c r="L775" s="15"/>
      <c r="M775" s="15"/>
      <c r="N775" s="15"/>
      <c r="O775" s="15"/>
      <c r="P775" s="15"/>
      <c r="Q775" s="15"/>
      <c r="R775" s="15"/>
      <c r="S775" s="15"/>
      <c r="T775" s="15"/>
      <c r="U775" s="15"/>
      <c r="V775" s="15"/>
      <c r="W775" s="15"/>
      <c r="X775" s="14"/>
      <c r="Y775" s="14"/>
      <c r="Z775" s="15"/>
      <c r="AA775" s="3"/>
      <c r="AB775" s="3"/>
      <c r="AC775" s="3"/>
      <c r="AD775" s="3"/>
      <c r="AE775" s="3"/>
      <c r="AF775" s="3"/>
    </row>
    <row r="776" ht="15.75" customHeight="1">
      <c r="J776" s="15"/>
      <c r="K776" s="188"/>
      <c r="L776" s="15"/>
      <c r="M776" s="15"/>
      <c r="N776" s="15"/>
      <c r="O776" s="15"/>
      <c r="P776" s="15"/>
      <c r="Q776" s="15"/>
      <c r="R776" s="15"/>
      <c r="S776" s="15"/>
      <c r="T776" s="15"/>
      <c r="U776" s="15"/>
      <c r="V776" s="15"/>
      <c r="W776" s="15"/>
      <c r="X776" s="14"/>
      <c r="Y776" s="14"/>
      <c r="Z776" s="15"/>
      <c r="AA776" s="3"/>
      <c r="AB776" s="3"/>
      <c r="AC776" s="3"/>
      <c r="AD776" s="3"/>
      <c r="AE776" s="3"/>
      <c r="AF776" s="3"/>
    </row>
    <row r="777" ht="15.75" customHeight="1">
      <c r="J777" s="15"/>
      <c r="K777" s="188"/>
      <c r="L777" s="15"/>
      <c r="M777" s="15"/>
      <c r="N777" s="15"/>
      <c r="O777" s="15"/>
      <c r="P777" s="15"/>
      <c r="Q777" s="15"/>
      <c r="R777" s="15"/>
      <c r="S777" s="15"/>
      <c r="T777" s="15"/>
      <c r="U777" s="15"/>
      <c r="V777" s="15"/>
      <c r="W777" s="15"/>
      <c r="X777" s="14"/>
      <c r="Y777" s="14"/>
      <c r="Z777" s="15"/>
      <c r="AA777" s="3"/>
      <c r="AB777" s="3"/>
      <c r="AC777" s="3"/>
      <c r="AD777" s="3"/>
      <c r="AE777" s="3"/>
      <c r="AF777" s="3"/>
    </row>
    <row r="778" ht="15.75" customHeight="1">
      <c r="J778" s="15"/>
      <c r="K778" s="188"/>
      <c r="L778" s="15"/>
      <c r="M778" s="15"/>
      <c r="N778" s="15"/>
      <c r="O778" s="15"/>
      <c r="P778" s="15"/>
      <c r="Q778" s="15"/>
      <c r="R778" s="15"/>
      <c r="S778" s="15"/>
      <c r="T778" s="15"/>
      <c r="U778" s="15"/>
      <c r="V778" s="15"/>
      <c r="W778" s="15"/>
      <c r="X778" s="14"/>
      <c r="Y778" s="14"/>
      <c r="Z778" s="15"/>
      <c r="AA778" s="3"/>
      <c r="AB778" s="3"/>
      <c r="AC778" s="3"/>
      <c r="AD778" s="3"/>
      <c r="AE778" s="3"/>
      <c r="AF778" s="3"/>
    </row>
    <row r="779" ht="15.75" customHeight="1">
      <c r="J779" s="15"/>
      <c r="K779" s="188"/>
      <c r="L779" s="15"/>
      <c r="M779" s="15"/>
      <c r="N779" s="15"/>
      <c r="O779" s="15"/>
      <c r="P779" s="15"/>
      <c r="Q779" s="15"/>
      <c r="R779" s="15"/>
      <c r="S779" s="15"/>
      <c r="T779" s="15"/>
      <c r="U779" s="15"/>
      <c r="V779" s="15"/>
      <c r="W779" s="15"/>
      <c r="X779" s="14"/>
      <c r="Y779" s="14"/>
      <c r="Z779" s="15"/>
      <c r="AA779" s="3"/>
      <c r="AB779" s="3"/>
      <c r="AC779" s="3"/>
      <c r="AD779" s="3"/>
      <c r="AE779" s="3"/>
      <c r="AF779" s="3"/>
    </row>
    <row r="780" ht="15.75" customHeight="1">
      <c r="J780" s="15"/>
      <c r="K780" s="188"/>
      <c r="L780" s="15"/>
      <c r="M780" s="15"/>
      <c r="N780" s="15"/>
      <c r="O780" s="15"/>
      <c r="P780" s="15"/>
      <c r="Q780" s="15"/>
      <c r="R780" s="15"/>
      <c r="S780" s="15"/>
      <c r="T780" s="15"/>
      <c r="U780" s="15"/>
      <c r="V780" s="15"/>
      <c r="W780" s="15"/>
      <c r="X780" s="14"/>
      <c r="Y780" s="14"/>
      <c r="Z780" s="15"/>
      <c r="AA780" s="3"/>
      <c r="AB780" s="3"/>
      <c r="AC780" s="3"/>
      <c r="AD780" s="3"/>
      <c r="AE780" s="3"/>
      <c r="AF780" s="3"/>
    </row>
    <row r="781" ht="15.75" customHeight="1">
      <c r="J781" s="15"/>
      <c r="K781" s="188"/>
      <c r="L781" s="15"/>
      <c r="M781" s="15"/>
      <c r="N781" s="15"/>
      <c r="O781" s="15"/>
      <c r="P781" s="15"/>
      <c r="Q781" s="15"/>
      <c r="R781" s="15"/>
      <c r="S781" s="15"/>
      <c r="T781" s="15"/>
      <c r="U781" s="15"/>
      <c r="V781" s="15"/>
      <c r="W781" s="15"/>
      <c r="X781" s="14"/>
      <c r="Y781" s="14"/>
      <c r="Z781" s="15"/>
      <c r="AA781" s="3"/>
      <c r="AB781" s="3"/>
      <c r="AC781" s="3"/>
      <c r="AD781" s="3"/>
      <c r="AE781" s="3"/>
      <c r="AF781" s="3"/>
    </row>
    <row r="782" ht="15.75" customHeight="1">
      <c r="J782" s="15"/>
      <c r="K782" s="188"/>
      <c r="L782" s="15"/>
      <c r="M782" s="15"/>
      <c r="N782" s="15"/>
      <c r="O782" s="15"/>
      <c r="P782" s="15"/>
      <c r="Q782" s="15"/>
      <c r="R782" s="15"/>
      <c r="S782" s="15"/>
      <c r="T782" s="15"/>
      <c r="U782" s="15"/>
      <c r="V782" s="15"/>
      <c r="W782" s="15"/>
      <c r="X782" s="14"/>
      <c r="Y782" s="14"/>
      <c r="Z782" s="15"/>
      <c r="AA782" s="3"/>
      <c r="AB782" s="3"/>
      <c r="AC782" s="3"/>
      <c r="AD782" s="3"/>
      <c r="AE782" s="3"/>
      <c r="AF782" s="3"/>
    </row>
    <row r="783" ht="15.75" customHeight="1">
      <c r="J783" s="15"/>
      <c r="K783" s="188"/>
      <c r="L783" s="15"/>
      <c r="M783" s="15"/>
      <c r="N783" s="15"/>
      <c r="O783" s="15"/>
      <c r="P783" s="15"/>
      <c r="Q783" s="15"/>
      <c r="R783" s="15"/>
      <c r="S783" s="15"/>
      <c r="T783" s="15"/>
      <c r="U783" s="15"/>
      <c r="V783" s="15"/>
      <c r="W783" s="15"/>
      <c r="X783" s="14"/>
      <c r="Y783" s="14"/>
      <c r="Z783" s="15"/>
      <c r="AA783" s="3"/>
      <c r="AB783" s="3"/>
      <c r="AC783" s="3"/>
      <c r="AD783" s="3"/>
      <c r="AE783" s="3"/>
      <c r="AF783" s="3"/>
    </row>
    <row r="784" ht="15.75" customHeight="1">
      <c r="J784" s="15"/>
      <c r="K784" s="188"/>
      <c r="L784" s="15"/>
      <c r="M784" s="15"/>
      <c r="N784" s="15"/>
      <c r="O784" s="15"/>
      <c r="P784" s="15"/>
      <c r="Q784" s="15"/>
      <c r="R784" s="15"/>
      <c r="S784" s="15"/>
      <c r="T784" s="15"/>
      <c r="U784" s="15"/>
      <c r="V784" s="15"/>
      <c r="W784" s="15"/>
      <c r="X784" s="14"/>
      <c r="Y784" s="14"/>
      <c r="Z784" s="15"/>
      <c r="AA784" s="3"/>
      <c r="AB784" s="3"/>
      <c r="AC784" s="3"/>
      <c r="AD784" s="3"/>
      <c r="AE784" s="3"/>
      <c r="AF784" s="3"/>
    </row>
    <row r="785" ht="15.75" customHeight="1">
      <c r="J785" s="15"/>
      <c r="K785" s="188"/>
      <c r="L785" s="15"/>
      <c r="M785" s="15"/>
      <c r="N785" s="15"/>
      <c r="O785" s="15"/>
      <c r="P785" s="15"/>
      <c r="Q785" s="15"/>
      <c r="R785" s="15"/>
      <c r="S785" s="15"/>
      <c r="T785" s="15"/>
      <c r="U785" s="15"/>
      <c r="V785" s="15"/>
      <c r="W785" s="15"/>
      <c r="X785" s="14"/>
      <c r="Y785" s="14"/>
      <c r="Z785" s="15"/>
      <c r="AA785" s="3"/>
      <c r="AB785" s="3"/>
      <c r="AC785" s="3"/>
      <c r="AD785" s="3"/>
      <c r="AE785" s="3"/>
      <c r="AF785" s="3"/>
    </row>
    <row r="786" ht="15.75" customHeight="1">
      <c r="J786" s="15"/>
      <c r="K786" s="188"/>
      <c r="L786" s="15"/>
      <c r="M786" s="15"/>
      <c r="N786" s="15"/>
      <c r="O786" s="15"/>
      <c r="P786" s="15"/>
      <c r="Q786" s="15"/>
      <c r="R786" s="15"/>
      <c r="S786" s="15"/>
      <c r="T786" s="15"/>
      <c r="U786" s="15"/>
      <c r="V786" s="15"/>
      <c r="W786" s="15"/>
      <c r="X786" s="14"/>
      <c r="Y786" s="14"/>
      <c r="Z786" s="15"/>
      <c r="AA786" s="3"/>
      <c r="AB786" s="3"/>
      <c r="AC786" s="3"/>
      <c r="AD786" s="3"/>
      <c r="AE786" s="3"/>
      <c r="AF786" s="3"/>
    </row>
    <row r="787" ht="15.75" customHeight="1">
      <c r="J787" s="15"/>
      <c r="K787" s="188"/>
      <c r="L787" s="15"/>
      <c r="M787" s="15"/>
      <c r="N787" s="15"/>
      <c r="O787" s="15"/>
      <c r="P787" s="15"/>
      <c r="Q787" s="15"/>
      <c r="R787" s="15"/>
      <c r="S787" s="15"/>
      <c r="T787" s="15"/>
      <c r="U787" s="15"/>
      <c r="V787" s="15"/>
      <c r="W787" s="15"/>
      <c r="X787" s="14"/>
      <c r="Y787" s="14"/>
      <c r="Z787" s="15"/>
      <c r="AA787" s="3"/>
      <c r="AB787" s="3"/>
      <c r="AC787" s="3"/>
      <c r="AD787" s="3"/>
      <c r="AE787" s="3"/>
      <c r="AF787" s="3"/>
    </row>
    <row r="788" ht="15.75" customHeight="1">
      <c r="J788" s="15"/>
      <c r="K788" s="188"/>
      <c r="L788" s="15"/>
      <c r="M788" s="15"/>
      <c r="N788" s="15"/>
      <c r="O788" s="15"/>
      <c r="P788" s="15"/>
      <c r="Q788" s="15"/>
      <c r="R788" s="15"/>
      <c r="S788" s="15"/>
      <c r="T788" s="15"/>
      <c r="U788" s="15"/>
      <c r="V788" s="15"/>
      <c r="W788" s="15"/>
      <c r="X788" s="14"/>
      <c r="Y788" s="14"/>
      <c r="Z788" s="15"/>
      <c r="AA788" s="3"/>
      <c r="AB788" s="3"/>
      <c r="AC788" s="3"/>
      <c r="AD788" s="3"/>
      <c r="AE788" s="3"/>
      <c r="AF788" s="3"/>
    </row>
    <row r="789" ht="15.75" customHeight="1">
      <c r="J789" s="15"/>
      <c r="K789" s="188"/>
      <c r="L789" s="15"/>
      <c r="M789" s="15"/>
      <c r="N789" s="15"/>
      <c r="O789" s="15"/>
      <c r="P789" s="15"/>
      <c r="Q789" s="15"/>
      <c r="R789" s="15"/>
      <c r="S789" s="15"/>
      <c r="T789" s="15"/>
      <c r="U789" s="15"/>
      <c r="V789" s="15"/>
      <c r="W789" s="15"/>
      <c r="X789" s="14"/>
      <c r="Y789" s="14"/>
      <c r="Z789" s="15"/>
      <c r="AA789" s="3"/>
      <c r="AB789" s="3"/>
      <c r="AC789" s="3"/>
      <c r="AD789" s="3"/>
      <c r="AE789" s="3"/>
      <c r="AF789" s="3"/>
    </row>
    <row r="790" ht="15.75" customHeight="1">
      <c r="J790" s="15"/>
      <c r="K790" s="188"/>
      <c r="L790" s="15"/>
      <c r="M790" s="15"/>
      <c r="N790" s="15"/>
      <c r="O790" s="15"/>
      <c r="P790" s="15"/>
      <c r="Q790" s="15"/>
      <c r="R790" s="15"/>
      <c r="S790" s="15"/>
      <c r="T790" s="15"/>
      <c r="U790" s="15"/>
      <c r="V790" s="15"/>
      <c r="W790" s="15"/>
      <c r="X790" s="14"/>
      <c r="Y790" s="14"/>
      <c r="Z790" s="15"/>
      <c r="AA790" s="3"/>
      <c r="AB790" s="3"/>
      <c r="AC790" s="3"/>
      <c r="AD790" s="3"/>
      <c r="AE790" s="3"/>
      <c r="AF790" s="3"/>
    </row>
    <row r="791" ht="15.75" customHeight="1">
      <c r="J791" s="15"/>
      <c r="K791" s="188"/>
      <c r="L791" s="15"/>
      <c r="M791" s="15"/>
      <c r="N791" s="15"/>
      <c r="O791" s="15"/>
      <c r="P791" s="15"/>
      <c r="Q791" s="15"/>
      <c r="R791" s="15"/>
      <c r="S791" s="15"/>
      <c r="T791" s="15"/>
      <c r="U791" s="15"/>
      <c r="V791" s="15"/>
      <c r="W791" s="15"/>
      <c r="X791" s="14"/>
      <c r="Y791" s="14"/>
      <c r="Z791" s="15"/>
      <c r="AA791" s="3"/>
      <c r="AB791" s="3"/>
      <c r="AC791" s="3"/>
      <c r="AD791" s="3"/>
      <c r="AE791" s="3"/>
      <c r="AF791" s="3"/>
    </row>
    <row r="792" ht="15.75" customHeight="1">
      <c r="J792" s="15"/>
      <c r="K792" s="188"/>
      <c r="L792" s="15"/>
      <c r="M792" s="15"/>
      <c r="N792" s="15"/>
      <c r="O792" s="15"/>
      <c r="P792" s="15"/>
      <c r="Q792" s="15"/>
      <c r="R792" s="15"/>
      <c r="S792" s="15"/>
      <c r="T792" s="15"/>
      <c r="U792" s="15"/>
      <c r="V792" s="15"/>
      <c r="W792" s="15"/>
      <c r="X792" s="14"/>
      <c r="Y792" s="14"/>
      <c r="Z792" s="15"/>
      <c r="AA792" s="3"/>
      <c r="AB792" s="3"/>
      <c r="AC792" s="3"/>
      <c r="AD792" s="3"/>
      <c r="AE792" s="3"/>
      <c r="AF792" s="3"/>
    </row>
    <row r="793" ht="15.75" customHeight="1">
      <c r="J793" s="15"/>
      <c r="K793" s="188"/>
      <c r="L793" s="15"/>
      <c r="M793" s="15"/>
      <c r="N793" s="15"/>
      <c r="O793" s="15"/>
      <c r="P793" s="15"/>
      <c r="Q793" s="15"/>
      <c r="R793" s="15"/>
      <c r="S793" s="15"/>
      <c r="T793" s="15"/>
      <c r="U793" s="15"/>
      <c r="V793" s="15"/>
      <c r="W793" s="15"/>
      <c r="X793" s="14"/>
      <c r="Y793" s="14"/>
      <c r="Z793" s="15"/>
      <c r="AA793" s="3"/>
      <c r="AB793" s="3"/>
      <c r="AC793" s="3"/>
      <c r="AD793" s="3"/>
      <c r="AE793" s="3"/>
      <c r="AF793" s="3"/>
    </row>
    <row r="794" ht="15.75" customHeight="1">
      <c r="J794" s="15"/>
      <c r="K794" s="188"/>
      <c r="L794" s="15"/>
      <c r="M794" s="15"/>
      <c r="N794" s="15"/>
      <c r="O794" s="15"/>
      <c r="P794" s="15"/>
      <c r="Q794" s="15"/>
      <c r="R794" s="15"/>
      <c r="S794" s="15"/>
      <c r="T794" s="15"/>
      <c r="U794" s="15"/>
      <c r="V794" s="15"/>
      <c r="W794" s="15"/>
      <c r="X794" s="14"/>
      <c r="Y794" s="14"/>
      <c r="Z794" s="15"/>
      <c r="AA794" s="3"/>
      <c r="AB794" s="3"/>
      <c r="AC794" s="3"/>
      <c r="AD794" s="3"/>
      <c r="AE794" s="3"/>
      <c r="AF794" s="3"/>
    </row>
    <row r="795" ht="15.75" customHeight="1">
      <c r="J795" s="15"/>
      <c r="K795" s="188"/>
      <c r="L795" s="15"/>
      <c r="M795" s="15"/>
      <c r="N795" s="15"/>
      <c r="O795" s="15"/>
      <c r="P795" s="15"/>
      <c r="Q795" s="15"/>
      <c r="R795" s="15"/>
      <c r="S795" s="15"/>
      <c r="T795" s="15"/>
      <c r="U795" s="15"/>
      <c r="V795" s="15"/>
      <c r="W795" s="15"/>
      <c r="X795" s="14"/>
      <c r="Y795" s="14"/>
      <c r="Z795" s="15"/>
      <c r="AA795" s="3"/>
      <c r="AB795" s="3"/>
      <c r="AC795" s="3"/>
      <c r="AD795" s="3"/>
      <c r="AE795" s="3"/>
      <c r="AF795" s="3"/>
    </row>
    <row r="796" ht="15.75" customHeight="1">
      <c r="J796" s="15"/>
      <c r="K796" s="188"/>
      <c r="L796" s="15"/>
      <c r="M796" s="15"/>
      <c r="N796" s="15"/>
      <c r="O796" s="15"/>
      <c r="P796" s="15"/>
      <c r="Q796" s="15"/>
      <c r="R796" s="15"/>
      <c r="S796" s="15"/>
      <c r="T796" s="15"/>
      <c r="U796" s="15"/>
      <c r="V796" s="15"/>
      <c r="W796" s="15"/>
      <c r="X796" s="14"/>
      <c r="Y796" s="14"/>
      <c r="Z796" s="15"/>
      <c r="AA796" s="3"/>
      <c r="AB796" s="3"/>
      <c r="AC796" s="3"/>
      <c r="AD796" s="3"/>
      <c r="AE796" s="3"/>
      <c r="AF796" s="3"/>
    </row>
    <row r="797" ht="15.75" customHeight="1">
      <c r="J797" s="15"/>
      <c r="K797" s="188"/>
      <c r="L797" s="15"/>
      <c r="M797" s="15"/>
      <c r="N797" s="15"/>
      <c r="O797" s="15"/>
      <c r="P797" s="15"/>
      <c r="Q797" s="15"/>
      <c r="R797" s="15"/>
      <c r="S797" s="15"/>
      <c r="T797" s="15"/>
      <c r="U797" s="15"/>
      <c r="V797" s="15"/>
      <c r="W797" s="15"/>
      <c r="X797" s="14"/>
      <c r="Y797" s="14"/>
      <c r="Z797" s="15"/>
      <c r="AA797" s="3"/>
      <c r="AB797" s="3"/>
      <c r="AC797" s="3"/>
      <c r="AD797" s="3"/>
      <c r="AE797" s="3"/>
      <c r="AF797" s="3"/>
    </row>
    <row r="798" ht="15.75" customHeight="1">
      <c r="J798" s="15"/>
      <c r="K798" s="188"/>
      <c r="L798" s="15"/>
      <c r="M798" s="15"/>
      <c r="N798" s="15"/>
      <c r="O798" s="15"/>
      <c r="P798" s="15"/>
      <c r="Q798" s="15"/>
      <c r="R798" s="15"/>
      <c r="S798" s="15"/>
      <c r="T798" s="15"/>
      <c r="U798" s="15"/>
      <c r="V798" s="15"/>
      <c r="W798" s="15"/>
      <c r="X798" s="14"/>
      <c r="Y798" s="14"/>
      <c r="Z798" s="15"/>
      <c r="AA798" s="3"/>
      <c r="AB798" s="3"/>
      <c r="AC798" s="3"/>
      <c r="AD798" s="3"/>
      <c r="AE798" s="3"/>
      <c r="AF798" s="3"/>
    </row>
    <row r="799" ht="15.75" customHeight="1">
      <c r="J799" s="15"/>
      <c r="K799" s="188"/>
      <c r="L799" s="15"/>
      <c r="M799" s="15"/>
      <c r="N799" s="15"/>
      <c r="O799" s="15"/>
      <c r="P799" s="15"/>
      <c r="Q799" s="15"/>
      <c r="R799" s="15"/>
      <c r="S799" s="15"/>
      <c r="T799" s="15"/>
      <c r="U799" s="15"/>
      <c r="V799" s="15"/>
      <c r="W799" s="15"/>
      <c r="X799" s="14"/>
      <c r="Y799" s="14"/>
      <c r="Z799" s="15"/>
      <c r="AA799" s="3"/>
      <c r="AB799" s="3"/>
      <c r="AC799" s="3"/>
      <c r="AD799" s="3"/>
      <c r="AE799" s="3"/>
      <c r="AF799" s="3"/>
    </row>
    <row r="800" ht="15.75" customHeight="1">
      <c r="J800" s="15"/>
      <c r="K800" s="188"/>
      <c r="L800" s="15"/>
      <c r="M800" s="15"/>
      <c r="N800" s="15"/>
      <c r="O800" s="15"/>
      <c r="P800" s="15"/>
      <c r="Q800" s="15"/>
      <c r="R800" s="15"/>
      <c r="S800" s="15"/>
      <c r="T800" s="15"/>
      <c r="U800" s="15"/>
      <c r="V800" s="15"/>
      <c r="W800" s="15"/>
      <c r="X800" s="14"/>
      <c r="Y800" s="14"/>
      <c r="Z800" s="15"/>
      <c r="AA800" s="3"/>
      <c r="AB800" s="3"/>
      <c r="AC800" s="3"/>
      <c r="AD800" s="3"/>
      <c r="AE800" s="3"/>
      <c r="AF800" s="3"/>
    </row>
    <row r="801" ht="15.75" customHeight="1">
      <c r="J801" s="15"/>
      <c r="K801" s="188"/>
      <c r="L801" s="15"/>
      <c r="M801" s="15"/>
      <c r="N801" s="15"/>
      <c r="O801" s="15"/>
      <c r="P801" s="15"/>
      <c r="Q801" s="15"/>
      <c r="R801" s="15"/>
      <c r="S801" s="15"/>
      <c r="T801" s="15"/>
      <c r="U801" s="15"/>
      <c r="V801" s="15"/>
      <c r="W801" s="15"/>
      <c r="X801" s="14"/>
      <c r="Y801" s="14"/>
      <c r="Z801" s="15"/>
      <c r="AA801" s="3"/>
      <c r="AB801" s="3"/>
      <c r="AC801" s="3"/>
      <c r="AD801" s="3"/>
      <c r="AE801" s="3"/>
      <c r="AF801" s="3"/>
    </row>
    <row r="802" ht="15.75" customHeight="1">
      <c r="J802" s="15"/>
      <c r="K802" s="188"/>
      <c r="L802" s="15"/>
      <c r="M802" s="15"/>
      <c r="N802" s="15"/>
      <c r="O802" s="15"/>
      <c r="P802" s="15"/>
      <c r="Q802" s="15"/>
      <c r="R802" s="15"/>
      <c r="S802" s="15"/>
      <c r="T802" s="15"/>
      <c r="U802" s="15"/>
      <c r="V802" s="15"/>
      <c r="W802" s="15"/>
      <c r="X802" s="14"/>
      <c r="Y802" s="14"/>
      <c r="Z802" s="15"/>
      <c r="AA802" s="3"/>
      <c r="AB802" s="3"/>
      <c r="AC802" s="3"/>
      <c r="AD802" s="3"/>
      <c r="AE802" s="3"/>
      <c r="AF802" s="3"/>
    </row>
    <row r="803" ht="15.75" customHeight="1">
      <c r="J803" s="15"/>
      <c r="K803" s="188"/>
      <c r="L803" s="15"/>
      <c r="M803" s="15"/>
      <c r="N803" s="15"/>
      <c r="O803" s="15"/>
      <c r="P803" s="15"/>
      <c r="Q803" s="15"/>
      <c r="R803" s="15"/>
      <c r="S803" s="15"/>
      <c r="T803" s="15"/>
      <c r="U803" s="15"/>
      <c r="V803" s="15"/>
      <c r="W803" s="15"/>
      <c r="X803" s="14"/>
      <c r="Y803" s="14"/>
      <c r="Z803" s="15"/>
      <c r="AA803" s="3"/>
      <c r="AB803" s="3"/>
      <c r="AC803" s="3"/>
      <c r="AD803" s="3"/>
      <c r="AE803" s="3"/>
      <c r="AF803" s="3"/>
    </row>
    <row r="804" ht="15.75" customHeight="1">
      <c r="J804" s="15"/>
      <c r="K804" s="188"/>
      <c r="L804" s="15"/>
      <c r="M804" s="15"/>
      <c r="N804" s="15"/>
      <c r="O804" s="15"/>
      <c r="P804" s="15"/>
      <c r="Q804" s="15"/>
      <c r="R804" s="15"/>
      <c r="S804" s="15"/>
      <c r="T804" s="15"/>
      <c r="U804" s="15"/>
      <c r="V804" s="15"/>
      <c r="W804" s="15"/>
      <c r="X804" s="14"/>
      <c r="Y804" s="14"/>
      <c r="Z804" s="15"/>
      <c r="AA804" s="3"/>
      <c r="AB804" s="3"/>
      <c r="AC804" s="3"/>
      <c r="AD804" s="3"/>
      <c r="AE804" s="3"/>
      <c r="AF804" s="3"/>
    </row>
    <row r="805" ht="15.75" customHeight="1">
      <c r="J805" s="15"/>
      <c r="K805" s="188"/>
      <c r="L805" s="15"/>
      <c r="M805" s="15"/>
      <c r="N805" s="15"/>
      <c r="O805" s="15"/>
      <c r="P805" s="15"/>
      <c r="Q805" s="15"/>
      <c r="R805" s="15"/>
      <c r="S805" s="15"/>
      <c r="T805" s="15"/>
      <c r="U805" s="15"/>
      <c r="V805" s="15"/>
      <c r="W805" s="15"/>
      <c r="X805" s="14"/>
      <c r="Y805" s="14"/>
      <c r="Z805" s="15"/>
      <c r="AA805" s="3"/>
      <c r="AB805" s="3"/>
      <c r="AC805" s="3"/>
      <c r="AD805" s="3"/>
      <c r="AE805" s="3"/>
      <c r="AF805" s="3"/>
    </row>
    <row r="806" ht="15.75" customHeight="1">
      <c r="J806" s="15"/>
      <c r="K806" s="188"/>
      <c r="L806" s="15"/>
      <c r="M806" s="15"/>
      <c r="N806" s="15"/>
      <c r="O806" s="15"/>
      <c r="P806" s="15"/>
      <c r="Q806" s="15"/>
      <c r="R806" s="15"/>
      <c r="S806" s="15"/>
      <c r="T806" s="15"/>
      <c r="U806" s="15"/>
      <c r="V806" s="15"/>
      <c r="W806" s="15"/>
      <c r="X806" s="14"/>
      <c r="Y806" s="14"/>
      <c r="Z806" s="15"/>
      <c r="AA806" s="3"/>
      <c r="AB806" s="3"/>
      <c r="AC806" s="3"/>
      <c r="AD806" s="3"/>
      <c r="AE806" s="3"/>
      <c r="AF806" s="3"/>
    </row>
    <row r="807" ht="15.75" customHeight="1">
      <c r="J807" s="15"/>
      <c r="K807" s="188"/>
      <c r="L807" s="15"/>
      <c r="M807" s="15"/>
      <c r="N807" s="15"/>
      <c r="O807" s="15"/>
      <c r="P807" s="15"/>
      <c r="Q807" s="15"/>
      <c r="R807" s="15"/>
      <c r="S807" s="15"/>
      <c r="T807" s="15"/>
      <c r="U807" s="15"/>
      <c r="V807" s="15"/>
      <c r="W807" s="15"/>
      <c r="X807" s="14"/>
      <c r="Y807" s="14"/>
      <c r="Z807" s="15"/>
      <c r="AA807" s="3"/>
      <c r="AB807" s="3"/>
      <c r="AC807" s="3"/>
      <c r="AD807" s="3"/>
      <c r="AE807" s="3"/>
      <c r="AF807" s="3"/>
    </row>
    <row r="808" ht="15.75" customHeight="1">
      <c r="J808" s="15"/>
      <c r="K808" s="188"/>
      <c r="L808" s="15"/>
      <c r="M808" s="15"/>
      <c r="N808" s="15"/>
      <c r="O808" s="15"/>
      <c r="P808" s="15"/>
      <c r="Q808" s="15"/>
      <c r="R808" s="15"/>
      <c r="S808" s="15"/>
      <c r="T808" s="15"/>
      <c r="U808" s="15"/>
      <c r="V808" s="15"/>
      <c r="W808" s="15"/>
      <c r="X808" s="14"/>
      <c r="Y808" s="14"/>
      <c r="Z808" s="15"/>
      <c r="AA808" s="3"/>
      <c r="AB808" s="3"/>
      <c r="AC808" s="3"/>
      <c r="AD808" s="3"/>
      <c r="AE808" s="3"/>
      <c r="AF808" s="3"/>
    </row>
    <row r="809" ht="15.75" customHeight="1">
      <c r="J809" s="15"/>
      <c r="K809" s="188"/>
      <c r="L809" s="15"/>
      <c r="M809" s="15"/>
      <c r="N809" s="15"/>
      <c r="O809" s="15"/>
      <c r="P809" s="15"/>
      <c r="Q809" s="15"/>
      <c r="R809" s="15"/>
      <c r="S809" s="15"/>
      <c r="T809" s="15"/>
      <c r="U809" s="15"/>
      <c r="V809" s="15"/>
      <c r="W809" s="15"/>
      <c r="X809" s="14"/>
      <c r="Y809" s="14"/>
      <c r="Z809" s="15"/>
      <c r="AA809" s="3"/>
      <c r="AB809" s="3"/>
      <c r="AC809" s="3"/>
      <c r="AD809" s="3"/>
      <c r="AE809" s="3"/>
      <c r="AF809" s="3"/>
    </row>
    <row r="810" ht="15.75" customHeight="1">
      <c r="J810" s="15"/>
      <c r="K810" s="188"/>
      <c r="L810" s="15"/>
      <c r="M810" s="15"/>
      <c r="N810" s="15"/>
      <c r="O810" s="15"/>
      <c r="P810" s="15"/>
      <c r="Q810" s="15"/>
      <c r="R810" s="15"/>
      <c r="S810" s="15"/>
      <c r="T810" s="15"/>
      <c r="U810" s="15"/>
      <c r="V810" s="15"/>
      <c r="W810" s="15"/>
      <c r="X810" s="14"/>
      <c r="Y810" s="14"/>
      <c r="Z810" s="15"/>
      <c r="AA810" s="3"/>
      <c r="AB810" s="3"/>
      <c r="AC810" s="3"/>
      <c r="AD810" s="3"/>
      <c r="AE810" s="3"/>
      <c r="AF810" s="3"/>
    </row>
    <row r="811" ht="15.75" customHeight="1">
      <c r="J811" s="15"/>
      <c r="K811" s="188"/>
      <c r="L811" s="15"/>
      <c r="M811" s="15"/>
      <c r="N811" s="15"/>
      <c r="O811" s="15"/>
      <c r="P811" s="15"/>
      <c r="Q811" s="15"/>
      <c r="R811" s="15"/>
      <c r="S811" s="15"/>
      <c r="T811" s="15"/>
      <c r="U811" s="15"/>
      <c r="V811" s="15"/>
      <c r="W811" s="15"/>
      <c r="X811" s="14"/>
      <c r="Y811" s="14"/>
      <c r="Z811" s="15"/>
      <c r="AA811" s="3"/>
      <c r="AB811" s="3"/>
      <c r="AC811" s="3"/>
      <c r="AD811" s="3"/>
      <c r="AE811" s="3"/>
      <c r="AF811" s="3"/>
    </row>
    <row r="812" ht="15.75" customHeight="1">
      <c r="J812" s="15"/>
      <c r="K812" s="188"/>
      <c r="L812" s="15"/>
      <c r="M812" s="15"/>
      <c r="N812" s="15"/>
      <c r="O812" s="15"/>
      <c r="P812" s="15"/>
      <c r="Q812" s="15"/>
      <c r="R812" s="15"/>
      <c r="S812" s="15"/>
      <c r="T812" s="15"/>
      <c r="U812" s="15"/>
      <c r="V812" s="15"/>
      <c r="W812" s="15"/>
      <c r="X812" s="14"/>
      <c r="Y812" s="14"/>
      <c r="Z812" s="15"/>
      <c r="AA812" s="3"/>
      <c r="AB812" s="3"/>
      <c r="AC812" s="3"/>
      <c r="AD812" s="3"/>
      <c r="AE812" s="3"/>
      <c r="AF812" s="3"/>
    </row>
    <row r="813" ht="15.75" customHeight="1">
      <c r="J813" s="15"/>
      <c r="K813" s="188"/>
      <c r="L813" s="15"/>
      <c r="M813" s="15"/>
      <c r="N813" s="15"/>
      <c r="O813" s="15"/>
      <c r="P813" s="15"/>
      <c r="Q813" s="15"/>
      <c r="R813" s="15"/>
      <c r="S813" s="15"/>
      <c r="T813" s="15"/>
      <c r="U813" s="15"/>
      <c r="V813" s="15"/>
      <c r="W813" s="15"/>
      <c r="X813" s="14"/>
      <c r="Y813" s="14"/>
      <c r="Z813" s="15"/>
      <c r="AA813" s="3"/>
      <c r="AB813" s="3"/>
      <c r="AC813" s="3"/>
      <c r="AD813" s="3"/>
      <c r="AE813" s="3"/>
      <c r="AF813" s="3"/>
    </row>
    <row r="814" ht="15.75" customHeight="1">
      <c r="J814" s="15"/>
      <c r="K814" s="188"/>
      <c r="L814" s="15"/>
      <c r="M814" s="15"/>
      <c r="N814" s="15"/>
      <c r="O814" s="15"/>
      <c r="P814" s="15"/>
      <c r="Q814" s="15"/>
      <c r="R814" s="15"/>
      <c r="S814" s="15"/>
      <c r="T814" s="15"/>
      <c r="U814" s="15"/>
      <c r="V814" s="15"/>
      <c r="W814" s="15"/>
      <c r="X814" s="14"/>
      <c r="Y814" s="14"/>
      <c r="Z814" s="15"/>
      <c r="AA814" s="3"/>
      <c r="AB814" s="3"/>
      <c r="AC814" s="3"/>
      <c r="AD814" s="3"/>
      <c r="AE814" s="3"/>
      <c r="AF814" s="3"/>
    </row>
    <row r="815" ht="15.75" customHeight="1">
      <c r="J815" s="15"/>
      <c r="K815" s="188"/>
      <c r="L815" s="15"/>
      <c r="M815" s="15"/>
      <c r="N815" s="15"/>
      <c r="O815" s="15"/>
      <c r="P815" s="15"/>
      <c r="Q815" s="15"/>
      <c r="R815" s="15"/>
      <c r="S815" s="15"/>
      <c r="T815" s="15"/>
      <c r="U815" s="15"/>
      <c r="V815" s="15"/>
      <c r="W815" s="15"/>
      <c r="X815" s="14"/>
      <c r="Y815" s="14"/>
      <c r="Z815" s="15"/>
      <c r="AA815" s="3"/>
      <c r="AB815" s="3"/>
      <c r="AC815" s="3"/>
      <c r="AD815" s="3"/>
      <c r="AE815" s="3"/>
      <c r="AF815" s="3"/>
    </row>
    <row r="816" ht="15.75" customHeight="1">
      <c r="J816" s="15"/>
      <c r="K816" s="188"/>
      <c r="L816" s="15"/>
      <c r="M816" s="15"/>
      <c r="N816" s="15"/>
      <c r="O816" s="15"/>
      <c r="P816" s="15"/>
      <c r="Q816" s="15"/>
      <c r="R816" s="15"/>
      <c r="S816" s="15"/>
      <c r="T816" s="15"/>
      <c r="U816" s="15"/>
      <c r="V816" s="15"/>
      <c r="W816" s="15"/>
      <c r="X816" s="14"/>
      <c r="Y816" s="14"/>
      <c r="Z816" s="15"/>
      <c r="AA816" s="3"/>
      <c r="AB816" s="3"/>
      <c r="AC816" s="3"/>
      <c r="AD816" s="3"/>
      <c r="AE816" s="3"/>
      <c r="AF816" s="3"/>
    </row>
    <row r="817" ht="15.75" customHeight="1">
      <c r="J817" s="15"/>
      <c r="K817" s="188"/>
      <c r="L817" s="15"/>
      <c r="M817" s="15"/>
      <c r="N817" s="15"/>
      <c r="O817" s="15"/>
      <c r="P817" s="15"/>
      <c r="Q817" s="15"/>
      <c r="R817" s="15"/>
      <c r="S817" s="15"/>
      <c r="T817" s="15"/>
      <c r="U817" s="15"/>
      <c r="V817" s="15"/>
      <c r="W817" s="15"/>
      <c r="X817" s="14"/>
      <c r="Y817" s="14"/>
      <c r="Z817" s="15"/>
      <c r="AA817" s="3"/>
      <c r="AB817" s="3"/>
      <c r="AC817" s="3"/>
      <c r="AD817" s="3"/>
      <c r="AE817" s="3"/>
      <c r="AF817" s="3"/>
    </row>
    <row r="818" ht="15.75" customHeight="1">
      <c r="J818" s="15"/>
      <c r="K818" s="188"/>
      <c r="L818" s="15"/>
      <c r="M818" s="15"/>
      <c r="N818" s="15"/>
      <c r="O818" s="15"/>
      <c r="P818" s="15"/>
      <c r="Q818" s="15"/>
      <c r="R818" s="15"/>
      <c r="S818" s="15"/>
      <c r="T818" s="15"/>
      <c r="U818" s="15"/>
      <c r="V818" s="15"/>
      <c r="W818" s="15"/>
      <c r="X818" s="14"/>
      <c r="Y818" s="14"/>
      <c r="Z818" s="15"/>
      <c r="AA818" s="3"/>
      <c r="AB818" s="3"/>
      <c r="AC818" s="3"/>
      <c r="AD818" s="3"/>
      <c r="AE818" s="3"/>
      <c r="AF818" s="3"/>
    </row>
    <row r="819" ht="15.75" customHeight="1">
      <c r="J819" s="15"/>
      <c r="K819" s="188"/>
      <c r="L819" s="15"/>
      <c r="M819" s="15"/>
      <c r="N819" s="15"/>
      <c r="O819" s="15"/>
      <c r="P819" s="15"/>
      <c r="Q819" s="15"/>
      <c r="R819" s="15"/>
      <c r="S819" s="15"/>
      <c r="T819" s="15"/>
      <c r="U819" s="15"/>
      <c r="V819" s="15"/>
      <c r="W819" s="15"/>
      <c r="X819" s="14"/>
      <c r="Y819" s="14"/>
      <c r="Z819" s="15"/>
      <c r="AA819" s="3"/>
      <c r="AB819" s="3"/>
      <c r="AC819" s="3"/>
      <c r="AD819" s="3"/>
      <c r="AE819" s="3"/>
      <c r="AF819" s="3"/>
    </row>
    <row r="820" ht="15.75" customHeight="1">
      <c r="J820" s="15"/>
      <c r="K820" s="188"/>
      <c r="L820" s="15"/>
      <c r="M820" s="15"/>
      <c r="N820" s="15"/>
      <c r="O820" s="15"/>
      <c r="P820" s="15"/>
      <c r="Q820" s="15"/>
      <c r="R820" s="15"/>
      <c r="S820" s="15"/>
      <c r="T820" s="15"/>
      <c r="U820" s="15"/>
      <c r="V820" s="15"/>
      <c r="W820" s="15"/>
      <c r="X820" s="14"/>
      <c r="Y820" s="14"/>
      <c r="Z820" s="15"/>
      <c r="AA820" s="3"/>
      <c r="AB820" s="3"/>
      <c r="AC820" s="3"/>
      <c r="AD820" s="3"/>
      <c r="AE820" s="3"/>
      <c r="AF820" s="3"/>
    </row>
    <row r="821" ht="15.75" customHeight="1">
      <c r="J821" s="15"/>
      <c r="K821" s="188"/>
      <c r="L821" s="15"/>
      <c r="M821" s="15"/>
      <c r="N821" s="15"/>
      <c r="O821" s="15"/>
      <c r="P821" s="15"/>
      <c r="Q821" s="15"/>
      <c r="R821" s="15"/>
      <c r="S821" s="15"/>
      <c r="T821" s="15"/>
      <c r="U821" s="15"/>
      <c r="V821" s="15"/>
      <c r="W821" s="15"/>
      <c r="X821" s="14"/>
      <c r="Y821" s="14"/>
      <c r="Z821" s="15"/>
      <c r="AA821" s="3"/>
      <c r="AB821" s="3"/>
      <c r="AC821" s="3"/>
      <c r="AD821" s="3"/>
      <c r="AE821" s="3"/>
      <c r="AF821" s="3"/>
    </row>
    <row r="822" ht="15.75" customHeight="1">
      <c r="J822" s="15"/>
      <c r="K822" s="188"/>
      <c r="L822" s="15"/>
      <c r="M822" s="15"/>
      <c r="N822" s="15"/>
      <c r="O822" s="15"/>
      <c r="P822" s="15"/>
      <c r="Q822" s="15"/>
      <c r="R822" s="15"/>
      <c r="S822" s="15"/>
      <c r="T822" s="15"/>
      <c r="U822" s="15"/>
      <c r="V822" s="15"/>
      <c r="W822" s="15"/>
      <c r="X822" s="14"/>
      <c r="Y822" s="14"/>
      <c r="Z822" s="15"/>
      <c r="AA822" s="3"/>
      <c r="AB822" s="3"/>
      <c r="AC822" s="3"/>
      <c r="AD822" s="3"/>
      <c r="AE822" s="3"/>
      <c r="AF822" s="3"/>
    </row>
    <row r="823" ht="15.75" customHeight="1">
      <c r="J823" s="15"/>
      <c r="K823" s="188"/>
      <c r="L823" s="15"/>
      <c r="M823" s="15"/>
      <c r="N823" s="15"/>
      <c r="O823" s="15"/>
      <c r="P823" s="15"/>
      <c r="Q823" s="15"/>
      <c r="R823" s="15"/>
      <c r="S823" s="15"/>
      <c r="T823" s="15"/>
      <c r="U823" s="15"/>
      <c r="V823" s="15"/>
      <c r="W823" s="15"/>
      <c r="X823" s="14"/>
      <c r="Y823" s="14"/>
      <c r="Z823" s="15"/>
      <c r="AA823" s="3"/>
      <c r="AB823" s="3"/>
      <c r="AC823" s="3"/>
      <c r="AD823" s="3"/>
      <c r="AE823" s="3"/>
      <c r="AF823" s="3"/>
    </row>
    <row r="824" ht="15.75" customHeight="1">
      <c r="J824" s="15"/>
      <c r="K824" s="188"/>
      <c r="L824" s="15"/>
      <c r="M824" s="15"/>
      <c r="N824" s="15"/>
      <c r="O824" s="15"/>
      <c r="P824" s="15"/>
      <c r="Q824" s="15"/>
      <c r="R824" s="15"/>
      <c r="S824" s="15"/>
      <c r="T824" s="15"/>
      <c r="U824" s="15"/>
      <c r="V824" s="15"/>
      <c r="W824" s="15"/>
      <c r="X824" s="14"/>
      <c r="Y824" s="14"/>
      <c r="Z824" s="15"/>
      <c r="AA824" s="3"/>
      <c r="AB824" s="3"/>
      <c r="AC824" s="3"/>
      <c r="AD824" s="3"/>
      <c r="AE824" s="3"/>
      <c r="AF824" s="3"/>
    </row>
    <row r="825" ht="15.75" customHeight="1">
      <c r="J825" s="15"/>
      <c r="K825" s="188"/>
      <c r="L825" s="15"/>
      <c r="M825" s="15"/>
      <c r="N825" s="15"/>
      <c r="O825" s="15"/>
      <c r="P825" s="15"/>
      <c r="Q825" s="15"/>
      <c r="R825" s="15"/>
      <c r="S825" s="15"/>
      <c r="T825" s="15"/>
      <c r="U825" s="15"/>
      <c r="V825" s="15"/>
      <c r="W825" s="15"/>
      <c r="X825" s="14"/>
      <c r="Y825" s="14"/>
      <c r="Z825" s="15"/>
      <c r="AA825" s="3"/>
      <c r="AB825" s="3"/>
      <c r="AC825" s="3"/>
      <c r="AD825" s="3"/>
      <c r="AE825" s="3"/>
      <c r="AF825" s="3"/>
    </row>
    <row r="826" ht="15.75" customHeight="1">
      <c r="J826" s="15"/>
      <c r="K826" s="188"/>
      <c r="L826" s="15"/>
      <c r="M826" s="15"/>
      <c r="N826" s="15"/>
      <c r="O826" s="15"/>
      <c r="P826" s="15"/>
      <c r="Q826" s="15"/>
      <c r="R826" s="15"/>
      <c r="S826" s="15"/>
      <c r="T826" s="15"/>
      <c r="U826" s="15"/>
      <c r="V826" s="15"/>
      <c r="W826" s="15"/>
      <c r="X826" s="14"/>
      <c r="Y826" s="14"/>
      <c r="Z826" s="15"/>
      <c r="AA826" s="3"/>
      <c r="AB826" s="3"/>
      <c r="AC826" s="3"/>
      <c r="AD826" s="3"/>
      <c r="AE826" s="3"/>
      <c r="AF826" s="3"/>
    </row>
    <row r="827" ht="15.75" customHeight="1">
      <c r="J827" s="15"/>
      <c r="K827" s="188"/>
      <c r="L827" s="15"/>
      <c r="M827" s="15"/>
      <c r="N827" s="15"/>
      <c r="O827" s="15"/>
      <c r="P827" s="15"/>
      <c r="Q827" s="15"/>
      <c r="R827" s="15"/>
      <c r="S827" s="15"/>
      <c r="T827" s="15"/>
      <c r="U827" s="15"/>
      <c r="V827" s="15"/>
      <c r="W827" s="15"/>
      <c r="X827" s="14"/>
      <c r="Y827" s="14"/>
      <c r="Z827" s="15"/>
      <c r="AA827" s="3"/>
      <c r="AB827" s="3"/>
      <c r="AC827" s="3"/>
      <c r="AD827" s="3"/>
      <c r="AE827" s="3"/>
      <c r="AF827" s="3"/>
    </row>
    <row r="828" ht="15.75" customHeight="1">
      <c r="J828" s="15"/>
      <c r="K828" s="188"/>
      <c r="L828" s="15"/>
      <c r="M828" s="15"/>
      <c r="N828" s="15"/>
      <c r="O828" s="15"/>
      <c r="P828" s="15"/>
      <c r="Q828" s="15"/>
      <c r="R828" s="15"/>
      <c r="S828" s="15"/>
      <c r="T828" s="15"/>
      <c r="U828" s="15"/>
      <c r="V828" s="15"/>
      <c r="W828" s="15"/>
      <c r="X828" s="14"/>
      <c r="Y828" s="14"/>
      <c r="Z828" s="15"/>
      <c r="AA828" s="3"/>
      <c r="AB828" s="3"/>
      <c r="AC828" s="3"/>
      <c r="AD828" s="3"/>
      <c r="AE828" s="3"/>
      <c r="AF828" s="3"/>
    </row>
    <row r="829" ht="15.75" customHeight="1">
      <c r="J829" s="15"/>
      <c r="K829" s="188"/>
      <c r="L829" s="15"/>
      <c r="M829" s="15"/>
      <c r="N829" s="15"/>
      <c r="O829" s="15"/>
      <c r="P829" s="15"/>
      <c r="Q829" s="15"/>
      <c r="R829" s="15"/>
      <c r="S829" s="15"/>
      <c r="T829" s="15"/>
      <c r="U829" s="15"/>
      <c r="V829" s="15"/>
      <c r="W829" s="15"/>
      <c r="X829" s="14"/>
      <c r="Y829" s="14"/>
      <c r="Z829" s="15"/>
      <c r="AA829" s="3"/>
      <c r="AB829" s="3"/>
      <c r="AC829" s="3"/>
      <c r="AD829" s="3"/>
      <c r="AE829" s="3"/>
      <c r="AF829" s="3"/>
    </row>
    <row r="830" ht="15.75" customHeight="1">
      <c r="J830" s="15"/>
      <c r="K830" s="188"/>
      <c r="L830" s="15"/>
      <c r="M830" s="15"/>
      <c r="N830" s="15"/>
      <c r="O830" s="15"/>
      <c r="P830" s="15"/>
      <c r="Q830" s="15"/>
      <c r="R830" s="15"/>
      <c r="S830" s="15"/>
      <c r="T830" s="15"/>
      <c r="U830" s="15"/>
      <c r="V830" s="15"/>
      <c r="W830" s="15"/>
      <c r="X830" s="14"/>
      <c r="Y830" s="14"/>
      <c r="Z830" s="15"/>
      <c r="AA830" s="3"/>
      <c r="AB830" s="3"/>
      <c r="AC830" s="3"/>
      <c r="AD830" s="3"/>
      <c r="AE830" s="3"/>
      <c r="AF830" s="3"/>
    </row>
    <row r="831" ht="15.75" customHeight="1">
      <c r="J831" s="15"/>
      <c r="K831" s="188"/>
      <c r="L831" s="15"/>
      <c r="M831" s="15"/>
      <c r="N831" s="15"/>
      <c r="O831" s="15"/>
      <c r="P831" s="15"/>
      <c r="Q831" s="15"/>
      <c r="R831" s="15"/>
      <c r="S831" s="15"/>
      <c r="T831" s="15"/>
      <c r="U831" s="15"/>
      <c r="V831" s="15"/>
      <c r="W831" s="15"/>
      <c r="X831" s="14"/>
      <c r="Y831" s="14"/>
      <c r="Z831" s="15"/>
      <c r="AA831" s="3"/>
      <c r="AB831" s="3"/>
      <c r="AC831" s="3"/>
      <c r="AD831" s="3"/>
      <c r="AE831" s="3"/>
      <c r="AF831" s="3"/>
    </row>
    <row r="832" ht="15.75" customHeight="1">
      <c r="J832" s="15"/>
      <c r="K832" s="188"/>
      <c r="L832" s="15"/>
      <c r="M832" s="15"/>
      <c r="N832" s="15"/>
      <c r="O832" s="15"/>
      <c r="P832" s="15"/>
      <c r="Q832" s="15"/>
      <c r="R832" s="15"/>
      <c r="S832" s="15"/>
      <c r="T832" s="15"/>
      <c r="U832" s="15"/>
      <c r="V832" s="15"/>
      <c r="W832" s="15"/>
      <c r="X832" s="14"/>
      <c r="Y832" s="14"/>
      <c r="Z832" s="15"/>
      <c r="AA832" s="3"/>
      <c r="AB832" s="3"/>
      <c r="AC832" s="3"/>
      <c r="AD832" s="3"/>
      <c r="AE832" s="3"/>
      <c r="AF832" s="3"/>
    </row>
    <row r="833" ht="15.75" customHeight="1">
      <c r="J833" s="15"/>
      <c r="K833" s="188"/>
      <c r="L833" s="15"/>
      <c r="M833" s="15"/>
      <c r="N833" s="15"/>
      <c r="O833" s="15"/>
      <c r="P833" s="15"/>
      <c r="Q833" s="15"/>
      <c r="R833" s="15"/>
      <c r="S833" s="15"/>
      <c r="T833" s="15"/>
      <c r="U833" s="15"/>
      <c r="V833" s="15"/>
      <c r="W833" s="15"/>
      <c r="X833" s="14"/>
      <c r="Y833" s="14"/>
      <c r="Z833" s="15"/>
      <c r="AA833" s="3"/>
      <c r="AB833" s="3"/>
      <c r="AC833" s="3"/>
      <c r="AD833" s="3"/>
      <c r="AE833" s="3"/>
      <c r="AF833" s="3"/>
    </row>
    <row r="834" ht="15.75" customHeight="1">
      <c r="J834" s="15"/>
      <c r="K834" s="188"/>
      <c r="L834" s="15"/>
      <c r="M834" s="15"/>
      <c r="N834" s="15"/>
      <c r="O834" s="15"/>
      <c r="P834" s="15"/>
      <c r="Q834" s="15"/>
      <c r="R834" s="15"/>
      <c r="S834" s="15"/>
      <c r="T834" s="15"/>
      <c r="U834" s="15"/>
      <c r="V834" s="15"/>
      <c r="W834" s="15"/>
      <c r="X834" s="14"/>
      <c r="Y834" s="14"/>
      <c r="Z834" s="15"/>
      <c r="AA834" s="3"/>
      <c r="AB834" s="3"/>
      <c r="AC834" s="3"/>
      <c r="AD834" s="3"/>
      <c r="AE834" s="3"/>
      <c r="AF834" s="3"/>
    </row>
    <row r="835" ht="15.75" customHeight="1">
      <c r="J835" s="15"/>
      <c r="K835" s="188"/>
      <c r="L835" s="15"/>
      <c r="M835" s="15"/>
      <c r="N835" s="15"/>
      <c r="O835" s="15"/>
      <c r="P835" s="15"/>
      <c r="Q835" s="15"/>
      <c r="R835" s="15"/>
      <c r="S835" s="15"/>
      <c r="T835" s="15"/>
      <c r="U835" s="15"/>
      <c r="V835" s="15"/>
      <c r="W835" s="15"/>
      <c r="X835" s="14"/>
      <c r="Y835" s="14"/>
      <c r="Z835" s="15"/>
      <c r="AA835" s="3"/>
      <c r="AB835" s="3"/>
      <c r="AC835" s="3"/>
      <c r="AD835" s="3"/>
      <c r="AE835" s="3"/>
      <c r="AF835" s="3"/>
    </row>
    <row r="836" ht="15.75" customHeight="1">
      <c r="J836" s="15"/>
      <c r="K836" s="188"/>
      <c r="L836" s="15"/>
      <c r="M836" s="15"/>
      <c r="N836" s="15"/>
      <c r="O836" s="15"/>
      <c r="P836" s="15"/>
      <c r="Q836" s="15"/>
      <c r="R836" s="15"/>
      <c r="S836" s="15"/>
      <c r="T836" s="15"/>
      <c r="U836" s="15"/>
      <c r="V836" s="15"/>
      <c r="W836" s="15"/>
      <c r="X836" s="14"/>
      <c r="Y836" s="14"/>
      <c r="Z836" s="15"/>
      <c r="AA836" s="3"/>
      <c r="AB836" s="3"/>
      <c r="AC836" s="3"/>
      <c r="AD836" s="3"/>
      <c r="AE836" s="3"/>
      <c r="AF836" s="3"/>
    </row>
    <row r="837" ht="15.75" customHeight="1">
      <c r="J837" s="15"/>
      <c r="K837" s="188"/>
      <c r="L837" s="15"/>
      <c r="M837" s="15"/>
      <c r="N837" s="15"/>
      <c r="O837" s="15"/>
      <c r="P837" s="15"/>
      <c r="Q837" s="15"/>
      <c r="R837" s="15"/>
      <c r="S837" s="15"/>
      <c r="T837" s="15"/>
      <c r="U837" s="15"/>
      <c r="V837" s="15"/>
      <c r="W837" s="15"/>
      <c r="X837" s="14"/>
      <c r="Y837" s="14"/>
      <c r="Z837" s="15"/>
      <c r="AA837" s="3"/>
      <c r="AB837" s="3"/>
      <c r="AC837" s="3"/>
      <c r="AD837" s="3"/>
      <c r="AE837" s="3"/>
      <c r="AF837" s="3"/>
    </row>
    <row r="838" ht="15.75" customHeight="1">
      <c r="J838" s="15"/>
      <c r="K838" s="188"/>
      <c r="L838" s="15"/>
      <c r="M838" s="15"/>
      <c r="N838" s="15"/>
      <c r="O838" s="15"/>
      <c r="P838" s="15"/>
      <c r="Q838" s="15"/>
      <c r="R838" s="15"/>
      <c r="S838" s="15"/>
      <c r="T838" s="15"/>
      <c r="U838" s="15"/>
      <c r="V838" s="15"/>
      <c r="W838" s="15"/>
      <c r="X838" s="14"/>
      <c r="Y838" s="14"/>
      <c r="Z838" s="15"/>
      <c r="AA838" s="3"/>
      <c r="AB838" s="3"/>
      <c r="AC838" s="3"/>
      <c r="AD838" s="3"/>
      <c r="AE838" s="3"/>
      <c r="AF838" s="3"/>
    </row>
    <row r="839" ht="15.75" customHeight="1">
      <c r="J839" s="15"/>
      <c r="K839" s="188"/>
      <c r="L839" s="15"/>
      <c r="M839" s="15"/>
      <c r="N839" s="15"/>
      <c r="O839" s="15"/>
      <c r="P839" s="15"/>
      <c r="Q839" s="15"/>
      <c r="R839" s="15"/>
      <c r="S839" s="15"/>
      <c r="T839" s="15"/>
      <c r="U839" s="15"/>
      <c r="V839" s="15"/>
      <c r="W839" s="15"/>
      <c r="X839" s="14"/>
      <c r="Y839" s="14"/>
      <c r="Z839" s="15"/>
      <c r="AA839" s="3"/>
      <c r="AB839" s="3"/>
      <c r="AC839" s="3"/>
      <c r="AD839" s="3"/>
      <c r="AE839" s="3"/>
      <c r="AF839" s="3"/>
    </row>
    <row r="840" ht="15.75" customHeight="1">
      <c r="J840" s="15"/>
      <c r="K840" s="188"/>
      <c r="L840" s="15"/>
      <c r="M840" s="15"/>
      <c r="N840" s="15"/>
      <c r="O840" s="15"/>
      <c r="P840" s="15"/>
      <c r="Q840" s="15"/>
      <c r="R840" s="15"/>
      <c r="S840" s="15"/>
      <c r="T840" s="15"/>
      <c r="U840" s="15"/>
      <c r="V840" s="15"/>
      <c r="W840" s="15"/>
      <c r="X840" s="14"/>
      <c r="Y840" s="14"/>
      <c r="Z840" s="15"/>
      <c r="AA840" s="3"/>
      <c r="AB840" s="3"/>
      <c r="AC840" s="3"/>
      <c r="AD840" s="3"/>
      <c r="AE840" s="3"/>
      <c r="AF840" s="3"/>
    </row>
    <row r="841" ht="15.75" customHeight="1">
      <c r="J841" s="15"/>
      <c r="K841" s="188"/>
      <c r="L841" s="15"/>
      <c r="M841" s="15"/>
      <c r="N841" s="15"/>
      <c r="O841" s="15"/>
      <c r="P841" s="15"/>
      <c r="Q841" s="15"/>
      <c r="R841" s="15"/>
      <c r="S841" s="15"/>
      <c r="T841" s="15"/>
      <c r="U841" s="15"/>
      <c r="V841" s="15"/>
      <c r="W841" s="15"/>
      <c r="X841" s="14"/>
      <c r="Y841" s="14"/>
      <c r="Z841" s="15"/>
      <c r="AA841" s="3"/>
      <c r="AB841" s="3"/>
      <c r="AC841" s="3"/>
      <c r="AD841" s="3"/>
      <c r="AE841" s="3"/>
      <c r="AF841" s="3"/>
    </row>
    <row r="842" ht="15.75" customHeight="1">
      <c r="J842" s="15"/>
      <c r="K842" s="188"/>
      <c r="L842" s="15"/>
      <c r="M842" s="15"/>
      <c r="N842" s="15"/>
      <c r="O842" s="15"/>
      <c r="P842" s="15"/>
      <c r="Q842" s="15"/>
      <c r="R842" s="15"/>
      <c r="S842" s="15"/>
      <c r="T842" s="15"/>
      <c r="U842" s="15"/>
      <c r="V842" s="15"/>
      <c r="W842" s="15"/>
      <c r="X842" s="14"/>
      <c r="Y842" s="14"/>
      <c r="Z842" s="15"/>
      <c r="AA842" s="3"/>
      <c r="AB842" s="3"/>
      <c r="AC842" s="3"/>
      <c r="AD842" s="3"/>
      <c r="AE842" s="3"/>
      <c r="AF842" s="3"/>
    </row>
    <row r="843" ht="15.75" customHeight="1">
      <c r="J843" s="15"/>
      <c r="K843" s="188"/>
      <c r="L843" s="15"/>
      <c r="M843" s="15"/>
      <c r="N843" s="15"/>
      <c r="O843" s="15"/>
      <c r="P843" s="15"/>
      <c r="Q843" s="15"/>
      <c r="R843" s="15"/>
      <c r="S843" s="15"/>
      <c r="T843" s="15"/>
      <c r="U843" s="15"/>
      <c r="V843" s="15"/>
      <c r="W843" s="15"/>
      <c r="X843" s="14"/>
      <c r="Y843" s="14"/>
      <c r="Z843" s="15"/>
      <c r="AA843" s="3"/>
      <c r="AB843" s="3"/>
      <c r="AC843" s="3"/>
      <c r="AD843" s="3"/>
      <c r="AE843" s="3"/>
      <c r="AF843" s="3"/>
    </row>
    <row r="844" ht="15.75" customHeight="1">
      <c r="J844" s="15"/>
      <c r="K844" s="188"/>
      <c r="L844" s="15"/>
      <c r="M844" s="15"/>
      <c r="N844" s="15"/>
      <c r="O844" s="15"/>
      <c r="P844" s="15"/>
      <c r="Q844" s="15"/>
      <c r="R844" s="15"/>
      <c r="S844" s="15"/>
      <c r="T844" s="15"/>
      <c r="U844" s="15"/>
      <c r="V844" s="15"/>
      <c r="W844" s="15"/>
      <c r="X844" s="14"/>
      <c r="Y844" s="14"/>
      <c r="Z844" s="15"/>
      <c r="AA844" s="3"/>
      <c r="AB844" s="3"/>
      <c r="AC844" s="3"/>
      <c r="AD844" s="3"/>
      <c r="AE844" s="3"/>
      <c r="AF844" s="3"/>
    </row>
    <row r="845" ht="15.75" customHeight="1">
      <c r="J845" s="15"/>
      <c r="K845" s="188"/>
      <c r="L845" s="15"/>
      <c r="M845" s="15"/>
      <c r="N845" s="15"/>
      <c r="O845" s="15"/>
      <c r="P845" s="15"/>
      <c r="Q845" s="15"/>
      <c r="R845" s="15"/>
      <c r="S845" s="15"/>
      <c r="T845" s="15"/>
      <c r="U845" s="15"/>
      <c r="V845" s="15"/>
      <c r="W845" s="15"/>
      <c r="X845" s="14"/>
      <c r="Y845" s="14"/>
      <c r="Z845" s="15"/>
      <c r="AA845" s="3"/>
      <c r="AB845" s="3"/>
      <c r="AC845" s="3"/>
      <c r="AD845" s="3"/>
      <c r="AE845" s="3"/>
      <c r="AF845" s="3"/>
    </row>
    <row r="846" ht="15.75" customHeight="1">
      <c r="J846" s="15"/>
      <c r="K846" s="188"/>
      <c r="L846" s="15"/>
      <c r="M846" s="15"/>
      <c r="N846" s="15"/>
      <c r="O846" s="15"/>
      <c r="P846" s="15"/>
      <c r="Q846" s="15"/>
      <c r="R846" s="15"/>
      <c r="S846" s="15"/>
      <c r="T846" s="15"/>
      <c r="U846" s="15"/>
      <c r="V846" s="15"/>
      <c r="W846" s="15"/>
      <c r="X846" s="14"/>
      <c r="Y846" s="14"/>
      <c r="Z846" s="15"/>
      <c r="AA846" s="3"/>
      <c r="AB846" s="3"/>
      <c r="AC846" s="3"/>
      <c r="AD846" s="3"/>
      <c r="AE846" s="3"/>
      <c r="AF846" s="3"/>
    </row>
    <row r="847" ht="15.75" customHeight="1">
      <c r="J847" s="15"/>
      <c r="K847" s="188"/>
      <c r="L847" s="15"/>
      <c r="M847" s="15"/>
      <c r="N847" s="15"/>
      <c r="O847" s="15"/>
      <c r="P847" s="15"/>
      <c r="Q847" s="15"/>
      <c r="R847" s="15"/>
      <c r="S847" s="15"/>
      <c r="T847" s="15"/>
      <c r="U847" s="15"/>
      <c r="V847" s="15"/>
      <c r="W847" s="15"/>
      <c r="X847" s="14"/>
      <c r="Y847" s="14"/>
      <c r="Z847" s="15"/>
      <c r="AA847" s="3"/>
      <c r="AB847" s="3"/>
      <c r="AC847" s="3"/>
      <c r="AD847" s="3"/>
      <c r="AE847" s="3"/>
      <c r="AF847" s="3"/>
    </row>
    <row r="848" ht="15.75" customHeight="1">
      <c r="J848" s="15"/>
      <c r="K848" s="188"/>
      <c r="L848" s="15"/>
      <c r="M848" s="15"/>
      <c r="N848" s="15"/>
      <c r="O848" s="15"/>
      <c r="P848" s="15"/>
      <c r="Q848" s="15"/>
      <c r="R848" s="15"/>
      <c r="S848" s="15"/>
      <c r="T848" s="15"/>
      <c r="U848" s="15"/>
      <c r="V848" s="15"/>
      <c r="W848" s="15"/>
      <c r="X848" s="14"/>
      <c r="Y848" s="14"/>
      <c r="Z848" s="15"/>
      <c r="AA848" s="3"/>
      <c r="AB848" s="3"/>
      <c r="AC848" s="3"/>
      <c r="AD848" s="3"/>
      <c r="AE848" s="3"/>
      <c r="AF848" s="3"/>
    </row>
    <row r="849" ht="15.75" customHeight="1">
      <c r="J849" s="15"/>
      <c r="K849" s="188"/>
      <c r="L849" s="15"/>
      <c r="M849" s="15"/>
      <c r="N849" s="15"/>
      <c r="O849" s="15"/>
      <c r="P849" s="15"/>
      <c r="Q849" s="15"/>
      <c r="R849" s="15"/>
      <c r="S849" s="15"/>
      <c r="T849" s="15"/>
      <c r="U849" s="15"/>
      <c r="V849" s="15"/>
      <c r="W849" s="15"/>
      <c r="X849" s="14"/>
      <c r="Y849" s="14"/>
      <c r="Z849" s="15"/>
      <c r="AA849" s="3"/>
      <c r="AB849" s="3"/>
      <c r="AC849" s="3"/>
      <c r="AD849" s="3"/>
      <c r="AE849" s="3"/>
      <c r="AF849" s="3"/>
    </row>
    <row r="850" ht="15.75" customHeight="1">
      <c r="J850" s="15"/>
      <c r="K850" s="188"/>
      <c r="L850" s="15"/>
      <c r="M850" s="15"/>
      <c r="N850" s="15"/>
      <c r="O850" s="15"/>
      <c r="P850" s="15"/>
      <c r="Q850" s="15"/>
      <c r="R850" s="15"/>
      <c r="S850" s="15"/>
      <c r="T850" s="15"/>
      <c r="U850" s="15"/>
      <c r="V850" s="15"/>
      <c r="W850" s="15"/>
      <c r="X850" s="14"/>
      <c r="Y850" s="14"/>
      <c r="Z850" s="15"/>
      <c r="AA850" s="3"/>
      <c r="AB850" s="3"/>
      <c r="AC850" s="3"/>
      <c r="AD850" s="3"/>
      <c r="AE850" s="3"/>
      <c r="AF850" s="3"/>
    </row>
    <row r="851" ht="15.75" customHeight="1">
      <c r="J851" s="15"/>
      <c r="K851" s="188"/>
      <c r="L851" s="15"/>
      <c r="M851" s="15"/>
      <c r="N851" s="15"/>
      <c r="O851" s="15"/>
      <c r="P851" s="15"/>
      <c r="Q851" s="15"/>
      <c r="R851" s="15"/>
      <c r="S851" s="15"/>
      <c r="T851" s="15"/>
      <c r="U851" s="15"/>
      <c r="V851" s="15"/>
      <c r="W851" s="15"/>
      <c r="X851" s="14"/>
      <c r="Y851" s="14"/>
      <c r="Z851" s="15"/>
      <c r="AA851" s="3"/>
      <c r="AB851" s="3"/>
      <c r="AC851" s="3"/>
      <c r="AD851" s="3"/>
      <c r="AE851" s="3"/>
      <c r="AF851" s="3"/>
    </row>
    <row r="852" ht="15.75" customHeight="1">
      <c r="J852" s="15"/>
      <c r="K852" s="188"/>
      <c r="L852" s="15"/>
      <c r="M852" s="15"/>
      <c r="N852" s="15"/>
      <c r="O852" s="15"/>
      <c r="P852" s="15"/>
      <c r="Q852" s="15"/>
      <c r="R852" s="15"/>
      <c r="S852" s="15"/>
      <c r="T852" s="15"/>
      <c r="U852" s="15"/>
      <c r="V852" s="15"/>
      <c r="W852" s="15"/>
      <c r="X852" s="14"/>
      <c r="Y852" s="14"/>
      <c r="Z852" s="15"/>
      <c r="AA852" s="3"/>
      <c r="AB852" s="3"/>
      <c r="AC852" s="3"/>
      <c r="AD852" s="3"/>
      <c r="AE852" s="3"/>
      <c r="AF852" s="3"/>
    </row>
    <row r="853" ht="15.75" customHeight="1">
      <c r="J853" s="15"/>
      <c r="K853" s="188"/>
      <c r="L853" s="15"/>
      <c r="M853" s="15"/>
      <c r="N853" s="15"/>
      <c r="O853" s="15"/>
      <c r="P853" s="15"/>
      <c r="Q853" s="15"/>
      <c r="R853" s="15"/>
      <c r="S853" s="15"/>
      <c r="T853" s="15"/>
      <c r="U853" s="15"/>
      <c r="V853" s="15"/>
      <c r="W853" s="15"/>
      <c r="X853" s="14"/>
      <c r="Y853" s="14"/>
      <c r="Z853" s="15"/>
      <c r="AA853" s="3"/>
      <c r="AB853" s="3"/>
      <c r="AC853" s="3"/>
      <c r="AD853" s="3"/>
      <c r="AE853" s="3"/>
      <c r="AF853" s="3"/>
    </row>
    <row r="854" ht="15.75" customHeight="1">
      <c r="J854" s="15"/>
      <c r="K854" s="188"/>
      <c r="L854" s="15"/>
      <c r="M854" s="15"/>
      <c r="N854" s="15"/>
      <c r="O854" s="15"/>
      <c r="P854" s="15"/>
      <c r="Q854" s="15"/>
      <c r="R854" s="15"/>
      <c r="S854" s="15"/>
      <c r="T854" s="15"/>
      <c r="U854" s="15"/>
      <c r="V854" s="15"/>
      <c r="W854" s="15"/>
      <c r="X854" s="14"/>
      <c r="Y854" s="14"/>
      <c r="Z854" s="15"/>
      <c r="AA854" s="3"/>
      <c r="AB854" s="3"/>
      <c r="AC854" s="3"/>
      <c r="AD854" s="3"/>
      <c r="AE854" s="3"/>
      <c r="AF854" s="3"/>
    </row>
    <row r="855" ht="15.75" customHeight="1">
      <c r="J855" s="15"/>
      <c r="K855" s="188"/>
      <c r="L855" s="15"/>
      <c r="M855" s="15"/>
      <c r="N855" s="15"/>
      <c r="O855" s="15"/>
      <c r="P855" s="15"/>
      <c r="Q855" s="15"/>
      <c r="R855" s="15"/>
      <c r="S855" s="15"/>
      <c r="T855" s="15"/>
      <c r="U855" s="15"/>
      <c r="V855" s="15"/>
      <c r="W855" s="15"/>
      <c r="X855" s="14"/>
      <c r="Y855" s="14"/>
      <c r="Z855" s="15"/>
      <c r="AA855" s="3"/>
      <c r="AB855" s="3"/>
      <c r="AC855" s="3"/>
      <c r="AD855" s="3"/>
      <c r="AE855" s="3"/>
      <c r="AF855" s="3"/>
    </row>
    <row r="856" ht="15.75" customHeight="1">
      <c r="J856" s="15"/>
      <c r="K856" s="188"/>
      <c r="L856" s="15"/>
      <c r="M856" s="15"/>
      <c r="N856" s="15"/>
      <c r="O856" s="15"/>
      <c r="P856" s="15"/>
      <c r="Q856" s="15"/>
      <c r="R856" s="15"/>
      <c r="S856" s="15"/>
      <c r="T856" s="15"/>
      <c r="U856" s="15"/>
      <c r="V856" s="15"/>
      <c r="W856" s="15"/>
      <c r="X856" s="14"/>
      <c r="Y856" s="14"/>
      <c r="Z856" s="15"/>
      <c r="AA856" s="3"/>
      <c r="AB856" s="3"/>
      <c r="AC856" s="3"/>
      <c r="AD856" s="3"/>
      <c r="AE856" s="3"/>
      <c r="AF856" s="3"/>
    </row>
    <row r="857" ht="15.75" customHeight="1">
      <c r="J857" s="15"/>
      <c r="K857" s="188"/>
      <c r="L857" s="15"/>
      <c r="M857" s="15"/>
      <c r="N857" s="15"/>
      <c r="O857" s="15"/>
      <c r="P857" s="15"/>
      <c r="Q857" s="15"/>
      <c r="R857" s="15"/>
      <c r="S857" s="15"/>
      <c r="T857" s="15"/>
      <c r="U857" s="15"/>
      <c r="V857" s="15"/>
      <c r="W857" s="15"/>
      <c r="X857" s="14"/>
      <c r="Y857" s="14"/>
      <c r="Z857" s="15"/>
      <c r="AA857" s="3"/>
      <c r="AB857" s="3"/>
      <c r="AC857" s="3"/>
      <c r="AD857" s="3"/>
      <c r="AE857" s="3"/>
      <c r="AF857" s="3"/>
    </row>
    <row r="858" ht="15.75" customHeight="1">
      <c r="J858" s="15"/>
      <c r="K858" s="188"/>
      <c r="L858" s="15"/>
      <c r="M858" s="15"/>
      <c r="N858" s="15"/>
      <c r="O858" s="15"/>
      <c r="P858" s="15"/>
      <c r="Q858" s="15"/>
      <c r="R858" s="15"/>
      <c r="S858" s="15"/>
      <c r="T858" s="15"/>
      <c r="U858" s="15"/>
      <c r="V858" s="15"/>
      <c r="W858" s="15"/>
      <c r="X858" s="14"/>
      <c r="Y858" s="14"/>
      <c r="Z858" s="15"/>
      <c r="AA858" s="3"/>
      <c r="AB858" s="3"/>
      <c r="AC858" s="3"/>
      <c r="AD858" s="3"/>
      <c r="AE858" s="3"/>
      <c r="AF858" s="3"/>
    </row>
    <row r="859" ht="15.75" customHeight="1">
      <c r="J859" s="15"/>
      <c r="K859" s="188"/>
      <c r="L859" s="15"/>
      <c r="M859" s="15"/>
      <c r="N859" s="15"/>
      <c r="O859" s="15"/>
      <c r="P859" s="15"/>
      <c r="Q859" s="15"/>
      <c r="R859" s="15"/>
      <c r="S859" s="15"/>
      <c r="T859" s="15"/>
      <c r="U859" s="15"/>
      <c r="V859" s="15"/>
      <c r="W859" s="15"/>
      <c r="X859" s="14"/>
      <c r="Y859" s="14"/>
      <c r="Z859" s="15"/>
      <c r="AA859" s="3"/>
      <c r="AB859" s="3"/>
      <c r="AC859" s="3"/>
      <c r="AD859" s="3"/>
      <c r="AE859" s="3"/>
      <c r="AF859" s="3"/>
    </row>
    <row r="860" ht="15.75" customHeight="1">
      <c r="J860" s="15"/>
      <c r="K860" s="188"/>
      <c r="L860" s="15"/>
      <c r="M860" s="15"/>
      <c r="N860" s="15"/>
      <c r="O860" s="15"/>
      <c r="P860" s="15"/>
      <c r="Q860" s="15"/>
      <c r="R860" s="15"/>
      <c r="S860" s="15"/>
      <c r="T860" s="15"/>
      <c r="U860" s="15"/>
      <c r="V860" s="15"/>
      <c r="W860" s="15"/>
      <c r="X860" s="14"/>
      <c r="Y860" s="14"/>
      <c r="Z860" s="15"/>
      <c r="AA860" s="3"/>
      <c r="AB860" s="3"/>
      <c r="AC860" s="3"/>
      <c r="AD860" s="3"/>
      <c r="AE860" s="3"/>
      <c r="AF860" s="3"/>
    </row>
    <row r="861" ht="15.75" customHeight="1">
      <c r="J861" s="15"/>
      <c r="K861" s="188"/>
      <c r="L861" s="15"/>
      <c r="M861" s="15"/>
      <c r="N861" s="15"/>
      <c r="O861" s="15"/>
      <c r="P861" s="15"/>
      <c r="Q861" s="15"/>
      <c r="R861" s="15"/>
      <c r="S861" s="15"/>
      <c r="T861" s="15"/>
      <c r="U861" s="15"/>
      <c r="V861" s="15"/>
      <c r="W861" s="15"/>
      <c r="X861" s="14"/>
      <c r="Y861" s="14"/>
      <c r="Z861" s="15"/>
      <c r="AA861" s="3"/>
      <c r="AB861" s="3"/>
      <c r="AC861" s="3"/>
      <c r="AD861" s="3"/>
      <c r="AE861" s="3"/>
      <c r="AF861" s="3"/>
    </row>
    <row r="862" ht="15.75" customHeight="1">
      <c r="J862" s="15"/>
      <c r="K862" s="188"/>
      <c r="L862" s="15"/>
      <c r="M862" s="15"/>
      <c r="N862" s="15"/>
      <c r="O862" s="15"/>
      <c r="P862" s="15"/>
      <c r="Q862" s="15"/>
      <c r="R862" s="15"/>
      <c r="S862" s="15"/>
      <c r="T862" s="15"/>
      <c r="U862" s="15"/>
      <c r="V862" s="15"/>
      <c r="W862" s="15"/>
      <c r="X862" s="14"/>
      <c r="Y862" s="14"/>
      <c r="Z862" s="15"/>
      <c r="AA862" s="3"/>
      <c r="AB862" s="3"/>
      <c r="AC862" s="3"/>
      <c r="AD862" s="3"/>
      <c r="AE862" s="3"/>
      <c r="AF862" s="3"/>
    </row>
    <row r="863" ht="15.75" customHeight="1">
      <c r="J863" s="15"/>
      <c r="K863" s="188"/>
      <c r="L863" s="15"/>
      <c r="M863" s="15"/>
      <c r="N863" s="15"/>
      <c r="O863" s="15"/>
      <c r="P863" s="15"/>
      <c r="Q863" s="15"/>
      <c r="R863" s="15"/>
      <c r="S863" s="15"/>
      <c r="T863" s="15"/>
      <c r="U863" s="15"/>
      <c r="V863" s="15"/>
      <c r="W863" s="15"/>
      <c r="X863" s="14"/>
      <c r="Y863" s="14"/>
      <c r="Z863" s="15"/>
      <c r="AA863" s="3"/>
      <c r="AB863" s="3"/>
      <c r="AC863" s="3"/>
      <c r="AD863" s="3"/>
      <c r="AE863" s="3"/>
      <c r="AF863" s="3"/>
    </row>
    <row r="864" ht="15.75" customHeight="1">
      <c r="J864" s="15"/>
      <c r="K864" s="188"/>
      <c r="L864" s="15"/>
      <c r="M864" s="15"/>
      <c r="N864" s="15"/>
      <c r="O864" s="15"/>
      <c r="P864" s="15"/>
      <c r="Q864" s="15"/>
      <c r="R864" s="15"/>
      <c r="S864" s="15"/>
      <c r="T864" s="15"/>
      <c r="U864" s="15"/>
      <c r="V864" s="15"/>
      <c r="W864" s="15"/>
      <c r="X864" s="14"/>
      <c r="Y864" s="14"/>
      <c r="Z864" s="15"/>
      <c r="AA864" s="3"/>
      <c r="AB864" s="3"/>
      <c r="AC864" s="3"/>
      <c r="AD864" s="3"/>
      <c r="AE864" s="3"/>
      <c r="AF864" s="3"/>
    </row>
    <row r="865" ht="15.75" customHeight="1">
      <c r="J865" s="15"/>
      <c r="K865" s="188"/>
      <c r="L865" s="15"/>
      <c r="M865" s="15"/>
      <c r="N865" s="15"/>
      <c r="O865" s="15"/>
      <c r="P865" s="15"/>
      <c r="Q865" s="15"/>
      <c r="R865" s="15"/>
      <c r="S865" s="15"/>
      <c r="T865" s="15"/>
      <c r="U865" s="15"/>
      <c r="V865" s="15"/>
      <c r="W865" s="15"/>
      <c r="X865" s="14"/>
      <c r="Y865" s="14"/>
      <c r="Z865" s="15"/>
      <c r="AA865" s="3"/>
      <c r="AB865" s="3"/>
      <c r="AC865" s="3"/>
      <c r="AD865" s="3"/>
      <c r="AE865" s="3"/>
      <c r="AF865" s="3"/>
    </row>
    <row r="866" ht="15.75" customHeight="1">
      <c r="J866" s="15"/>
      <c r="K866" s="188"/>
      <c r="L866" s="15"/>
      <c r="M866" s="15"/>
      <c r="N866" s="15"/>
      <c r="O866" s="15"/>
      <c r="P866" s="15"/>
      <c r="Q866" s="15"/>
      <c r="R866" s="15"/>
      <c r="S866" s="15"/>
      <c r="T866" s="15"/>
      <c r="U866" s="15"/>
      <c r="V866" s="15"/>
      <c r="W866" s="15"/>
      <c r="X866" s="14"/>
      <c r="Y866" s="14"/>
      <c r="Z866" s="15"/>
      <c r="AA866" s="3"/>
      <c r="AB866" s="3"/>
      <c r="AC866" s="3"/>
      <c r="AD866" s="3"/>
      <c r="AE866" s="3"/>
      <c r="AF866" s="3"/>
    </row>
    <row r="867" ht="15.75" customHeight="1">
      <c r="J867" s="15"/>
      <c r="K867" s="188"/>
      <c r="L867" s="15"/>
      <c r="M867" s="15"/>
      <c r="N867" s="15"/>
      <c r="O867" s="15"/>
      <c r="P867" s="15"/>
      <c r="Q867" s="15"/>
      <c r="R867" s="15"/>
      <c r="S867" s="15"/>
      <c r="T867" s="15"/>
      <c r="U867" s="15"/>
      <c r="V867" s="15"/>
      <c r="W867" s="15"/>
      <c r="X867" s="14"/>
      <c r="Y867" s="14"/>
      <c r="Z867" s="15"/>
      <c r="AA867" s="3"/>
      <c r="AB867" s="3"/>
      <c r="AC867" s="3"/>
      <c r="AD867" s="3"/>
      <c r="AE867" s="3"/>
      <c r="AF867" s="3"/>
    </row>
    <row r="868" ht="15.75" customHeight="1">
      <c r="J868" s="15"/>
      <c r="K868" s="188"/>
      <c r="L868" s="15"/>
      <c r="M868" s="15"/>
      <c r="N868" s="15"/>
      <c r="O868" s="15"/>
      <c r="P868" s="15"/>
      <c r="Q868" s="15"/>
      <c r="R868" s="15"/>
      <c r="S868" s="15"/>
      <c r="T868" s="15"/>
      <c r="U868" s="15"/>
      <c r="V868" s="15"/>
      <c r="W868" s="15"/>
      <c r="X868" s="14"/>
      <c r="Y868" s="14"/>
      <c r="Z868" s="15"/>
      <c r="AA868" s="3"/>
      <c r="AB868" s="3"/>
      <c r="AC868" s="3"/>
      <c r="AD868" s="3"/>
      <c r="AE868" s="3"/>
      <c r="AF868" s="3"/>
    </row>
    <row r="869" ht="15.75" customHeight="1">
      <c r="J869" s="15"/>
      <c r="K869" s="188"/>
      <c r="L869" s="15"/>
      <c r="M869" s="15"/>
      <c r="N869" s="15"/>
      <c r="O869" s="15"/>
      <c r="P869" s="15"/>
      <c r="Q869" s="15"/>
      <c r="R869" s="15"/>
      <c r="S869" s="15"/>
      <c r="T869" s="15"/>
      <c r="U869" s="15"/>
      <c r="V869" s="15"/>
      <c r="W869" s="15"/>
      <c r="X869" s="14"/>
      <c r="Y869" s="14"/>
      <c r="Z869" s="15"/>
      <c r="AA869" s="3"/>
      <c r="AB869" s="3"/>
      <c r="AC869" s="3"/>
      <c r="AD869" s="3"/>
      <c r="AE869" s="3"/>
      <c r="AF869" s="3"/>
    </row>
    <row r="870" ht="15.75" customHeight="1">
      <c r="J870" s="15"/>
      <c r="K870" s="188"/>
      <c r="L870" s="15"/>
      <c r="M870" s="15"/>
      <c r="N870" s="15"/>
      <c r="O870" s="15"/>
      <c r="P870" s="15"/>
      <c r="Q870" s="15"/>
      <c r="R870" s="15"/>
      <c r="S870" s="15"/>
      <c r="T870" s="15"/>
      <c r="U870" s="15"/>
      <c r="V870" s="15"/>
      <c r="W870" s="15"/>
      <c r="X870" s="14"/>
      <c r="Y870" s="14"/>
      <c r="Z870" s="15"/>
      <c r="AA870" s="3"/>
      <c r="AB870" s="3"/>
      <c r="AC870" s="3"/>
      <c r="AD870" s="3"/>
      <c r="AE870" s="3"/>
      <c r="AF870" s="3"/>
    </row>
    <row r="871" ht="15.75" customHeight="1">
      <c r="J871" s="15"/>
      <c r="K871" s="188"/>
      <c r="L871" s="15"/>
      <c r="M871" s="15"/>
      <c r="N871" s="15"/>
      <c r="O871" s="15"/>
      <c r="P871" s="15"/>
      <c r="Q871" s="15"/>
      <c r="R871" s="15"/>
      <c r="S871" s="15"/>
      <c r="T871" s="15"/>
      <c r="U871" s="15"/>
      <c r="V871" s="15"/>
      <c r="W871" s="15"/>
      <c r="X871" s="14"/>
      <c r="Y871" s="14"/>
      <c r="Z871" s="15"/>
      <c r="AA871" s="3"/>
      <c r="AB871" s="3"/>
      <c r="AC871" s="3"/>
      <c r="AD871" s="3"/>
      <c r="AE871" s="3"/>
      <c r="AF871" s="3"/>
    </row>
    <row r="872" ht="15.75" customHeight="1">
      <c r="J872" s="15"/>
      <c r="K872" s="188"/>
      <c r="L872" s="15"/>
      <c r="M872" s="15"/>
      <c r="N872" s="15"/>
      <c r="O872" s="15"/>
      <c r="P872" s="15"/>
      <c r="Q872" s="15"/>
      <c r="R872" s="15"/>
      <c r="S872" s="15"/>
      <c r="T872" s="15"/>
      <c r="U872" s="15"/>
      <c r="V872" s="15"/>
      <c r="W872" s="15"/>
      <c r="X872" s="14"/>
      <c r="Y872" s="14"/>
      <c r="Z872" s="15"/>
      <c r="AA872" s="3"/>
      <c r="AB872" s="3"/>
      <c r="AC872" s="3"/>
      <c r="AD872" s="3"/>
      <c r="AE872" s="3"/>
      <c r="AF872" s="3"/>
    </row>
    <row r="873" ht="15.75" customHeight="1">
      <c r="J873" s="15"/>
      <c r="K873" s="188"/>
      <c r="L873" s="15"/>
      <c r="M873" s="15"/>
      <c r="N873" s="15"/>
      <c r="O873" s="15"/>
      <c r="P873" s="15"/>
      <c r="Q873" s="15"/>
      <c r="R873" s="15"/>
      <c r="S873" s="15"/>
      <c r="T873" s="15"/>
      <c r="U873" s="15"/>
      <c r="V873" s="15"/>
      <c r="W873" s="15"/>
      <c r="X873" s="14"/>
      <c r="Y873" s="14"/>
      <c r="Z873" s="15"/>
      <c r="AA873" s="3"/>
      <c r="AB873" s="3"/>
      <c r="AC873" s="3"/>
      <c r="AD873" s="3"/>
      <c r="AE873" s="3"/>
      <c r="AF873" s="3"/>
    </row>
    <row r="874" ht="15.75" customHeight="1">
      <c r="J874" s="15"/>
      <c r="K874" s="188"/>
      <c r="L874" s="15"/>
      <c r="M874" s="15"/>
      <c r="N874" s="15"/>
      <c r="O874" s="15"/>
      <c r="P874" s="15"/>
      <c r="Q874" s="15"/>
      <c r="R874" s="15"/>
      <c r="S874" s="15"/>
      <c r="T874" s="15"/>
      <c r="U874" s="15"/>
      <c r="V874" s="15"/>
      <c r="W874" s="15"/>
      <c r="X874" s="14"/>
      <c r="Y874" s="14"/>
      <c r="Z874" s="15"/>
      <c r="AA874" s="3"/>
      <c r="AB874" s="3"/>
      <c r="AC874" s="3"/>
      <c r="AD874" s="3"/>
      <c r="AE874" s="3"/>
      <c r="AF874" s="3"/>
    </row>
    <row r="875" ht="15.75" customHeight="1">
      <c r="J875" s="15"/>
      <c r="K875" s="188"/>
      <c r="L875" s="15"/>
      <c r="M875" s="15"/>
      <c r="N875" s="15"/>
      <c r="O875" s="15"/>
      <c r="P875" s="15"/>
      <c r="Q875" s="15"/>
      <c r="R875" s="15"/>
      <c r="S875" s="15"/>
      <c r="T875" s="15"/>
      <c r="U875" s="15"/>
      <c r="V875" s="15"/>
      <c r="W875" s="15"/>
      <c r="X875" s="14"/>
      <c r="Y875" s="14"/>
      <c r="Z875" s="15"/>
      <c r="AA875" s="3"/>
      <c r="AB875" s="3"/>
      <c r="AC875" s="3"/>
      <c r="AD875" s="3"/>
      <c r="AE875" s="3"/>
      <c r="AF875" s="3"/>
    </row>
    <row r="876" ht="15.75" customHeight="1">
      <c r="J876" s="15"/>
      <c r="K876" s="188"/>
      <c r="L876" s="15"/>
      <c r="M876" s="15"/>
      <c r="N876" s="15"/>
      <c r="O876" s="15"/>
      <c r="P876" s="15"/>
      <c r="Q876" s="15"/>
      <c r="R876" s="15"/>
      <c r="S876" s="15"/>
      <c r="T876" s="15"/>
      <c r="U876" s="15"/>
      <c r="V876" s="15"/>
      <c r="W876" s="15"/>
      <c r="X876" s="14"/>
      <c r="Y876" s="14"/>
      <c r="Z876" s="15"/>
      <c r="AA876" s="3"/>
      <c r="AB876" s="3"/>
      <c r="AC876" s="3"/>
      <c r="AD876" s="3"/>
      <c r="AE876" s="3"/>
      <c r="AF876" s="3"/>
    </row>
    <row r="877" ht="15.75" customHeight="1">
      <c r="J877" s="15"/>
      <c r="K877" s="188"/>
      <c r="L877" s="15"/>
      <c r="M877" s="15"/>
      <c r="N877" s="15"/>
      <c r="O877" s="15"/>
      <c r="P877" s="15"/>
      <c r="Q877" s="15"/>
      <c r="R877" s="15"/>
      <c r="S877" s="15"/>
      <c r="T877" s="15"/>
      <c r="U877" s="15"/>
      <c r="V877" s="15"/>
      <c r="W877" s="15"/>
      <c r="X877" s="14"/>
      <c r="Y877" s="14"/>
      <c r="Z877" s="15"/>
      <c r="AA877" s="3"/>
      <c r="AB877" s="3"/>
      <c r="AC877" s="3"/>
      <c r="AD877" s="3"/>
      <c r="AE877" s="3"/>
      <c r="AF877" s="3"/>
    </row>
    <row r="878" ht="15.75" customHeight="1">
      <c r="J878" s="15"/>
      <c r="K878" s="188"/>
      <c r="L878" s="15"/>
      <c r="M878" s="15"/>
      <c r="N878" s="15"/>
      <c r="O878" s="15"/>
      <c r="P878" s="15"/>
      <c r="Q878" s="15"/>
      <c r="R878" s="15"/>
      <c r="S878" s="15"/>
      <c r="T878" s="15"/>
      <c r="U878" s="15"/>
      <c r="V878" s="15"/>
      <c r="W878" s="15"/>
      <c r="X878" s="14"/>
      <c r="Y878" s="14"/>
      <c r="Z878" s="15"/>
      <c r="AA878" s="3"/>
      <c r="AB878" s="3"/>
      <c r="AC878" s="3"/>
      <c r="AD878" s="3"/>
      <c r="AE878" s="3"/>
      <c r="AF878" s="3"/>
    </row>
    <row r="879" ht="15.75" customHeight="1">
      <c r="J879" s="15"/>
      <c r="K879" s="188"/>
      <c r="L879" s="15"/>
      <c r="M879" s="15"/>
      <c r="N879" s="15"/>
      <c r="O879" s="15"/>
      <c r="P879" s="15"/>
      <c r="Q879" s="15"/>
      <c r="R879" s="15"/>
      <c r="S879" s="15"/>
      <c r="T879" s="15"/>
      <c r="U879" s="15"/>
      <c r="V879" s="15"/>
      <c r="W879" s="15"/>
      <c r="X879" s="14"/>
      <c r="Y879" s="14"/>
      <c r="Z879" s="15"/>
      <c r="AA879" s="3"/>
      <c r="AB879" s="3"/>
      <c r="AC879" s="3"/>
      <c r="AD879" s="3"/>
      <c r="AE879" s="3"/>
      <c r="AF879" s="3"/>
    </row>
    <row r="880" ht="15.75" customHeight="1">
      <c r="J880" s="15"/>
      <c r="K880" s="188"/>
      <c r="L880" s="15"/>
      <c r="M880" s="15"/>
      <c r="N880" s="15"/>
      <c r="O880" s="15"/>
      <c r="P880" s="15"/>
      <c r="Q880" s="15"/>
      <c r="R880" s="15"/>
      <c r="S880" s="15"/>
      <c r="T880" s="15"/>
      <c r="U880" s="15"/>
      <c r="V880" s="15"/>
      <c r="W880" s="15"/>
      <c r="X880" s="14"/>
      <c r="Y880" s="14"/>
      <c r="Z880" s="15"/>
      <c r="AA880" s="3"/>
      <c r="AB880" s="3"/>
      <c r="AC880" s="3"/>
      <c r="AD880" s="3"/>
      <c r="AE880" s="3"/>
      <c r="AF880" s="3"/>
    </row>
    <row r="881" ht="15.75" customHeight="1">
      <c r="J881" s="15"/>
      <c r="K881" s="188"/>
      <c r="L881" s="15"/>
      <c r="M881" s="15"/>
      <c r="N881" s="15"/>
      <c r="O881" s="15"/>
      <c r="P881" s="15"/>
      <c r="Q881" s="15"/>
      <c r="R881" s="15"/>
      <c r="S881" s="15"/>
      <c r="T881" s="15"/>
      <c r="U881" s="15"/>
      <c r="V881" s="15"/>
      <c r="W881" s="15"/>
      <c r="X881" s="14"/>
      <c r="Y881" s="14"/>
      <c r="Z881" s="15"/>
      <c r="AA881" s="3"/>
      <c r="AB881" s="3"/>
      <c r="AC881" s="3"/>
      <c r="AD881" s="3"/>
      <c r="AE881" s="3"/>
      <c r="AF881" s="3"/>
    </row>
    <row r="882" ht="15.75" customHeight="1">
      <c r="J882" s="15"/>
      <c r="K882" s="188"/>
      <c r="L882" s="15"/>
      <c r="M882" s="15"/>
      <c r="N882" s="15"/>
      <c r="O882" s="15"/>
      <c r="P882" s="15"/>
      <c r="Q882" s="15"/>
      <c r="R882" s="15"/>
      <c r="S882" s="15"/>
      <c r="T882" s="15"/>
      <c r="U882" s="15"/>
      <c r="V882" s="15"/>
      <c r="W882" s="15"/>
      <c r="X882" s="14"/>
      <c r="Y882" s="14"/>
      <c r="Z882" s="15"/>
      <c r="AA882" s="3"/>
      <c r="AB882" s="3"/>
      <c r="AC882" s="3"/>
      <c r="AD882" s="3"/>
      <c r="AE882" s="3"/>
      <c r="AF882" s="3"/>
    </row>
    <row r="883" ht="15.75" customHeight="1">
      <c r="J883" s="15"/>
      <c r="K883" s="188"/>
      <c r="L883" s="15"/>
      <c r="M883" s="15"/>
      <c r="N883" s="15"/>
      <c r="O883" s="15"/>
      <c r="P883" s="15"/>
      <c r="Q883" s="15"/>
      <c r="R883" s="15"/>
      <c r="S883" s="15"/>
      <c r="T883" s="15"/>
      <c r="U883" s="15"/>
      <c r="V883" s="15"/>
      <c r="W883" s="15"/>
      <c r="X883" s="14"/>
      <c r="Y883" s="14"/>
      <c r="Z883" s="15"/>
      <c r="AA883" s="3"/>
      <c r="AB883" s="3"/>
      <c r="AC883" s="3"/>
      <c r="AD883" s="3"/>
      <c r="AE883" s="3"/>
      <c r="AF883" s="3"/>
    </row>
    <row r="884" ht="15.75" customHeight="1">
      <c r="J884" s="15"/>
      <c r="K884" s="188"/>
      <c r="L884" s="15"/>
      <c r="M884" s="15"/>
      <c r="N884" s="15"/>
      <c r="O884" s="15"/>
      <c r="P884" s="15"/>
      <c r="Q884" s="15"/>
      <c r="R884" s="15"/>
      <c r="S884" s="15"/>
      <c r="T884" s="15"/>
      <c r="U884" s="15"/>
      <c r="V884" s="15"/>
      <c r="W884" s="15"/>
      <c r="X884" s="14"/>
      <c r="Y884" s="14"/>
      <c r="Z884" s="15"/>
      <c r="AA884" s="3"/>
      <c r="AB884" s="3"/>
      <c r="AC884" s="3"/>
      <c r="AD884" s="3"/>
      <c r="AE884" s="3"/>
      <c r="AF884" s="3"/>
    </row>
    <row r="885" ht="15.75" customHeight="1">
      <c r="J885" s="15"/>
      <c r="K885" s="188"/>
      <c r="L885" s="15"/>
      <c r="M885" s="15"/>
      <c r="N885" s="15"/>
      <c r="O885" s="15"/>
      <c r="P885" s="15"/>
      <c r="Q885" s="15"/>
      <c r="R885" s="15"/>
      <c r="S885" s="15"/>
      <c r="T885" s="15"/>
      <c r="U885" s="15"/>
      <c r="V885" s="15"/>
      <c r="W885" s="15"/>
      <c r="X885" s="14"/>
      <c r="Y885" s="14"/>
      <c r="Z885" s="15"/>
      <c r="AA885" s="3"/>
      <c r="AB885" s="3"/>
      <c r="AC885" s="3"/>
      <c r="AD885" s="3"/>
      <c r="AE885" s="3"/>
      <c r="AF885" s="3"/>
    </row>
    <row r="886" ht="15.75" customHeight="1">
      <c r="J886" s="15"/>
      <c r="K886" s="188"/>
      <c r="L886" s="15"/>
      <c r="M886" s="15"/>
      <c r="N886" s="15"/>
      <c r="O886" s="15"/>
      <c r="P886" s="15"/>
      <c r="Q886" s="15"/>
      <c r="R886" s="15"/>
      <c r="S886" s="15"/>
      <c r="T886" s="15"/>
      <c r="U886" s="15"/>
      <c r="V886" s="15"/>
      <c r="W886" s="15"/>
      <c r="X886" s="14"/>
      <c r="Y886" s="14"/>
      <c r="Z886" s="15"/>
      <c r="AA886" s="3"/>
      <c r="AB886" s="3"/>
      <c r="AC886" s="3"/>
      <c r="AD886" s="3"/>
      <c r="AE886" s="3"/>
      <c r="AF886" s="3"/>
    </row>
    <row r="887" ht="15.75" customHeight="1">
      <c r="J887" s="15"/>
      <c r="K887" s="188"/>
      <c r="L887" s="15"/>
      <c r="M887" s="15"/>
      <c r="N887" s="15"/>
      <c r="O887" s="15"/>
      <c r="P887" s="15"/>
      <c r="Q887" s="15"/>
      <c r="R887" s="15"/>
      <c r="S887" s="15"/>
      <c r="T887" s="15"/>
      <c r="U887" s="15"/>
      <c r="V887" s="15"/>
      <c r="W887" s="15"/>
      <c r="X887" s="14"/>
      <c r="Y887" s="14"/>
      <c r="Z887" s="15"/>
      <c r="AA887" s="3"/>
      <c r="AB887" s="3"/>
      <c r="AC887" s="3"/>
      <c r="AD887" s="3"/>
      <c r="AE887" s="3"/>
      <c r="AF887" s="3"/>
    </row>
    <row r="888" ht="15.75" customHeight="1">
      <c r="J888" s="15"/>
      <c r="K888" s="188"/>
      <c r="L888" s="15"/>
      <c r="M888" s="15"/>
      <c r="N888" s="15"/>
      <c r="O888" s="15"/>
      <c r="P888" s="15"/>
      <c r="Q888" s="15"/>
      <c r="R888" s="15"/>
      <c r="S888" s="15"/>
      <c r="T888" s="15"/>
      <c r="U888" s="15"/>
      <c r="V888" s="15"/>
      <c r="W888" s="15"/>
      <c r="X888" s="14"/>
      <c r="Y888" s="14"/>
      <c r="Z888" s="15"/>
      <c r="AA888" s="3"/>
      <c r="AB888" s="3"/>
      <c r="AC888" s="3"/>
      <c r="AD888" s="3"/>
      <c r="AE888" s="3"/>
      <c r="AF888" s="3"/>
    </row>
    <row r="889" ht="15.75" customHeight="1">
      <c r="J889" s="15"/>
      <c r="K889" s="188"/>
      <c r="L889" s="15"/>
      <c r="M889" s="15"/>
      <c r="N889" s="15"/>
      <c r="O889" s="15"/>
      <c r="P889" s="15"/>
      <c r="Q889" s="15"/>
      <c r="R889" s="15"/>
      <c r="S889" s="15"/>
      <c r="T889" s="15"/>
      <c r="U889" s="15"/>
      <c r="V889" s="15"/>
      <c r="W889" s="15"/>
      <c r="X889" s="14"/>
      <c r="Y889" s="14"/>
      <c r="Z889" s="15"/>
      <c r="AA889" s="3"/>
      <c r="AB889" s="3"/>
      <c r="AC889" s="3"/>
      <c r="AD889" s="3"/>
      <c r="AE889" s="3"/>
      <c r="AF889" s="3"/>
    </row>
    <row r="890" ht="15.75" customHeight="1">
      <c r="J890" s="15"/>
      <c r="K890" s="188"/>
      <c r="L890" s="15"/>
      <c r="M890" s="15"/>
      <c r="N890" s="15"/>
      <c r="O890" s="15"/>
      <c r="P890" s="15"/>
      <c r="Q890" s="15"/>
      <c r="R890" s="15"/>
      <c r="S890" s="15"/>
      <c r="T890" s="15"/>
      <c r="U890" s="15"/>
      <c r="V890" s="15"/>
      <c r="W890" s="15"/>
      <c r="X890" s="14"/>
      <c r="Y890" s="14"/>
      <c r="Z890" s="15"/>
      <c r="AA890" s="3"/>
      <c r="AB890" s="3"/>
      <c r="AC890" s="3"/>
      <c r="AD890" s="3"/>
      <c r="AE890" s="3"/>
      <c r="AF890" s="3"/>
    </row>
    <row r="891" ht="15.75" customHeight="1">
      <c r="J891" s="15"/>
      <c r="K891" s="188"/>
      <c r="L891" s="15"/>
      <c r="M891" s="15"/>
      <c r="N891" s="15"/>
      <c r="O891" s="15"/>
      <c r="P891" s="15"/>
      <c r="Q891" s="15"/>
      <c r="R891" s="15"/>
      <c r="S891" s="15"/>
      <c r="T891" s="15"/>
      <c r="U891" s="15"/>
      <c r="V891" s="15"/>
      <c r="W891" s="15"/>
      <c r="X891" s="14"/>
      <c r="Y891" s="14"/>
      <c r="Z891" s="15"/>
      <c r="AA891" s="3"/>
      <c r="AB891" s="3"/>
      <c r="AC891" s="3"/>
      <c r="AD891" s="3"/>
      <c r="AE891" s="3"/>
      <c r="AF891" s="3"/>
    </row>
    <row r="892" ht="15.75" customHeight="1">
      <c r="J892" s="15"/>
      <c r="K892" s="188"/>
      <c r="L892" s="15"/>
      <c r="M892" s="15"/>
      <c r="N892" s="15"/>
      <c r="O892" s="15"/>
      <c r="P892" s="15"/>
      <c r="Q892" s="15"/>
      <c r="R892" s="15"/>
      <c r="S892" s="15"/>
      <c r="T892" s="15"/>
      <c r="U892" s="15"/>
      <c r="V892" s="15"/>
      <c r="W892" s="15"/>
      <c r="X892" s="14"/>
      <c r="Y892" s="14"/>
      <c r="Z892" s="15"/>
      <c r="AA892" s="3"/>
      <c r="AB892" s="3"/>
      <c r="AC892" s="3"/>
      <c r="AD892" s="3"/>
      <c r="AE892" s="3"/>
      <c r="AF892" s="3"/>
    </row>
    <row r="893" ht="15.75" customHeight="1">
      <c r="J893" s="15"/>
      <c r="K893" s="188"/>
      <c r="L893" s="15"/>
      <c r="M893" s="15"/>
      <c r="N893" s="15"/>
      <c r="O893" s="15"/>
      <c r="P893" s="15"/>
      <c r="Q893" s="15"/>
      <c r="R893" s="15"/>
      <c r="S893" s="15"/>
      <c r="T893" s="15"/>
      <c r="U893" s="15"/>
      <c r="V893" s="15"/>
      <c r="W893" s="15"/>
      <c r="X893" s="14"/>
      <c r="Y893" s="14"/>
      <c r="Z893" s="15"/>
      <c r="AA893" s="3"/>
      <c r="AB893" s="3"/>
      <c r="AC893" s="3"/>
      <c r="AD893" s="3"/>
      <c r="AE893" s="3"/>
      <c r="AF893" s="3"/>
    </row>
    <row r="894" ht="15.75" customHeight="1">
      <c r="J894" s="15"/>
      <c r="K894" s="188"/>
      <c r="L894" s="15"/>
      <c r="M894" s="15"/>
      <c r="N894" s="15"/>
      <c r="O894" s="15"/>
      <c r="P894" s="15"/>
      <c r="Q894" s="15"/>
      <c r="R894" s="15"/>
      <c r="S894" s="15"/>
      <c r="T894" s="15"/>
      <c r="U894" s="15"/>
      <c r="V894" s="15"/>
      <c r="W894" s="15"/>
      <c r="X894" s="14"/>
      <c r="Y894" s="14"/>
      <c r="Z894" s="15"/>
      <c r="AA894" s="3"/>
      <c r="AB894" s="3"/>
      <c r="AC894" s="3"/>
      <c r="AD894" s="3"/>
      <c r="AE894" s="3"/>
      <c r="AF894" s="3"/>
    </row>
    <row r="895" ht="15.75" customHeight="1">
      <c r="J895" s="15"/>
      <c r="K895" s="188"/>
      <c r="L895" s="15"/>
      <c r="M895" s="15"/>
      <c r="N895" s="15"/>
      <c r="O895" s="15"/>
      <c r="P895" s="15"/>
      <c r="Q895" s="15"/>
      <c r="R895" s="15"/>
      <c r="S895" s="15"/>
      <c r="T895" s="15"/>
      <c r="U895" s="15"/>
      <c r="V895" s="15"/>
      <c r="W895" s="15"/>
      <c r="X895" s="14"/>
      <c r="Y895" s="14"/>
      <c r="Z895" s="15"/>
      <c r="AA895" s="3"/>
      <c r="AB895" s="3"/>
      <c r="AC895" s="3"/>
      <c r="AD895" s="3"/>
      <c r="AE895" s="3"/>
      <c r="AF895" s="3"/>
    </row>
    <row r="896" ht="15.75" customHeight="1">
      <c r="J896" s="15"/>
      <c r="K896" s="188"/>
      <c r="L896" s="15"/>
      <c r="M896" s="15"/>
      <c r="N896" s="15"/>
      <c r="O896" s="15"/>
      <c r="P896" s="15"/>
      <c r="Q896" s="15"/>
      <c r="R896" s="15"/>
      <c r="S896" s="15"/>
      <c r="T896" s="15"/>
      <c r="U896" s="15"/>
      <c r="V896" s="15"/>
      <c r="W896" s="15"/>
      <c r="X896" s="14"/>
      <c r="Y896" s="14"/>
      <c r="Z896" s="15"/>
      <c r="AA896" s="3"/>
      <c r="AB896" s="3"/>
      <c r="AC896" s="3"/>
      <c r="AD896" s="3"/>
      <c r="AE896" s="3"/>
      <c r="AF896" s="3"/>
    </row>
    <row r="897" ht="15.75" customHeight="1">
      <c r="J897" s="15"/>
      <c r="K897" s="188"/>
      <c r="L897" s="15"/>
      <c r="M897" s="15"/>
      <c r="N897" s="15"/>
      <c r="O897" s="15"/>
      <c r="P897" s="15"/>
      <c r="Q897" s="15"/>
      <c r="R897" s="15"/>
      <c r="S897" s="15"/>
      <c r="T897" s="15"/>
      <c r="U897" s="15"/>
      <c r="V897" s="15"/>
      <c r="W897" s="15"/>
      <c r="X897" s="14"/>
      <c r="Y897" s="14"/>
      <c r="Z897" s="15"/>
      <c r="AA897" s="3"/>
      <c r="AB897" s="3"/>
      <c r="AC897" s="3"/>
      <c r="AD897" s="3"/>
      <c r="AE897" s="3"/>
      <c r="AF897" s="3"/>
    </row>
    <row r="898" ht="15.75" customHeight="1">
      <c r="J898" s="15"/>
      <c r="K898" s="188"/>
      <c r="L898" s="15"/>
      <c r="M898" s="15"/>
      <c r="N898" s="15"/>
      <c r="O898" s="15"/>
      <c r="P898" s="15"/>
      <c r="Q898" s="15"/>
      <c r="R898" s="15"/>
      <c r="S898" s="15"/>
      <c r="T898" s="15"/>
      <c r="U898" s="15"/>
      <c r="V898" s="15"/>
      <c r="W898" s="15"/>
      <c r="X898" s="14"/>
      <c r="Y898" s="14"/>
      <c r="Z898" s="15"/>
      <c r="AA898" s="3"/>
      <c r="AB898" s="3"/>
      <c r="AC898" s="3"/>
      <c r="AD898" s="3"/>
      <c r="AE898" s="3"/>
      <c r="AF898" s="3"/>
    </row>
    <row r="899" ht="15.75" customHeight="1">
      <c r="J899" s="15"/>
      <c r="K899" s="188"/>
      <c r="L899" s="15"/>
      <c r="M899" s="15"/>
      <c r="N899" s="15"/>
      <c r="O899" s="15"/>
      <c r="P899" s="15"/>
      <c r="Q899" s="15"/>
      <c r="R899" s="15"/>
      <c r="S899" s="15"/>
      <c r="T899" s="15"/>
      <c r="U899" s="15"/>
      <c r="V899" s="15"/>
      <c r="W899" s="15"/>
      <c r="X899" s="14"/>
      <c r="Y899" s="14"/>
      <c r="Z899" s="15"/>
      <c r="AA899" s="3"/>
      <c r="AB899" s="3"/>
      <c r="AC899" s="3"/>
      <c r="AD899" s="3"/>
      <c r="AE899" s="3"/>
      <c r="AF899" s="3"/>
    </row>
    <row r="900" ht="15.75" customHeight="1">
      <c r="J900" s="15"/>
      <c r="K900" s="188"/>
      <c r="L900" s="15"/>
      <c r="M900" s="15"/>
      <c r="N900" s="15"/>
      <c r="O900" s="15"/>
      <c r="P900" s="15"/>
      <c r="Q900" s="15"/>
      <c r="R900" s="15"/>
      <c r="S900" s="15"/>
      <c r="T900" s="15"/>
      <c r="U900" s="15"/>
      <c r="V900" s="15"/>
      <c r="W900" s="15"/>
      <c r="X900" s="14"/>
      <c r="Y900" s="14"/>
      <c r="Z900" s="15"/>
      <c r="AA900" s="3"/>
      <c r="AB900" s="3"/>
      <c r="AC900" s="3"/>
      <c r="AD900" s="3"/>
      <c r="AE900" s="3"/>
      <c r="AF900" s="3"/>
    </row>
    <row r="901" ht="15.75" customHeight="1">
      <c r="J901" s="15"/>
      <c r="K901" s="188"/>
      <c r="L901" s="15"/>
      <c r="M901" s="15"/>
      <c r="N901" s="15"/>
      <c r="O901" s="15"/>
      <c r="P901" s="15"/>
      <c r="Q901" s="15"/>
      <c r="R901" s="15"/>
      <c r="S901" s="15"/>
      <c r="T901" s="15"/>
      <c r="U901" s="15"/>
      <c r="V901" s="15"/>
      <c r="W901" s="15"/>
      <c r="X901" s="14"/>
      <c r="Y901" s="14"/>
      <c r="Z901" s="15"/>
      <c r="AA901" s="3"/>
      <c r="AB901" s="3"/>
      <c r="AC901" s="3"/>
      <c r="AD901" s="3"/>
      <c r="AE901" s="3"/>
      <c r="AF901" s="3"/>
    </row>
    <row r="902" ht="15.75" customHeight="1">
      <c r="J902" s="15"/>
      <c r="K902" s="188"/>
      <c r="L902" s="15"/>
      <c r="M902" s="15"/>
      <c r="N902" s="15"/>
      <c r="O902" s="15"/>
      <c r="P902" s="15"/>
      <c r="Q902" s="15"/>
      <c r="R902" s="15"/>
      <c r="S902" s="15"/>
      <c r="T902" s="15"/>
      <c r="U902" s="15"/>
      <c r="V902" s="15"/>
      <c r="W902" s="15"/>
      <c r="X902" s="14"/>
      <c r="Y902" s="14"/>
      <c r="Z902" s="15"/>
      <c r="AA902" s="3"/>
      <c r="AB902" s="3"/>
      <c r="AC902" s="3"/>
      <c r="AD902" s="3"/>
      <c r="AE902" s="3"/>
      <c r="AF902" s="3"/>
    </row>
    <row r="903" ht="15.75" customHeight="1">
      <c r="J903" s="15"/>
      <c r="K903" s="188"/>
      <c r="L903" s="15"/>
      <c r="M903" s="15"/>
      <c r="N903" s="15"/>
      <c r="O903" s="15"/>
      <c r="P903" s="15"/>
      <c r="Q903" s="15"/>
      <c r="R903" s="15"/>
      <c r="S903" s="15"/>
      <c r="T903" s="15"/>
      <c r="U903" s="15"/>
      <c r="V903" s="15"/>
      <c r="W903" s="15"/>
      <c r="X903" s="14"/>
      <c r="Y903" s="14"/>
      <c r="Z903" s="15"/>
      <c r="AA903" s="3"/>
      <c r="AB903" s="3"/>
      <c r="AC903" s="3"/>
      <c r="AD903" s="3"/>
      <c r="AE903" s="3"/>
      <c r="AF903" s="3"/>
    </row>
    <row r="904" ht="15.75" customHeight="1">
      <c r="J904" s="15"/>
      <c r="K904" s="188"/>
      <c r="L904" s="15"/>
      <c r="M904" s="15"/>
      <c r="N904" s="15"/>
      <c r="O904" s="15"/>
      <c r="P904" s="15"/>
      <c r="Q904" s="15"/>
      <c r="R904" s="15"/>
      <c r="S904" s="15"/>
      <c r="T904" s="15"/>
      <c r="U904" s="15"/>
      <c r="V904" s="15"/>
      <c r="W904" s="15"/>
      <c r="X904" s="14"/>
      <c r="Y904" s="14"/>
      <c r="Z904" s="15"/>
      <c r="AA904" s="3"/>
      <c r="AB904" s="3"/>
      <c r="AC904" s="3"/>
      <c r="AD904" s="3"/>
      <c r="AE904" s="3"/>
      <c r="AF904" s="3"/>
    </row>
    <row r="905" ht="15.75" customHeight="1">
      <c r="J905" s="15"/>
      <c r="K905" s="188"/>
      <c r="L905" s="15"/>
      <c r="M905" s="15"/>
      <c r="N905" s="15"/>
      <c r="O905" s="15"/>
      <c r="P905" s="15"/>
      <c r="Q905" s="15"/>
      <c r="R905" s="15"/>
      <c r="S905" s="15"/>
      <c r="T905" s="15"/>
      <c r="U905" s="15"/>
      <c r="V905" s="15"/>
      <c r="W905" s="15"/>
      <c r="X905" s="14"/>
      <c r="Y905" s="14"/>
      <c r="Z905" s="15"/>
      <c r="AA905" s="3"/>
      <c r="AB905" s="3"/>
      <c r="AC905" s="3"/>
      <c r="AD905" s="3"/>
      <c r="AE905" s="3"/>
      <c r="AF905" s="3"/>
    </row>
    <row r="906" ht="15.75" customHeight="1">
      <c r="J906" s="15"/>
      <c r="K906" s="188"/>
      <c r="L906" s="15"/>
      <c r="M906" s="15"/>
      <c r="N906" s="15"/>
      <c r="O906" s="15"/>
      <c r="P906" s="15"/>
      <c r="Q906" s="15"/>
      <c r="R906" s="15"/>
      <c r="S906" s="15"/>
      <c r="T906" s="15"/>
      <c r="U906" s="15"/>
      <c r="V906" s="15"/>
      <c r="W906" s="15"/>
      <c r="X906" s="14"/>
      <c r="Y906" s="14"/>
      <c r="Z906" s="15"/>
      <c r="AA906" s="3"/>
      <c r="AB906" s="3"/>
      <c r="AC906" s="3"/>
      <c r="AD906" s="3"/>
      <c r="AE906" s="3"/>
      <c r="AF906" s="3"/>
    </row>
    <row r="907" ht="15.75" customHeight="1">
      <c r="J907" s="15"/>
      <c r="K907" s="188"/>
      <c r="L907" s="15"/>
      <c r="M907" s="15"/>
      <c r="N907" s="15"/>
      <c r="O907" s="15"/>
      <c r="P907" s="15"/>
      <c r="Q907" s="15"/>
      <c r="R907" s="15"/>
      <c r="S907" s="15"/>
      <c r="T907" s="15"/>
      <c r="U907" s="15"/>
      <c r="V907" s="15"/>
      <c r="W907" s="15"/>
      <c r="X907" s="14"/>
      <c r="Y907" s="14"/>
      <c r="Z907" s="15"/>
      <c r="AA907" s="3"/>
      <c r="AB907" s="3"/>
      <c r="AC907" s="3"/>
      <c r="AD907" s="3"/>
      <c r="AE907" s="3"/>
      <c r="AF907" s="3"/>
    </row>
    <row r="908" ht="15.75" customHeight="1">
      <c r="J908" s="15"/>
      <c r="K908" s="188"/>
      <c r="L908" s="15"/>
      <c r="M908" s="15"/>
      <c r="N908" s="15"/>
      <c r="O908" s="15"/>
      <c r="P908" s="15"/>
      <c r="Q908" s="15"/>
      <c r="R908" s="15"/>
      <c r="S908" s="15"/>
      <c r="T908" s="15"/>
      <c r="U908" s="15"/>
      <c r="V908" s="15"/>
      <c r="W908" s="15"/>
      <c r="X908" s="14"/>
      <c r="Y908" s="14"/>
      <c r="Z908" s="15"/>
      <c r="AA908" s="3"/>
      <c r="AB908" s="3"/>
      <c r="AC908" s="3"/>
      <c r="AD908" s="3"/>
      <c r="AE908" s="3"/>
      <c r="AF908" s="3"/>
    </row>
    <row r="909" ht="15.75" customHeight="1">
      <c r="J909" s="15"/>
      <c r="K909" s="188"/>
      <c r="L909" s="15"/>
      <c r="M909" s="15"/>
      <c r="N909" s="15"/>
      <c r="O909" s="15"/>
      <c r="P909" s="15"/>
      <c r="Q909" s="15"/>
      <c r="R909" s="15"/>
      <c r="S909" s="15"/>
      <c r="T909" s="15"/>
      <c r="U909" s="15"/>
      <c r="V909" s="15"/>
      <c r="W909" s="15"/>
      <c r="X909" s="14"/>
      <c r="Y909" s="14"/>
      <c r="Z909" s="15"/>
      <c r="AA909" s="3"/>
      <c r="AB909" s="3"/>
      <c r="AC909" s="3"/>
      <c r="AD909" s="3"/>
      <c r="AE909" s="3"/>
      <c r="AF909" s="3"/>
    </row>
    <row r="910" ht="15.75" customHeight="1">
      <c r="J910" s="15"/>
      <c r="K910" s="188"/>
      <c r="L910" s="15"/>
      <c r="M910" s="15"/>
      <c r="N910" s="15"/>
      <c r="O910" s="15"/>
      <c r="P910" s="15"/>
      <c r="Q910" s="15"/>
      <c r="R910" s="15"/>
      <c r="S910" s="15"/>
      <c r="T910" s="15"/>
      <c r="U910" s="15"/>
      <c r="V910" s="15"/>
      <c r="W910" s="15"/>
      <c r="X910" s="14"/>
      <c r="Y910" s="14"/>
      <c r="Z910" s="15"/>
      <c r="AA910" s="3"/>
      <c r="AB910" s="3"/>
      <c r="AC910" s="3"/>
      <c r="AD910" s="3"/>
      <c r="AE910" s="3"/>
      <c r="AF910" s="3"/>
    </row>
    <row r="911" ht="15.75" customHeight="1">
      <c r="J911" s="15"/>
      <c r="K911" s="188"/>
      <c r="L911" s="15"/>
      <c r="M911" s="15"/>
      <c r="N911" s="15"/>
      <c r="O911" s="15"/>
      <c r="P911" s="15"/>
      <c r="Q911" s="15"/>
      <c r="R911" s="15"/>
      <c r="S911" s="15"/>
      <c r="T911" s="15"/>
      <c r="U911" s="15"/>
      <c r="V911" s="15"/>
      <c r="W911" s="15"/>
      <c r="X911" s="14"/>
      <c r="Y911" s="14"/>
      <c r="Z911" s="15"/>
      <c r="AA911" s="3"/>
      <c r="AB911" s="3"/>
      <c r="AC911" s="3"/>
      <c r="AD911" s="3"/>
      <c r="AE911" s="3"/>
      <c r="AF911" s="3"/>
    </row>
    <row r="912" ht="15.75" customHeight="1">
      <c r="J912" s="15"/>
      <c r="K912" s="188"/>
      <c r="L912" s="15"/>
      <c r="M912" s="15"/>
      <c r="N912" s="15"/>
      <c r="O912" s="15"/>
      <c r="P912" s="15"/>
      <c r="Q912" s="15"/>
      <c r="R912" s="15"/>
      <c r="S912" s="15"/>
      <c r="T912" s="15"/>
      <c r="U912" s="15"/>
      <c r="V912" s="15"/>
      <c r="W912" s="15"/>
      <c r="X912" s="14"/>
      <c r="Y912" s="14"/>
      <c r="Z912" s="15"/>
      <c r="AA912" s="3"/>
      <c r="AB912" s="3"/>
      <c r="AC912" s="3"/>
      <c r="AD912" s="3"/>
      <c r="AE912" s="3"/>
      <c r="AF912" s="3"/>
    </row>
    <row r="913" ht="15.75" customHeight="1">
      <c r="J913" s="15"/>
      <c r="K913" s="188"/>
      <c r="L913" s="15"/>
      <c r="M913" s="15"/>
      <c r="N913" s="15"/>
      <c r="O913" s="15"/>
      <c r="P913" s="15"/>
      <c r="Q913" s="15"/>
      <c r="R913" s="15"/>
      <c r="S913" s="15"/>
      <c r="T913" s="15"/>
      <c r="U913" s="15"/>
      <c r="V913" s="15"/>
      <c r="W913" s="15"/>
      <c r="X913" s="14"/>
      <c r="Y913" s="14"/>
      <c r="Z913" s="15"/>
      <c r="AA913" s="3"/>
      <c r="AB913" s="3"/>
      <c r="AC913" s="3"/>
      <c r="AD913" s="3"/>
      <c r="AE913" s="3"/>
      <c r="AF913" s="3"/>
    </row>
    <row r="914" ht="15.75" customHeight="1">
      <c r="J914" s="15"/>
      <c r="K914" s="188"/>
      <c r="L914" s="15"/>
      <c r="M914" s="15"/>
      <c r="N914" s="15"/>
      <c r="O914" s="15"/>
      <c r="P914" s="15"/>
      <c r="Q914" s="15"/>
      <c r="R914" s="15"/>
      <c r="S914" s="15"/>
      <c r="T914" s="15"/>
      <c r="U914" s="15"/>
      <c r="V914" s="15"/>
      <c r="W914" s="15"/>
      <c r="X914" s="14"/>
      <c r="Y914" s="14"/>
      <c r="Z914" s="15"/>
      <c r="AA914" s="3"/>
      <c r="AB914" s="3"/>
      <c r="AC914" s="3"/>
      <c r="AD914" s="3"/>
      <c r="AE914" s="3"/>
      <c r="AF914" s="3"/>
    </row>
    <row r="915" ht="15.75" customHeight="1">
      <c r="J915" s="15"/>
      <c r="K915" s="188"/>
      <c r="L915" s="15"/>
      <c r="M915" s="15"/>
      <c r="N915" s="15"/>
      <c r="O915" s="15"/>
      <c r="P915" s="15"/>
      <c r="Q915" s="15"/>
      <c r="R915" s="15"/>
      <c r="S915" s="15"/>
      <c r="T915" s="15"/>
      <c r="U915" s="15"/>
      <c r="V915" s="15"/>
      <c r="W915" s="15"/>
      <c r="X915" s="14"/>
      <c r="Y915" s="14"/>
      <c r="Z915" s="15"/>
      <c r="AA915" s="3"/>
      <c r="AB915" s="3"/>
      <c r="AC915" s="3"/>
      <c r="AD915" s="3"/>
      <c r="AE915" s="3"/>
      <c r="AF915" s="3"/>
    </row>
    <row r="916" ht="15.75" customHeight="1">
      <c r="J916" s="15"/>
      <c r="K916" s="188"/>
      <c r="L916" s="15"/>
      <c r="M916" s="15"/>
      <c r="N916" s="15"/>
      <c r="O916" s="15"/>
      <c r="P916" s="15"/>
      <c r="Q916" s="15"/>
      <c r="R916" s="15"/>
      <c r="S916" s="15"/>
      <c r="T916" s="15"/>
      <c r="U916" s="15"/>
      <c r="V916" s="15"/>
      <c r="W916" s="15"/>
      <c r="X916" s="14"/>
      <c r="Y916" s="14"/>
      <c r="Z916" s="15"/>
      <c r="AA916" s="3"/>
      <c r="AB916" s="3"/>
      <c r="AC916" s="3"/>
      <c r="AD916" s="3"/>
      <c r="AE916" s="3"/>
      <c r="AF916" s="3"/>
    </row>
    <row r="917" ht="15.75" customHeight="1">
      <c r="J917" s="15"/>
      <c r="K917" s="188"/>
      <c r="L917" s="15"/>
      <c r="M917" s="15"/>
      <c r="N917" s="15"/>
      <c r="O917" s="15"/>
      <c r="P917" s="15"/>
      <c r="Q917" s="15"/>
      <c r="R917" s="15"/>
      <c r="S917" s="15"/>
      <c r="T917" s="15"/>
      <c r="U917" s="15"/>
      <c r="V917" s="15"/>
      <c r="W917" s="15"/>
      <c r="X917" s="14"/>
      <c r="Y917" s="14"/>
      <c r="Z917" s="15"/>
      <c r="AA917" s="3"/>
      <c r="AB917" s="3"/>
      <c r="AC917" s="3"/>
      <c r="AD917" s="3"/>
      <c r="AE917" s="3"/>
      <c r="AF917" s="3"/>
    </row>
    <row r="918" ht="15.75" customHeight="1">
      <c r="J918" s="15"/>
      <c r="K918" s="188"/>
      <c r="L918" s="15"/>
      <c r="M918" s="15"/>
      <c r="N918" s="15"/>
      <c r="O918" s="15"/>
      <c r="P918" s="15"/>
      <c r="Q918" s="15"/>
      <c r="R918" s="15"/>
      <c r="S918" s="15"/>
      <c r="T918" s="15"/>
      <c r="U918" s="15"/>
      <c r="V918" s="15"/>
      <c r="W918" s="15"/>
      <c r="X918" s="14"/>
      <c r="Y918" s="14"/>
      <c r="Z918" s="15"/>
      <c r="AA918" s="3"/>
      <c r="AB918" s="3"/>
      <c r="AC918" s="3"/>
      <c r="AD918" s="3"/>
      <c r="AE918" s="3"/>
      <c r="AF918" s="3"/>
    </row>
    <row r="919" ht="15.75" customHeight="1">
      <c r="J919" s="15"/>
      <c r="K919" s="188"/>
      <c r="L919" s="15"/>
      <c r="M919" s="15"/>
      <c r="N919" s="15"/>
      <c r="O919" s="15"/>
      <c r="P919" s="15"/>
      <c r="Q919" s="15"/>
      <c r="R919" s="15"/>
      <c r="S919" s="15"/>
      <c r="T919" s="15"/>
      <c r="U919" s="15"/>
      <c r="V919" s="15"/>
      <c r="W919" s="15"/>
      <c r="X919" s="14"/>
      <c r="Y919" s="14"/>
      <c r="Z919" s="15"/>
      <c r="AA919" s="3"/>
      <c r="AB919" s="3"/>
      <c r="AC919" s="3"/>
      <c r="AD919" s="3"/>
      <c r="AE919" s="3"/>
      <c r="AF919" s="3"/>
    </row>
    <row r="920" ht="15.75" customHeight="1">
      <c r="J920" s="15"/>
      <c r="K920" s="188"/>
      <c r="L920" s="15"/>
      <c r="M920" s="15"/>
      <c r="N920" s="15"/>
      <c r="O920" s="15"/>
      <c r="P920" s="15"/>
      <c r="Q920" s="15"/>
      <c r="R920" s="15"/>
      <c r="S920" s="15"/>
      <c r="T920" s="15"/>
      <c r="U920" s="15"/>
      <c r="V920" s="15"/>
      <c r="W920" s="15"/>
      <c r="X920" s="14"/>
      <c r="Y920" s="14"/>
      <c r="Z920" s="15"/>
      <c r="AA920" s="3"/>
      <c r="AB920" s="3"/>
      <c r="AC920" s="3"/>
      <c r="AD920" s="3"/>
      <c r="AE920" s="3"/>
      <c r="AF920" s="3"/>
    </row>
    <row r="921" ht="15.75" customHeight="1">
      <c r="J921" s="15"/>
      <c r="K921" s="188"/>
      <c r="L921" s="15"/>
      <c r="M921" s="15"/>
      <c r="N921" s="15"/>
      <c r="O921" s="15"/>
      <c r="P921" s="15"/>
      <c r="Q921" s="15"/>
      <c r="R921" s="15"/>
      <c r="S921" s="15"/>
      <c r="T921" s="15"/>
      <c r="U921" s="15"/>
      <c r="V921" s="15"/>
      <c r="W921" s="15"/>
      <c r="X921" s="14"/>
      <c r="Y921" s="14"/>
      <c r="Z921" s="15"/>
      <c r="AA921" s="3"/>
      <c r="AB921" s="3"/>
      <c r="AC921" s="3"/>
      <c r="AD921" s="3"/>
      <c r="AE921" s="3"/>
      <c r="AF921" s="3"/>
    </row>
    <row r="922" ht="15.75" customHeight="1">
      <c r="J922" s="15"/>
      <c r="K922" s="188"/>
      <c r="L922" s="15"/>
      <c r="M922" s="15"/>
      <c r="N922" s="15"/>
      <c r="O922" s="15"/>
      <c r="P922" s="15"/>
      <c r="Q922" s="15"/>
      <c r="R922" s="15"/>
      <c r="S922" s="15"/>
      <c r="T922" s="15"/>
      <c r="U922" s="15"/>
      <c r="V922" s="15"/>
      <c r="W922" s="15"/>
      <c r="X922" s="14"/>
      <c r="Y922" s="14"/>
      <c r="Z922" s="15"/>
      <c r="AA922" s="3"/>
      <c r="AB922" s="3"/>
      <c r="AC922" s="3"/>
      <c r="AD922" s="3"/>
      <c r="AE922" s="3"/>
      <c r="AF922" s="3"/>
    </row>
    <row r="923" ht="15.75" customHeight="1">
      <c r="J923" s="15"/>
      <c r="K923" s="188"/>
      <c r="L923" s="15"/>
      <c r="M923" s="15"/>
      <c r="N923" s="15"/>
      <c r="O923" s="15"/>
      <c r="P923" s="15"/>
      <c r="Q923" s="15"/>
      <c r="R923" s="15"/>
      <c r="S923" s="15"/>
      <c r="T923" s="15"/>
      <c r="U923" s="15"/>
      <c r="V923" s="15"/>
      <c r="W923" s="15"/>
      <c r="X923" s="14"/>
      <c r="Y923" s="14"/>
      <c r="Z923" s="15"/>
      <c r="AA923" s="3"/>
      <c r="AB923" s="3"/>
      <c r="AC923" s="3"/>
      <c r="AD923" s="3"/>
      <c r="AE923" s="3"/>
      <c r="AF923" s="3"/>
    </row>
    <row r="924" ht="15.75" customHeight="1">
      <c r="J924" s="15"/>
      <c r="K924" s="188"/>
      <c r="L924" s="15"/>
      <c r="M924" s="15"/>
      <c r="N924" s="15"/>
      <c r="O924" s="15"/>
      <c r="P924" s="15"/>
      <c r="Q924" s="15"/>
      <c r="R924" s="15"/>
      <c r="S924" s="15"/>
      <c r="T924" s="15"/>
      <c r="U924" s="15"/>
      <c r="V924" s="15"/>
      <c r="W924" s="15"/>
      <c r="X924" s="14"/>
      <c r="Y924" s="14"/>
      <c r="Z924" s="15"/>
      <c r="AA924" s="3"/>
      <c r="AB924" s="3"/>
      <c r="AC924" s="3"/>
      <c r="AD924" s="3"/>
      <c r="AE924" s="3"/>
      <c r="AF924" s="3"/>
    </row>
    <row r="925" ht="15.75" customHeight="1">
      <c r="J925" s="15"/>
      <c r="K925" s="188"/>
      <c r="L925" s="15"/>
      <c r="M925" s="15"/>
      <c r="N925" s="15"/>
      <c r="O925" s="15"/>
      <c r="P925" s="15"/>
      <c r="Q925" s="15"/>
      <c r="R925" s="15"/>
      <c r="S925" s="15"/>
      <c r="T925" s="15"/>
      <c r="U925" s="15"/>
      <c r="V925" s="15"/>
      <c r="W925" s="15"/>
      <c r="X925" s="14"/>
      <c r="Y925" s="14"/>
      <c r="Z925" s="15"/>
      <c r="AA925" s="3"/>
      <c r="AB925" s="3"/>
      <c r="AC925" s="3"/>
      <c r="AD925" s="3"/>
      <c r="AE925" s="3"/>
      <c r="AF925" s="3"/>
    </row>
    <row r="926" ht="15.75" customHeight="1">
      <c r="J926" s="15"/>
      <c r="K926" s="188"/>
      <c r="L926" s="15"/>
      <c r="M926" s="15"/>
      <c r="N926" s="15"/>
      <c r="O926" s="15"/>
      <c r="P926" s="15"/>
      <c r="Q926" s="15"/>
      <c r="R926" s="15"/>
      <c r="S926" s="15"/>
      <c r="T926" s="15"/>
      <c r="U926" s="15"/>
      <c r="V926" s="15"/>
      <c r="W926" s="15"/>
      <c r="X926" s="14"/>
      <c r="Y926" s="14"/>
      <c r="Z926" s="15"/>
      <c r="AA926" s="3"/>
      <c r="AB926" s="3"/>
      <c r="AC926" s="3"/>
      <c r="AD926" s="3"/>
      <c r="AE926" s="3"/>
      <c r="AF926" s="3"/>
    </row>
    <row r="927" ht="15.75" customHeight="1">
      <c r="J927" s="15"/>
      <c r="K927" s="188"/>
      <c r="L927" s="15"/>
      <c r="M927" s="15"/>
      <c r="N927" s="15"/>
      <c r="O927" s="15"/>
      <c r="P927" s="15"/>
      <c r="Q927" s="15"/>
      <c r="R927" s="15"/>
      <c r="S927" s="15"/>
      <c r="T927" s="15"/>
      <c r="U927" s="15"/>
      <c r="V927" s="15"/>
      <c r="W927" s="15"/>
      <c r="X927" s="14"/>
      <c r="Y927" s="14"/>
      <c r="Z927" s="15"/>
      <c r="AA927" s="3"/>
      <c r="AB927" s="3"/>
      <c r="AC927" s="3"/>
      <c r="AD927" s="3"/>
      <c r="AE927" s="3"/>
      <c r="AF927" s="3"/>
    </row>
    <row r="928" ht="15.75" customHeight="1">
      <c r="J928" s="15"/>
      <c r="K928" s="188"/>
      <c r="L928" s="15"/>
      <c r="M928" s="15"/>
      <c r="N928" s="15"/>
      <c r="O928" s="15"/>
      <c r="P928" s="15"/>
      <c r="Q928" s="15"/>
      <c r="R928" s="15"/>
      <c r="S928" s="15"/>
      <c r="T928" s="15"/>
      <c r="U928" s="15"/>
      <c r="V928" s="15"/>
      <c r="W928" s="15"/>
      <c r="X928" s="14"/>
      <c r="Y928" s="14"/>
      <c r="Z928" s="15"/>
      <c r="AA928" s="3"/>
      <c r="AB928" s="3"/>
      <c r="AC928" s="3"/>
      <c r="AD928" s="3"/>
      <c r="AE928" s="3"/>
      <c r="AF928" s="3"/>
    </row>
    <row r="929" ht="15.75" customHeight="1">
      <c r="J929" s="15"/>
      <c r="K929" s="188"/>
      <c r="L929" s="15"/>
      <c r="M929" s="15"/>
      <c r="N929" s="15"/>
      <c r="O929" s="15"/>
      <c r="P929" s="15"/>
      <c r="Q929" s="15"/>
      <c r="R929" s="15"/>
      <c r="S929" s="15"/>
      <c r="T929" s="15"/>
      <c r="U929" s="15"/>
      <c r="V929" s="15"/>
      <c r="W929" s="15"/>
      <c r="X929" s="14"/>
      <c r="Y929" s="14"/>
      <c r="Z929" s="15"/>
      <c r="AA929" s="3"/>
      <c r="AB929" s="3"/>
      <c r="AC929" s="3"/>
      <c r="AD929" s="3"/>
      <c r="AE929" s="3"/>
      <c r="AF929" s="3"/>
    </row>
    <row r="930" ht="15.75" customHeight="1">
      <c r="J930" s="15"/>
      <c r="K930" s="188"/>
      <c r="L930" s="15"/>
      <c r="M930" s="15"/>
      <c r="N930" s="15"/>
      <c r="O930" s="15"/>
      <c r="P930" s="15"/>
      <c r="Q930" s="15"/>
      <c r="R930" s="15"/>
      <c r="S930" s="15"/>
      <c r="T930" s="15"/>
      <c r="U930" s="15"/>
      <c r="V930" s="15"/>
      <c r="W930" s="15"/>
      <c r="X930" s="14"/>
      <c r="Y930" s="14"/>
      <c r="Z930" s="15"/>
      <c r="AA930" s="3"/>
      <c r="AB930" s="3"/>
      <c r="AC930" s="3"/>
      <c r="AD930" s="3"/>
      <c r="AE930" s="3"/>
      <c r="AF930" s="3"/>
    </row>
    <row r="931" ht="15.75" customHeight="1">
      <c r="J931" s="15"/>
      <c r="K931" s="188"/>
      <c r="L931" s="15"/>
      <c r="M931" s="15"/>
      <c r="N931" s="15"/>
      <c r="O931" s="15"/>
      <c r="P931" s="15"/>
      <c r="Q931" s="15"/>
      <c r="R931" s="15"/>
      <c r="S931" s="15"/>
      <c r="T931" s="15"/>
      <c r="U931" s="15"/>
      <c r="V931" s="15"/>
      <c r="W931" s="15"/>
      <c r="X931" s="14"/>
      <c r="Y931" s="14"/>
      <c r="Z931" s="15"/>
      <c r="AA931" s="3"/>
      <c r="AB931" s="3"/>
      <c r="AC931" s="3"/>
      <c r="AD931" s="3"/>
      <c r="AE931" s="3"/>
      <c r="AF931" s="3"/>
    </row>
    <row r="932" ht="15.75" customHeight="1">
      <c r="J932" s="15"/>
      <c r="K932" s="188"/>
      <c r="L932" s="15"/>
      <c r="M932" s="15"/>
      <c r="N932" s="15"/>
      <c r="O932" s="15"/>
      <c r="P932" s="15"/>
      <c r="Q932" s="15"/>
      <c r="R932" s="15"/>
      <c r="S932" s="15"/>
      <c r="T932" s="15"/>
      <c r="U932" s="15"/>
      <c r="V932" s="15"/>
      <c r="W932" s="15"/>
      <c r="X932" s="14"/>
      <c r="Y932" s="14"/>
      <c r="Z932" s="15"/>
      <c r="AA932" s="3"/>
      <c r="AB932" s="3"/>
      <c r="AC932" s="3"/>
      <c r="AD932" s="3"/>
      <c r="AE932" s="3"/>
      <c r="AF932" s="3"/>
    </row>
    <row r="933" ht="15.75" customHeight="1">
      <c r="J933" s="15"/>
      <c r="K933" s="188"/>
      <c r="L933" s="15"/>
      <c r="M933" s="15"/>
      <c r="N933" s="15"/>
      <c r="O933" s="15"/>
      <c r="P933" s="15"/>
      <c r="Q933" s="15"/>
      <c r="R933" s="15"/>
      <c r="S933" s="15"/>
      <c r="T933" s="15"/>
      <c r="U933" s="15"/>
      <c r="V933" s="15"/>
      <c r="W933" s="15"/>
      <c r="X933" s="14"/>
      <c r="Y933" s="14"/>
      <c r="Z933" s="15"/>
      <c r="AA933" s="3"/>
      <c r="AB933" s="3"/>
      <c r="AC933" s="3"/>
      <c r="AD933" s="3"/>
      <c r="AE933" s="3"/>
      <c r="AF933" s="3"/>
    </row>
    <row r="934" ht="15.75" customHeight="1">
      <c r="J934" s="15"/>
      <c r="K934" s="188"/>
      <c r="L934" s="15"/>
      <c r="M934" s="15"/>
      <c r="N934" s="15"/>
      <c r="O934" s="15"/>
      <c r="P934" s="15"/>
      <c r="Q934" s="15"/>
      <c r="R934" s="15"/>
      <c r="S934" s="15"/>
      <c r="T934" s="15"/>
      <c r="U934" s="15"/>
      <c r="V934" s="15"/>
      <c r="W934" s="15"/>
      <c r="X934" s="14"/>
      <c r="Y934" s="14"/>
      <c r="Z934" s="15"/>
      <c r="AA934" s="3"/>
      <c r="AB934" s="3"/>
      <c r="AC934" s="3"/>
      <c r="AD934" s="3"/>
      <c r="AE934" s="3"/>
      <c r="AF934" s="3"/>
    </row>
    <row r="935" ht="15.75" customHeight="1">
      <c r="J935" s="15"/>
      <c r="K935" s="188"/>
      <c r="L935" s="15"/>
      <c r="M935" s="15"/>
      <c r="N935" s="15"/>
      <c r="O935" s="15"/>
      <c r="P935" s="15"/>
      <c r="Q935" s="15"/>
      <c r="R935" s="15"/>
      <c r="S935" s="15"/>
      <c r="T935" s="15"/>
      <c r="U935" s="15"/>
      <c r="V935" s="15"/>
      <c r="W935" s="15"/>
      <c r="X935" s="14"/>
      <c r="Y935" s="14"/>
      <c r="Z935" s="15"/>
      <c r="AA935" s="3"/>
      <c r="AB935" s="3"/>
      <c r="AC935" s="3"/>
      <c r="AD935" s="3"/>
      <c r="AE935" s="3"/>
      <c r="AF935" s="3"/>
    </row>
    <row r="936" ht="15.75" customHeight="1">
      <c r="J936" s="15"/>
      <c r="K936" s="188"/>
      <c r="L936" s="15"/>
      <c r="M936" s="15"/>
      <c r="N936" s="15"/>
      <c r="O936" s="15"/>
      <c r="P936" s="15"/>
      <c r="Q936" s="15"/>
      <c r="R936" s="15"/>
      <c r="S936" s="15"/>
      <c r="T936" s="15"/>
      <c r="U936" s="15"/>
      <c r="V936" s="15"/>
      <c r="W936" s="15"/>
      <c r="X936" s="14"/>
      <c r="Y936" s="14"/>
      <c r="Z936" s="15"/>
      <c r="AA936" s="3"/>
      <c r="AB936" s="3"/>
      <c r="AC936" s="3"/>
      <c r="AD936" s="3"/>
      <c r="AE936" s="3"/>
      <c r="AF936" s="3"/>
    </row>
    <row r="937" ht="15.75" customHeight="1">
      <c r="J937" s="15"/>
      <c r="K937" s="188"/>
      <c r="L937" s="15"/>
      <c r="M937" s="15"/>
      <c r="N937" s="15"/>
      <c r="O937" s="15"/>
      <c r="P937" s="15"/>
      <c r="Q937" s="15"/>
      <c r="R937" s="15"/>
      <c r="S937" s="15"/>
      <c r="T937" s="15"/>
      <c r="U937" s="15"/>
      <c r="V937" s="15"/>
      <c r="W937" s="15"/>
      <c r="X937" s="14"/>
      <c r="Y937" s="14"/>
      <c r="Z937" s="15"/>
      <c r="AA937" s="3"/>
      <c r="AB937" s="3"/>
      <c r="AC937" s="3"/>
      <c r="AD937" s="3"/>
      <c r="AE937" s="3"/>
      <c r="AF937" s="3"/>
    </row>
    <row r="938" ht="15.75" customHeight="1">
      <c r="J938" s="15"/>
      <c r="K938" s="188"/>
      <c r="L938" s="15"/>
      <c r="M938" s="15"/>
      <c r="N938" s="15"/>
      <c r="O938" s="15"/>
      <c r="P938" s="15"/>
      <c r="Q938" s="15"/>
      <c r="R938" s="15"/>
      <c r="S938" s="15"/>
      <c r="T938" s="15"/>
      <c r="U938" s="15"/>
      <c r="V938" s="15"/>
      <c r="W938" s="15"/>
      <c r="X938" s="14"/>
      <c r="Y938" s="14"/>
      <c r="Z938" s="15"/>
      <c r="AA938" s="3"/>
      <c r="AB938" s="3"/>
      <c r="AC938" s="3"/>
      <c r="AD938" s="3"/>
      <c r="AE938" s="3"/>
      <c r="AF938" s="3"/>
    </row>
    <row r="939" ht="15.75" customHeight="1">
      <c r="J939" s="15"/>
      <c r="K939" s="188"/>
      <c r="L939" s="15"/>
      <c r="M939" s="15"/>
      <c r="N939" s="15"/>
      <c r="O939" s="15"/>
      <c r="P939" s="15"/>
      <c r="Q939" s="15"/>
      <c r="R939" s="15"/>
      <c r="S939" s="15"/>
      <c r="T939" s="15"/>
      <c r="U939" s="15"/>
      <c r="V939" s="15"/>
      <c r="W939" s="15"/>
      <c r="X939" s="14"/>
      <c r="Y939" s="14"/>
      <c r="Z939" s="15"/>
      <c r="AA939" s="3"/>
      <c r="AB939" s="3"/>
      <c r="AC939" s="3"/>
      <c r="AD939" s="3"/>
      <c r="AE939" s="3"/>
      <c r="AF939" s="3"/>
    </row>
    <row r="940" ht="15.75" customHeight="1">
      <c r="J940" s="15"/>
      <c r="K940" s="188"/>
      <c r="L940" s="15"/>
      <c r="M940" s="15"/>
      <c r="N940" s="15"/>
      <c r="O940" s="15"/>
      <c r="P940" s="15"/>
      <c r="Q940" s="15"/>
      <c r="R940" s="15"/>
      <c r="S940" s="15"/>
      <c r="T940" s="15"/>
      <c r="U940" s="15"/>
      <c r="V940" s="15"/>
      <c r="W940" s="15"/>
      <c r="X940" s="14"/>
      <c r="Y940" s="14"/>
      <c r="Z940" s="15"/>
      <c r="AA940" s="3"/>
      <c r="AB940" s="3"/>
      <c r="AC940" s="3"/>
      <c r="AD940" s="3"/>
      <c r="AE940" s="3"/>
      <c r="AF940" s="3"/>
    </row>
    <row r="941" ht="15.75" customHeight="1">
      <c r="J941" s="15"/>
      <c r="K941" s="188"/>
      <c r="L941" s="15"/>
      <c r="M941" s="15"/>
      <c r="N941" s="15"/>
      <c r="O941" s="15"/>
      <c r="P941" s="15"/>
      <c r="Q941" s="15"/>
      <c r="R941" s="15"/>
      <c r="S941" s="15"/>
      <c r="T941" s="15"/>
      <c r="U941" s="15"/>
      <c r="V941" s="15"/>
      <c r="W941" s="15"/>
      <c r="X941" s="14"/>
      <c r="Y941" s="14"/>
      <c r="Z941" s="15"/>
      <c r="AA941" s="3"/>
      <c r="AB941" s="3"/>
      <c r="AC941" s="3"/>
      <c r="AD941" s="3"/>
      <c r="AE941" s="3"/>
      <c r="AF941" s="3"/>
    </row>
    <row r="942" ht="15.75" customHeight="1">
      <c r="J942" s="15"/>
      <c r="K942" s="188"/>
      <c r="L942" s="15"/>
      <c r="M942" s="15"/>
      <c r="N942" s="15"/>
      <c r="O942" s="15"/>
      <c r="P942" s="15"/>
      <c r="Q942" s="15"/>
      <c r="R942" s="15"/>
      <c r="S942" s="15"/>
      <c r="T942" s="15"/>
      <c r="U942" s="15"/>
      <c r="V942" s="15"/>
      <c r="W942" s="15"/>
      <c r="X942" s="14"/>
      <c r="Y942" s="14"/>
      <c r="Z942" s="15"/>
      <c r="AA942" s="3"/>
      <c r="AB942" s="3"/>
      <c r="AC942" s="3"/>
      <c r="AD942" s="3"/>
      <c r="AE942" s="3"/>
      <c r="AF942" s="3"/>
    </row>
    <row r="943" ht="15.75" customHeight="1">
      <c r="J943" s="15"/>
      <c r="K943" s="188"/>
      <c r="L943" s="15"/>
      <c r="M943" s="15"/>
      <c r="N943" s="15"/>
      <c r="O943" s="15"/>
      <c r="P943" s="15"/>
      <c r="Q943" s="15"/>
      <c r="R943" s="15"/>
      <c r="S943" s="15"/>
      <c r="T943" s="15"/>
      <c r="U943" s="15"/>
      <c r="V943" s="15"/>
      <c r="W943" s="15"/>
      <c r="X943" s="14"/>
      <c r="Y943" s="14"/>
      <c r="Z943" s="15"/>
      <c r="AA943" s="3"/>
      <c r="AB943" s="3"/>
      <c r="AC943" s="3"/>
      <c r="AD943" s="3"/>
      <c r="AE943" s="3"/>
      <c r="AF943" s="3"/>
    </row>
    <row r="944" ht="15.75" customHeight="1">
      <c r="J944" s="15"/>
      <c r="K944" s="188"/>
      <c r="L944" s="15"/>
      <c r="M944" s="15"/>
      <c r="N944" s="15"/>
      <c r="O944" s="15"/>
      <c r="P944" s="15"/>
      <c r="Q944" s="15"/>
      <c r="R944" s="15"/>
      <c r="S944" s="15"/>
      <c r="T944" s="15"/>
      <c r="U944" s="15"/>
      <c r="V944" s="15"/>
      <c r="W944" s="15"/>
      <c r="X944" s="14"/>
      <c r="Y944" s="14"/>
      <c r="Z944" s="15"/>
      <c r="AA944" s="3"/>
      <c r="AB944" s="3"/>
      <c r="AC944" s="3"/>
      <c r="AD944" s="3"/>
      <c r="AE944" s="3"/>
      <c r="AF944" s="3"/>
    </row>
    <row r="945" ht="15.75" customHeight="1">
      <c r="J945" s="15"/>
      <c r="K945" s="188"/>
      <c r="L945" s="15"/>
      <c r="M945" s="15"/>
      <c r="N945" s="15"/>
      <c r="O945" s="15"/>
      <c r="P945" s="15"/>
      <c r="Q945" s="15"/>
      <c r="R945" s="15"/>
      <c r="S945" s="15"/>
      <c r="T945" s="15"/>
      <c r="U945" s="15"/>
      <c r="V945" s="15"/>
      <c r="W945" s="15"/>
      <c r="X945" s="14"/>
      <c r="Y945" s="14"/>
      <c r="Z945" s="15"/>
      <c r="AA945" s="3"/>
      <c r="AB945" s="3"/>
      <c r="AC945" s="3"/>
      <c r="AD945" s="3"/>
      <c r="AE945" s="3"/>
      <c r="AF945" s="3"/>
    </row>
    <row r="946" ht="15.75" customHeight="1">
      <c r="J946" s="15"/>
      <c r="K946" s="188"/>
      <c r="L946" s="15"/>
      <c r="M946" s="15"/>
      <c r="N946" s="15"/>
      <c r="O946" s="15"/>
      <c r="P946" s="15"/>
      <c r="Q946" s="15"/>
      <c r="R946" s="15"/>
      <c r="S946" s="15"/>
      <c r="T946" s="15"/>
      <c r="U946" s="15"/>
      <c r="V946" s="15"/>
      <c r="W946" s="15"/>
      <c r="X946" s="14"/>
      <c r="Y946" s="14"/>
      <c r="Z946" s="15"/>
      <c r="AA946" s="3"/>
      <c r="AB946" s="3"/>
      <c r="AC946" s="3"/>
      <c r="AD946" s="3"/>
      <c r="AE946" s="3"/>
      <c r="AF946" s="3"/>
    </row>
    <row r="947" ht="15.75" customHeight="1">
      <c r="J947" s="15"/>
      <c r="K947" s="188"/>
      <c r="L947" s="15"/>
      <c r="M947" s="15"/>
      <c r="N947" s="15"/>
      <c r="O947" s="15"/>
      <c r="P947" s="15"/>
      <c r="Q947" s="15"/>
      <c r="R947" s="15"/>
      <c r="S947" s="15"/>
      <c r="T947" s="15"/>
      <c r="U947" s="15"/>
      <c r="V947" s="15"/>
      <c r="W947" s="15"/>
      <c r="X947" s="14"/>
      <c r="Y947" s="14"/>
      <c r="Z947" s="15"/>
      <c r="AA947" s="3"/>
      <c r="AB947" s="3"/>
      <c r="AC947" s="3"/>
      <c r="AD947" s="3"/>
      <c r="AE947" s="3"/>
      <c r="AF947" s="3"/>
    </row>
    <row r="948" ht="15.75" customHeight="1">
      <c r="J948" s="15"/>
      <c r="K948" s="188"/>
      <c r="L948" s="15"/>
      <c r="M948" s="15"/>
      <c r="N948" s="15"/>
      <c r="O948" s="15"/>
      <c r="P948" s="15"/>
      <c r="Q948" s="15"/>
      <c r="R948" s="15"/>
      <c r="S948" s="15"/>
      <c r="T948" s="15"/>
      <c r="U948" s="15"/>
      <c r="V948" s="15"/>
      <c r="W948" s="15"/>
      <c r="X948" s="14"/>
      <c r="Y948" s="14"/>
      <c r="Z948" s="15"/>
      <c r="AA948" s="3"/>
      <c r="AB948" s="3"/>
      <c r="AC948" s="3"/>
      <c r="AD948" s="3"/>
      <c r="AE948" s="3"/>
      <c r="AF948" s="3"/>
    </row>
    <row r="949" ht="15.75" customHeight="1">
      <c r="J949" s="15"/>
      <c r="K949" s="188"/>
      <c r="L949" s="15"/>
      <c r="M949" s="15"/>
      <c r="N949" s="15"/>
      <c r="O949" s="15"/>
      <c r="P949" s="15"/>
      <c r="Q949" s="15"/>
      <c r="R949" s="15"/>
      <c r="S949" s="15"/>
      <c r="T949" s="15"/>
      <c r="U949" s="15"/>
      <c r="V949" s="15"/>
      <c r="W949" s="15"/>
      <c r="X949" s="14"/>
      <c r="Y949" s="14"/>
      <c r="Z949" s="15"/>
      <c r="AA949" s="3"/>
      <c r="AB949" s="3"/>
      <c r="AC949" s="3"/>
      <c r="AD949" s="3"/>
      <c r="AE949" s="3"/>
      <c r="AF949" s="3"/>
    </row>
    <row r="950" ht="15.75" customHeight="1">
      <c r="J950" s="15"/>
      <c r="K950" s="188"/>
      <c r="L950" s="15"/>
      <c r="M950" s="15"/>
      <c r="N950" s="15"/>
      <c r="O950" s="15"/>
      <c r="P950" s="15"/>
      <c r="Q950" s="15"/>
      <c r="R950" s="15"/>
      <c r="S950" s="15"/>
      <c r="T950" s="15"/>
      <c r="U950" s="15"/>
      <c r="V950" s="15"/>
      <c r="W950" s="15"/>
      <c r="X950" s="14"/>
      <c r="Y950" s="14"/>
      <c r="Z950" s="15"/>
      <c r="AA950" s="3"/>
      <c r="AB950" s="3"/>
      <c r="AC950" s="3"/>
      <c r="AD950" s="3"/>
      <c r="AE950" s="3"/>
      <c r="AF950" s="3"/>
    </row>
    <row r="951" ht="15.75" customHeight="1">
      <c r="J951" s="15"/>
      <c r="K951" s="188"/>
      <c r="L951" s="15"/>
      <c r="M951" s="15"/>
      <c r="N951" s="15"/>
      <c r="O951" s="15"/>
      <c r="P951" s="15"/>
      <c r="Q951" s="15"/>
      <c r="R951" s="15"/>
      <c r="S951" s="15"/>
      <c r="T951" s="15"/>
      <c r="U951" s="15"/>
      <c r="V951" s="15"/>
      <c r="W951" s="15"/>
      <c r="X951" s="14"/>
      <c r="Y951" s="14"/>
      <c r="Z951" s="15"/>
      <c r="AA951" s="3"/>
      <c r="AB951" s="3"/>
      <c r="AC951" s="3"/>
      <c r="AD951" s="3"/>
      <c r="AE951" s="3"/>
      <c r="AF951" s="3"/>
    </row>
    <row r="952" ht="15.75" customHeight="1">
      <c r="J952" s="15"/>
      <c r="K952" s="188"/>
      <c r="L952" s="15"/>
      <c r="M952" s="15"/>
      <c r="N952" s="15"/>
      <c r="O952" s="15"/>
      <c r="P952" s="15"/>
      <c r="Q952" s="15"/>
      <c r="R952" s="15"/>
      <c r="S952" s="15"/>
      <c r="T952" s="15"/>
      <c r="U952" s="15"/>
      <c r="V952" s="15"/>
      <c r="W952" s="15"/>
      <c r="X952" s="14"/>
      <c r="Y952" s="14"/>
      <c r="Z952" s="15"/>
      <c r="AA952" s="3"/>
      <c r="AB952" s="3"/>
      <c r="AC952" s="3"/>
      <c r="AD952" s="3"/>
      <c r="AE952" s="3"/>
      <c r="AF952" s="3"/>
    </row>
    <row r="953" ht="15.75" customHeight="1">
      <c r="J953" s="15"/>
      <c r="K953" s="188"/>
      <c r="L953" s="15"/>
      <c r="M953" s="15"/>
      <c r="N953" s="15"/>
      <c r="O953" s="15"/>
      <c r="P953" s="15"/>
      <c r="Q953" s="15"/>
      <c r="R953" s="15"/>
      <c r="S953" s="15"/>
      <c r="T953" s="15"/>
      <c r="U953" s="15"/>
      <c r="V953" s="15"/>
      <c r="W953" s="15"/>
      <c r="X953" s="14"/>
      <c r="Y953" s="14"/>
      <c r="Z953" s="15"/>
      <c r="AA953" s="3"/>
      <c r="AB953" s="3"/>
      <c r="AC953" s="3"/>
      <c r="AD953" s="3"/>
      <c r="AE953" s="3"/>
      <c r="AF953" s="3"/>
    </row>
    <row r="954" ht="15.75" customHeight="1">
      <c r="J954" s="15"/>
      <c r="K954" s="188"/>
      <c r="L954" s="15"/>
      <c r="M954" s="15"/>
      <c r="N954" s="15"/>
      <c r="O954" s="15"/>
      <c r="P954" s="15"/>
      <c r="Q954" s="15"/>
      <c r="R954" s="15"/>
      <c r="S954" s="15"/>
      <c r="T954" s="15"/>
      <c r="U954" s="15"/>
      <c r="V954" s="15"/>
      <c r="W954" s="15"/>
      <c r="X954" s="14"/>
      <c r="Y954" s="14"/>
      <c r="Z954" s="15"/>
      <c r="AA954" s="3"/>
      <c r="AB954" s="3"/>
      <c r="AC954" s="3"/>
      <c r="AD954" s="3"/>
      <c r="AE954" s="3"/>
      <c r="AF954" s="3"/>
    </row>
    <row r="955" ht="15.75" customHeight="1">
      <c r="J955" s="15"/>
      <c r="K955" s="188"/>
      <c r="L955" s="15"/>
      <c r="M955" s="15"/>
      <c r="N955" s="15"/>
      <c r="O955" s="15"/>
      <c r="P955" s="15"/>
      <c r="Q955" s="15"/>
      <c r="R955" s="15"/>
      <c r="S955" s="15"/>
      <c r="T955" s="15"/>
      <c r="U955" s="15"/>
      <c r="V955" s="15"/>
      <c r="W955" s="15"/>
      <c r="X955" s="14"/>
      <c r="Y955" s="14"/>
      <c r="Z955" s="15"/>
      <c r="AA955" s="3"/>
      <c r="AB955" s="3"/>
      <c r="AC955" s="3"/>
      <c r="AD955" s="3"/>
      <c r="AE955" s="3"/>
      <c r="AF955" s="3"/>
    </row>
    <row r="956" ht="15.75" customHeight="1">
      <c r="J956" s="15"/>
      <c r="K956" s="188"/>
      <c r="L956" s="15"/>
      <c r="M956" s="15"/>
      <c r="N956" s="15"/>
      <c r="O956" s="15"/>
      <c r="P956" s="15"/>
      <c r="Q956" s="15"/>
      <c r="R956" s="15"/>
      <c r="S956" s="15"/>
      <c r="T956" s="15"/>
      <c r="U956" s="15"/>
      <c r="V956" s="15"/>
      <c r="W956" s="15"/>
      <c r="X956" s="14"/>
      <c r="Y956" s="14"/>
      <c r="Z956" s="15"/>
      <c r="AA956" s="3"/>
      <c r="AB956" s="3"/>
      <c r="AC956" s="3"/>
      <c r="AD956" s="3"/>
      <c r="AE956" s="3"/>
      <c r="AF956" s="3"/>
    </row>
    <row r="957" ht="15.75" customHeight="1">
      <c r="J957" s="15"/>
      <c r="K957" s="188"/>
      <c r="L957" s="15"/>
      <c r="M957" s="15"/>
      <c r="N957" s="15"/>
      <c r="O957" s="15"/>
      <c r="P957" s="15"/>
      <c r="Q957" s="15"/>
      <c r="R957" s="15"/>
      <c r="S957" s="15"/>
      <c r="T957" s="15"/>
      <c r="U957" s="15"/>
      <c r="V957" s="15"/>
      <c r="W957" s="15"/>
      <c r="X957" s="14"/>
      <c r="Y957" s="14"/>
      <c r="Z957" s="15"/>
      <c r="AA957" s="3"/>
      <c r="AB957" s="3"/>
      <c r="AC957" s="3"/>
      <c r="AD957" s="3"/>
      <c r="AE957" s="3"/>
      <c r="AF957" s="3"/>
    </row>
    <row r="958" ht="15.75" customHeight="1">
      <c r="J958" s="15"/>
      <c r="K958" s="188"/>
      <c r="L958" s="15"/>
      <c r="M958" s="15"/>
      <c r="N958" s="15"/>
      <c r="O958" s="15"/>
      <c r="P958" s="15"/>
      <c r="Q958" s="15"/>
      <c r="R958" s="15"/>
      <c r="S958" s="15"/>
      <c r="T958" s="15"/>
      <c r="U958" s="15"/>
      <c r="V958" s="15"/>
      <c r="W958" s="15"/>
      <c r="X958" s="14"/>
      <c r="Y958" s="14"/>
      <c r="Z958" s="15"/>
      <c r="AA958" s="3"/>
      <c r="AB958" s="3"/>
      <c r="AC958" s="3"/>
      <c r="AD958" s="3"/>
      <c r="AE958" s="3"/>
      <c r="AF958" s="3"/>
    </row>
    <row r="959" ht="15.75" customHeight="1">
      <c r="J959" s="15"/>
      <c r="K959" s="188"/>
      <c r="L959" s="15"/>
      <c r="M959" s="15"/>
      <c r="N959" s="15"/>
      <c r="O959" s="15"/>
      <c r="P959" s="15"/>
      <c r="Q959" s="15"/>
      <c r="R959" s="15"/>
      <c r="S959" s="15"/>
      <c r="T959" s="15"/>
      <c r="U959" s="15"/>
      <c r="V959" s="15"/>
      <c r="W959" s="15"/>
      <c r="X959" s="14"/>
      <c r="Y959" s="14"/>
      <c r="Z959" s="15"/>
      <c r="AA959" s="3"/>
      <c r="AB959" s="3"/>
      <c r="AC959" s="3"/>
      <c r="AD959" s="3"/>
      <c r="AE959" s="3"/>
      <c r="AF959" s="3"/>
    </row>
    <row r="960" ht="15.75" customHeight="1">
      <c r="J960" s="15"/>
      <c r="K960" s="188"/>
      <c r="L960" s="15"/>
      <c r="M960" s="15"/>
      <c r="N960" s="15"/>
      <c r="O960" s="15"/>
      <c r="P960" s="15"/>
      <c r="Q960" s="15"/>
      <c r="R960" s="15"/>
      <c r="S960" s="15"/>
      <c r="T960" s="15"/>
      <c r="U960" s="15"/>
      <c r="V960" s="15"/>
      <c r="W960" s="15"/>
      <c r="X960" s="14"/>
      <c r="Y960" s="14"/>
      <c r="Z960" s="15"/>
      <c r="AA960" s="3"/>
      <c r="AB960" s="3"/>
      <c r="AC960" s="3"/>
      <c r="AD960" s="3"/>
      <c r="AE960" s="3"/>
      <c r="AF960" s="3"/>
    </row>
    <row r="961" ht="15.75" customHeight="1">
      <c r="J961" s="15"/>
      <c r="K961" s="188"/>
      <c r="L961" s="15"/>
      <c r="M961" s="15"/>
      <c r="N961" s="15"/>
      <c r="O961" s="15"/>
      <c r="P961" s="15"/>
      <c r="Q961" s="15"/>
      <c r="R961" s="15"/>
      <c r="S961" s="15"/>
      <c r="T961" s="15"/>
      <c r="U961" s="15"/>
      <c r="V961" s="15"/>
      <c r="W961" s="15"/>
      <c r="X961" s="14"/>
      <c r="Y961" s="14"/>
      <c r="Z961" s="15"/>
      <c r="AA961" s="3"/>
      <c r="AB961" s="3"/>
      <c r="AC961" s="3"/>
      <c r="AD961" s="3"/>
      <c r="AE961" s="3"/>
      <c r="AF961" s="3"/>
    </row>
    <row r="962" ht="15.75" customHeight="1">
      <c r="J962" s="15"/>
      <c r="K962" s="188"/>
      <c r="L962" s="15"/>
      <c r="M962" s="15"/>
      <c r="N962" s="15"/>
      <c r="O962" s="15"/>
      <c r="P962" s="15"/>
      <c r="Q962" s="15"/>
      <c r="R962" s="15"/>
      <c r="S962" s="15"/>
      <c r="T962" s="15"/>
      <c r="U962" s="15"/>
      <c r="V962" s="15"/>
      <c r="W962" s="15"/>
      <c r="X962" s="14"/>
      <c r="Y962" s="14"/>
      <c r="Z962" s="15"/>
      <c r="AA962" s="3"/>
      <c r="AB962" s="3"/>
      <c r="AC962" s="3"/>
      <c r="AD962" s="3"/>
      <c r="AE962" s="3"/>
      <c r="AF962" s="3"/>
    </row>
    <row r="963" ht="15.75" customHeight="1">
      <c r="J963" s="15"/>
      <c r="K963" s="188"/>
      <c r="L963" s="15"/>
      <c r="M963" s="15"/>
      <c r="N963" s="15"/>
      <c r="O963" s="15"/>
      <c r="P963" s="15"/>
      <c r="Q963" s="15"/>
      <c r="R963" s="15"/>
      <c r="S963" s="15"/>
      <c r="T963" s="15"/>
      <c r="U963" s="15"/>
      <c r="V963" s="15"/>
      <c r="W963" s="15"/>
      <c r="X963" s="14"/>
      <c r="Y963" s="14"/>
      <c r="Z963" s="15"/>
      <c r="AA963" s="3"/>
      <c r="AB963" s="3"/>
      <c r="AC963" s="3"/>
      <c r="AD963" s="3"/>
      <c r="AE963" s="3"/>
      <c r="AF963" s="3"/>
    </row>
    <row r="964" ht="15.75" customHeight="1">
      <c r="J964" s="15"/>
      <c r="K964" s="188"/>
      <c r="L964" s="15"/>
      <c r="M964" s="15"/>
      <c r="N964" s="15"/>
      <c r="O964" s="15"/>
      <c r="P964" s="15"/>
      <c r="Q964" s="15"/>
      <c r="R964" s="15"/>
      <c r="S964" s="15"/>
      <c r="T964" s="15"/>
      <c r="U964" s="15"/>
      <c r="V964" s="15"/>
      <c r="W964" s="15"/>
      <c r="X964" s="14"/>
      <c r="Y964" s="14"/>
      <c r="Z964" s="15"/>
      <c r="AA964" s="3"/>
      <c r="AB964" s="3"/>
      <c r="AC964" s="3"/>
      <c r="AD964" s="3"/>
      <c r="AE964" s="3"/>
      <c r="AF964" s="3"/>
    </row>
    <row r="965" ht="15.75" customHeight="1">
      <c r="J965" s="15"/>
      <c r="K965" s="188"/>
      <c r="L965" s="15"/>
      <c r="M965" s="15"/>
      <c r="N965" s="15"/>
      <c r="O965" s="15"/>
      <c r="P965" s="15"/>
      <c r="Q965" s="15"/>
      <c r="R965" s="15"/>
      <c r="S965" s="15"/>
      <c r="T965" s="15"/>
      <c r="U965" s="15"/>
      <c r="V965" s="15"/>
      <c r="W965" s="15"/>
      <c r="X965" s="14"/>
      <c r="Y965" s="14"/>
      <c r="Z965" s="15"/>
      <c r="AA965" s="3"/>
      <c r="AB965" s="3"/>
      <c r="AC965" s="3"/>
      <c r="AD965" s="3"/>
      <c r="AE965" s="3"/>
      <c r="AF965" s="3"/>
    </row>
    <row r="966" ht="15.75" customHeight="1">
      <c r="J966" s="15"/>
      <c r="K966" s="188"/>
      <c r="L966" s="15"/>
      <c r="M966" s="15"/>
      <c r="N966" s="15"/>
      <c r="O966" s="15"/>
      <c r="P966" s="15"/>
      <c r="Q966" s="15"/>
      <c r="R966" s="15"/>
      <c r="S966" s="15"/>
      <c r="T966" s="15"/>
      <c r="U966" s="15"/>
      <c r="V966" s="15"/>
      <c r="W966" s="15"/>
      <c r="X966" s="14"/>
      <c r="Y966" s="14"/>
      <c r="Z966" s="15"/>
      <c r="AA966" s="3"/>
      <c r="AB966" s="3"/>
      <c r="AC966" s="3"/>
      <c r="AD966" s="3"/>
      <c r="AE966" s="3"/>
      <c r="AF966" s="3"/>
    </row>
    <row r="967" ht="15.75" customHeight="1">
      <c r="J967" s="15"/>
      <c r="K967" s="188"/>
      <c r="L967" s="15"/>
      <c r="M967" s="15"/>
      <c r="N967" s="15"/>
      <c r="O967" s="15"/>
      <c r="P967" s="15"/>
      <c r="Q967" s="15"/>
      <c r="R967" s="15"/>
      <c r="S967" s="15"/>
      <c r="T967" s="15"/>
      <c r="U967" s="15"/>
      <c r="V967" s="15"/>
      <c r="W967" s="15"/>
      <c r="X967" s="14"/>
      <c r="Y967" s="14"/>
      <c r="Z967" s="15"/>
      <c r="AA967" s="3"/>
      <c r="AB967" s="3"/>
      <c r="AC967" s="3"/>
      <c r="AD967" s="3"/>
      <c r="AE967" s="3"/>
      <c r="AF967" s="3"/>
    </row>
    <row r="968" ht="15.75" customHeight="1">
      <c r="J968" s="15"/>
      <c r="K968" s="188"/>
      <c r="L968" s="15"/>
      <c r="M968" s="15"/>
      <c r="N968" s="15"/>
      <c r="O968" s="15"/>
      <c r="P968" s="15"/>
      <c r="Q968" s="15"/>
      <c r="R968" s="15"/>
      <c r="S968" s="15"/>
      <c r="T968" s="15"/>
      <c r="U968" s="15"/>
      <c r="V968" s="15"/>
      <c r="W968" s="15"/>
      <c r="X968" s="14"/>
      <c r="Y968" s="14"/>
      <c r="Z968" s="15"/>
      <c r="AA968" s="3"/>
      <c r="AB968" s="3"/>
      <c r="AC968" s="3"/>
      <c r="AD968" s="3"/>
      <c r="AE968" s="3"/>
      <c r="AF968" s="3"/>
    </row>
    <row r="969" ht="15.75" customHeight="1">
      <c r="J969" s="15"/>
      <c r="K969" s="188"/>
      <c r="L969" s="15"/>
      <c r="M969" s="15"/>
      <c r="N969" s="15"/>
      <c r="O969" s="15"/>
      <c r="P969" s="15"/>
      <c r="Q969" s="15"/>
      <c r="R969" s="15"/>
      <c r="S969" s="15"/>
      <c r="T969" s="15"/>
      <c r="U969" s="15"/>
      <c r="V969" s="15"/>
      <c r="W969" s="15"/>
      <c r="X969" s="14"/>
      <c r="Y969" s="14"/>
      <c r="Z969" s="15"/>
      <c r="AA969" s="3"/>
      <c r="AB969" s="3"/>
      <c r="AC969" s="3"/>
      <c r="AD969" s="3"/>
      <c r="AE969" s="3"/>
      <c r="AF969" s="3"/>
    </row>
    <row r="970" ht="15.75" customHeight="1">
      <c r="J970" s="15"/>
      <c r="K970" s="188"/>
      <c r="L970" s="15"/>
      <c r="M970" s="15"/>
      <c r="N970" s="15"/>
      <c r="O970" s="15"/>
      <c r="P970" s="15"/>
      <c r="Q970" s="15"/>
      <c r="R970" s="15"/>
      <c r="S970" s="15"/>
      <c r="T970" s="15"/>
      <c r="U970" s="15"/>
      <c r="V970" s="15"/>
      <c r="W970" s="15"/>
      <c r="X970" s="14"/>
      <c r="Y970" s="14"/>
      <c r="Z970" s="15"/>
      <c r="AA970" s="3"/>
      <c r="AB970" s="3"/>
      <c r="AC970" s="3"/>
      <c r="AD970" s="3"/>
      <c r="AE970" s="3"/>
      <c r="AF970" s="3"/>
    </row>
    <row r="971" ht="15.75" customHeight="1">
      <c r="J971" s="15"/>
      <c r="K971" s="188"/>
      <c r="L971" s="15"/>
      <c r="M971" s="15"/>
      <c r="N971" s="15"/>
      <c r="O971" s="15"/>
      <c r="P971" s="15"/>
      <c r="Q971" s="15"/>
      <c r="R971" s="15"/>
      <c r="S971" s="15"/>
      <c r="T971" s="15"/>
      <c r="U971" s="15"/>
      <c r="V971" s="15"/>
      <c r="W971" s="15"/>
      <c r="X971" s="14"/>
      <c r="Y971" s="14"/>
      <c r="Z971" s="15"/>
      <c r="AA971" s="3"/>
      <c r="AB971" s="3"/>
      <c r="AC971" s="3"/>
      <c r="AD971" s="3"/>
      <c r="AE971" s="3"/>
      <c r="AF971" s="3"/>
    </row>
    <row r="972" ht="15.75" customHeight="1">
      <c r="J972" s="15"/>
      <c r="K972" s="188"/>
      <c r="L972" s="15"/>
      <c r="M972" s="15"/>
      <c r="N972" s="15"/>
      <c r="O972" s="15"/>
      <c r="P972" s="15"/>
      <c r="Q972" s="15"/>
      <c r="R972" s="15"/>
      <c r="S972" s="15"/>
      <c r="T972" s="15"/>
      <c r="U972" s="15"/>
      <c r="V972" s="15"/>
      <c r="W972" s="15"/>
      <c r="X972" s="14"/>
      <c r="Y972" s="14"/>
      <c r="Z972" s="15"/>
      <c r="AA972" s="3"/>
      <c r="AB972" s="3"/>
      <c r="AC972" s="3"/>
      <c r="AD972" s="3"/>
      <c r="AE972" s="3"/>
      <c r="AF972" s="3"/>
    </row>
    <row r="973" ht="15.75" customHeight="1">
      <c r="J973" s="15"/>
      <c r="K973" s="188"/>
      <c r="L973" s="15"/>
      <c r="M973" s="15"/>
      <c r="N973" s="15"/>
      <c r="O973" s="15"/>
      <c r="P973" s="15"/>
      <c r="Q973" s="15"/>
      <c r="R973" s="15"/>
      <c r="S973" s="15"/>
      <c r="T973" s="15"/>
      <c r="U973" s="15"/>
      <c r="V973" s="15"/>
      <c r="W973" s="15"/>
      <c r="X973" s="14"/>
      <c r="Y973" s="14"/>
      <c r="Z973" s="15"/>
      <c r="AA973" s="3"/>
      <c r="AB973" s="3"/>
      <c r="AC973" s="3"/>
      <c r="AD973" s="3"/>
      <c r="AE973" s="3"/>
      <c r="AF973" s="3"/>
    </row>
    <row r="974" ht="15.75" customHeight="1">
      <c r="J974" s="15"/>
      <c r="K974" s="188"/>
      <c r="L974" s="15"/>
      <c r="M974" s="15"/>
      <c r="N974" s="15"/>
      <c r="O974" s="15"/>
      <c r="P974" s="15"/>
      <c r="Q974" s="15"/>
      <c r="R974" s="15"/>
      <c r="S974" s="15"/>
      <c r="T974" s="15"/>
      <c r="U974" s="15"/>
      <c r="V974" s="15"/>
      <c r="W974" s="15"/>
      <c r="X974" s="14"/>
      <c r="Y974" s="14"/>
      <c r="Z974" s="15"/>
      <c r="AA974" s="3"/>
      <c r="AB974" s="3"/>
      <c r="AC974" s="3"/>
      <c r="AD974" s="3"/>
      <c r="AE974" s="3"/>
      <c r="AF974" s="3"/>
    </row>
    <row r="975" ht="15.75" customHeight="1">
      <c r="J975" s="15"/>
      <c r="K975" s="188"/>
      <c r="L975" s="15"/>
      <c r="M975" s="15"/>
      <c r="N975" s="15"/>
      <c r="O975" s="15"/>
      <c r="P975" s="15"/>
      <c r="Q975" s="15"/>
      <c r="R975" s="15"/>
      <c r="S975" s="15"/>
      <c r="T975" s="15"/>
      <c r="U975" s="15"/>
      <c r="V975" s="15"/>
      <c r="W975" s="15"/>
      <c r="X975" s="14"/>
      <c r="Y975" s="14"/>
      <c r="Z975" s="15"/>
      <c r="AA975" s="3"/>
      <c r="AB975" s="3"/>
      <c r="AC975" s="3"/>
      <c r="AD975" s="3"/>
      <c r="AE975" s="3"/>
      <c r="AF975" s="3"/>
    </row>
    <row r="976" ht="15.75" customHeight="1">
      <c r="J976" s="15"/>
      <c r="K976" s="188"/>
      <c r="L976" s="15"/>
      <c r="M976" s="15"/>
      <c r="N976" s="15"/>
      <c r="O976" s="15"/>
      <c r="P976" s="15"/>
      <c r="Q976" s="15"/>
      <c r="R976" s="15"/>
      <c r="S976" s="15"/>
      <c r="T976" s="15"/>
      <c r="U976" s="15"/>
      <c r="V976" s="15"/>
      <c r="W976" s="15"/>
      <c r="X976" s="14"/>
      <c r="Y976" s="14"/>
      <c r="Z976" s="15"/>
      <c r="AA976" s="3"/>
      <c r="AB976" s="3"/>
      <c r="AC976" s="3"/>
      <c r="AD976" s="3"/>
      <c r="AE976" s="3"/>
      <c r="AF976" s="3"/>
    </row>
    <row r="977" ht="15.75" customHeight="1">
      <c r="J977" s="15"/>
      <c r="K977" s="188"/>
      <c r="L977" s="15"/>
      <c r="M977" s="15"/>
      <c r="N977" s="15"/>
      <c r="O977" s="15"/>
      <c r="P977" s="15"/>
      <c r="Q977" s="15"/>
      <c r="R977" s="15"/>
      <c r="S977" s="15"/>
      <c r="T977" s="15"/>
      <c r="U977" s="15"/>
      <c r="V977" s="15"/>
      <c r="W977" s="15"/>
      <c r="X977" s="14"/>
      <c r="Y977" s="14"/>
      <c r="Z977" s="15"/>
      <c r="AA977" s="3"/>
      <c r="AB977" s="3"/>
      <c r="AC977" s="3"/>
      <c r="AD977" s="3"/>
      <c r="AE977" s="3"/>
      <c r="AF977" s="3"/>
    </row>
    <row r="978" ht="15.75" customHeight="1">
      <c r="J978" s="15"/>
      <c r="K978" s="188"/>
      <c r="L978" s="15"/>
      <c r="M978" s="15"/>
      <c r="N978" s="15"/>
      <c r="O978" s="15"/>
      <c r="P978" s="15"/>
      <c r="Q978" s="15"/>
      <c r="R978" s="15"/>
      <c r="S978" s="15"/>
      <c r="T978" s="15"/>
      <c r="U978" s="15"/>
      <c r="V978" s="15"/>
      <c r="W978" s="15"/>
      <c r="X978" s="14"/>
      <c r="Y978" s="14"/>
      <c r="Z978" s="15"/>
      <c r="AA978" s="3"/>
      <c r="AB978" s="3"/>
      <c r="AC978" s="3"/>
      <c r="AD978" s="3"/>
      <c r="AE978" s="3"/>
      <c r="AF978" s="3"/>
    </row>
    <row r="979" ht="15.75" customHeight="1">
      <c r="J979" s="15"/>
      <c r="K979" s="188"/>
      <c r="L979" s="15"/>
      <c r="M979" s="15"/>
      <c r="N979" s="15"/>
      <c r="O979" s="15"/>
      <c r="P979" s="15"/>
      <c r="Q979" s="15"/>
      <c r="R979" s="15"/>
      <c r="S979" s="15"/>
      <c r="T979" s="15"/>
      <c r="U979" s="15"/>
      <c r="V979" s="15"/>
      <c r="W979" s="15"/>
      <c r="X979" s="14"/>
      <c r="Y979" s="14"/>
      <c r="Z979" s="15"/>
      <c r="AA979" s="3"/>
      <c r="AB979" s="3"/>
      <c r="AC979" s="3"/>
      <c r="AD979" s="3"/>
      <c r="AE979" s="3"/>
      <c r="AF979" s="3"/>
    </row>
    <row r="980" ht="15.75" customHeight="1">
      <c r="J980" s="15"/>
      <c r="K980" s="188"/>
      <c r="L980" s="15"/>
      <c r="M980" s="15"/>
      <c r="N980" s="15"/>
      <c r="O980" s="15"/>
      <c r="P980" s="15"/>
      <c r="Q980" s="15"/>
      <c r="R980" s="15"/>
      <c r="S980" s="15"/>
      <c r="T980" s="15"/>
      <c r="U980" s="15"/>
      <c r="V980" s="15"/>
      <c r="W980" s="15"/>
      <c r="X980" s="14"/>
      <c r="Y980" s="14"/>
      <c r="Z980" s="15"/>
      <c r="AA980" s="3"/>
      <c r="AB980" s="3"/>
      <c r="AC980" s="3"/>
      <c r="AD980" s="3"/>
      <c r="AE980" s="3"/>
      <c r="AF980" s="3"/>
    </row>
    <row r="981" ht="15.75" customHeight="1">
      <c r="J981" s="15"/>
      <c r="K981" s="188"/>
      <c r="L981" s="15"/>
      <c r="M981" s="15"/>
      <c r="N981" s="15"/>
      <c r="O981" s="15"/>
      <c r="P981" s="15"/>
      <c r="Q981" s="15"/>
      <c r="R981" s="15"/>
      <c r="S981" s="15"/>
      <c r="T981" s="15"/>
      <c r="U981" s="15"/>
      <c r="V981" s="15"/>
      <c r="W981" s="15"/>
      <c r="X981" s="14"/>
      <c r="Y981" s="14"/>
      <c r="Z981" s="15"/>
      <c r="AA981" s="3"/>
      <c r="AB981" s="3"/>
      <c r="AC981" s="3"/>
      <c r="AD981" s="3"/>
      <c r="AE981" s="3"/>
      <c r="AF981" s="3"/>
    </row>
    <row r="982" ht="15.75" customHeight="1">
      <c r="J982" s="15"/>
      <c r="K982" s="188"/>
      <c r="L982" s="15"/>
      <c r="M982" s="15"/>
      <c r="N982" s="15"/>
      <c r="O982" s="15"/>
      <c r="P982" s="15"/>
      <c r="Q982" s="15"/>
      <c r="R982" s="15"/>
      <c r="S982" s="15"/>
      <c r="T982" s="15"/>
      <c r="U982" s="15"/>
      <c r="V982" s="15"/>
      <c r="W982" s="15"/>
      <c r="X982" s="14"/>
      <c r="Y982" s="14"/>
      <c r="Z982" s="15"/>
      <c r="AA982" s="3"/>
      <c r="AB982" s="3"/>
      <c r="AC982" s="3"/>
      <c r="AD982" s="3"/>
      <c r="AE982" s="3"/>
      <c r="AF982" s="3"/>
    </row>
    <row r="983" ht="15.75" customHeight="1">
      <c r="J983" s="15"/>
      <c r="K983" s="188"/>
      <c r="L983" s="15"/>
      <c r="M983" s="15"/>
      <c r="N983" s="15"/>
      <c r="O983" s="15"/>
      <c r="P983" s="15"/>
      <c r="Q983" s="15"/>
      <c r="R983" s="15"/>
      <c r="S983" s="15"/>
      <c r="T983" s="15"/>
      <c r="U983" s="15"/>
      <c r="V983" s="15"/>
      <c r="W983" s="15"/>
      <c r="X983" s="14"/>
      <c r="Y983" s="14"/>
      <c r="Z983" s="15"/>
      <c r="AA983" s="3"/>
      <c r="AB983" s="3"/>
      <c r="AC983" s="3"/>
      <c r="AD983" s="3"/>
      <c r="AE983" s="3"/>
      <c r="AF983" s="3"/>
    </row>
    <row r="984" ht="15.75" customHeight="1">
      <c r="J984" s="15"/>
      <c r="K984" s="188"/>
      <c r="L984" s="15"/>
      <c r="M984" s="15"/>
      <c r="N984" s="15"/>
      <c r="O984" s="15"/>
      <c r="P984" s="15"/>
      <c r="Q984" s="15"/>
      <c r="R984" s="15"/>
      <c r="S984" s="15"/>
      <c r="T984" s="15"/>
      <c r="U984" s="15"/>
      <c r="V984" s="15"/>
      <c r="W984" s="15"/>
      <c r="X984" s="14"/>
      <c r="Y984" s="14"/>
      <c r="Z984" s="15"/>
      <c r="AA984" s="3"/>
      <c r="AB984" s="3"/>
      <c r="AC984" s="3"/>
      <c r="AD984" s="3"/>
      <c r="AE984" s="3"/>
      <c r="AF984" s="3"/>
    </row>
    <row r="985" ht="15.75" customHeight="1">
      <c r="J985" s="15"/>
      <c r="K985" s="188"/>
      <c r="L985" s="15"/>
      <c r="M985" s="15"/>
      <c r="N985" s="15"/>
      <c r="O985" s="15"/>
      <c r="P985" s="15"/>
      <c r="Q985" s="15"/>
      <c r="R985" s="15"/>
      <c r="S985" s="15"/>
      <c r="T985" s="15"/>
      <c r="U985" s="15"/>
      <c r="V985" s="15"/>
      <c r="W985" s="15"/>
      <c r="X985" s="14"/>
      <c r="Y985" s="14"/>
      <c r="Z985" s="15"/>
      <c r="AA985" s="3"/>
      <c r="AB985" s="3"/>
      <c r="AC985" s="3"/>
      <c r="AD985" s="3"/>
      <c r="AE985" s="3"/>
      <c r="AF985" s="3"/>
    </row>
    <row r="986" ht="15.75" customHeight="1">
      <c r="J986" s="15"/>
      <c r="K986" s="188"/>
      <c r="L986" s="15"/>
      <c r="M986" s="15"/>
      <c r="N986" s="15"/>
      <c r="O986" s="15"/>
      <c r="P986" s="15"/>
      <c r="Q986" s="15"/>
      <c r="R986" s="15"/>
      <c r="S986" s="15"/>
      <c r="T986" s="15"/>
      <c r="U986" s="15"/>
      <c r="V986" s="15"/>
      <c r="W986" s="15"/>
      <c r="X986" s="14"/>
      <c r="Y986" s="14"/>
      <c r="Z986" s="15"/>
      <c r="AA986" s="3"/>
      <c r="AB986" s="3"/>
      <c r="AC986" s="3"/>
      <c r="AD986" s="3"/>
      <c r="AE986" s="3"/>
      <c r="AF986" s="3"/>
    </row>
    <row r="987" ht="15.75" customHeight="1">
      <c r="J987" s="15"/>
      <c r="K987" s="188"/>
      <c r="L987" s="15"/>
      <c r="M987" s="15"/>
      <c r="N987" s="15"/>
      <c r="O987" s="15"/>
      <c r="P987" s="15"/>
      <c r="Q987" s="15"/>
      <c r="R987" s="15"/>
      <c r="S987" s="15"/>
      <c r="T987" s="15"/>
      <c r="U987" s="15"/>
      <c r="V987" s="15"/>
      <c r="W987" s="15"/>
      <c r="X987" s="14"/>
      <c r="Y987" s="14"/>
      <c r="Z987" s="15"/>
      <c r="AA987" s="3"/>
      <c r="AB987" s="3"/>
      <c r="AC987" s="3"/>
      <c r="AD987" s="3"/>
      <c r="AE987" s="3"/>
      <c r="AF987" s="3"/>
    </row>
    <row r="988" ht="15.75" customHeight="1">
      <c r="J988" s="15"/>
      <c r="K988" s="188"/>
      <c r="L988" s="15"/>
      <c r="M988" s="15"/>
      <c r="N988" s="15"/>
      <c r="O988" s="15"/>
      <c r="P988" s="15"/>
      <c r="Q988" s="15"/>
      <c r="R988" s="15"/>
      <c r="S988" s="15"/>
      <c r="T988" s="15"/>
      <c r="U988" s="15"/>
      <c r="V988" s="15"/>
      <c r="W988" s="15"/>
      <c r="X988" s="14"/>
      <c r="Y988" s="14"/>
      <c r="Z988" s="15"/>
      <c r="AA988" s="3"/>
      <c r="AB988" s="3"/>
      <c r="AC988" s="3"/>
      <c r="AD988" s="3"/>
      <c r="AE988" s="3"/>
      <c r="AF988" s="3"/>
    </row>
    <row r="989" ht="15.75" customHeight="1">
      <c r="J989" s="15"/>
      <c r="K989" s="188"/>
      <c r="L989" s="15"/>
      <c r="M989" s="15"/>
      <c r="N989" s="15"/>
      <c r="O989" s="15"/>
      <c r="P989" s="15"/>
      <c r="Q989" s="15"/>
      <c r="R989" s="15"/>
      <c r="S989" s="15"/>
      <c r="T989" s="15"/>
      <c r="U989" s="15"/>
      <c r="V989" s="15"/>
      <c r="W989" s="15"/>
      <c r="X989" s="14"/>
      <c r="Y989" s="14"/>
      <c r="Z989" s="15"/>
      <c r="AA989" s="3"/>
      <c r="AB989" s="3"/>
      <c r="AC989" s="3"/>
      <c r="AD989" s="3"/>
      <c r="AE989" s="3"/>
      <c r="AF989" s="3"/>
    </row>
    <row r="990" ht="15.75" customHeight="1">
      <c r="J990" s="15"/>
      <c r="K990" s="188"/>
      <c r="L990" s="15"/>
      <c r="M990" s="15"/>
      <c r="N990" s="15"/>
      <c r="O990" s="15"/>
      <c r="P990" s="15"/>
      <c r="Q990" s="15"/>
      <c r="R990" s="15"/>
      <c r="S990" s="15"/>
      <c r="T990" s="15"/>
      <c r="U990" s="15"/>
      <c r="V990" s="15"/>
      <c r="W990" s="15"/>
      <c r="X990" s="14"/>
      <c r="Y990" s="14"/>
      <c r="Z990" s="15"/>
      <c r="AA990" s="3"/>
      <c r="AB990" s="3"/>
      <c r="AC990" s="3"/>
      <c r="AD990" s="3"/>
      <c r="AE990" s="3"/>
      <c r="AF990" s="3"/>
    </row>
    <row r="991" ht="15.75" customHeight="1">
      <c r="J991" s="15"/>
      <c r="K991" s="188"/>
      <c r="L991" s="15"/>
      <c r="M991" s="15"/>
      <c r="N991" s="15"/>
      <c r="O991" s="15"/>
      <c r="P991" s="15"/>
      <c r="Q991" s="15"/>
      <c r="R991" s="15"/>
      <c r="S991" s="15"/>
      <c r="T991" s="15"/>
      <c r="U991" s="15"/>
      <c r="V991" s="15"/>
      <c r="W991" s="15"/>
      <c r="X991" s="14"/>
      <c r="Y991" s="14"/>
      <c r="Z991" s="15"/>
      <c r="AA991" s="3"/>
      <c r="AB991" s="3"/>
      <c r="AC991" s="3"/>
      <c r="AD991" s="3"/>
      <c r="AE991" s="3"/>
      <c r="AF991" s="3"/>
    </row>
    <row r="992" ht="15.75" customHeight="1">
      <c r="J992" s="15"/>
      <c r="K992" s="188"/>
      <c r="L992" s="15"/>
      <c r="M992" s="15"/>
      <c r="N992" s="15"/>
      <c r="O992" s="15"/>
      <c r="P992" s="15"/>
      <c r="Q992" s="15"/>
      <c r="R992" s="15"/>
      <c r="S992" s="15"/>
      <c r="T992" s="15"/>
      <c r="U992" s="15"/>
      <c r="V992" s="15"/>
      <c r="W992" s="15"/>
      <c r="X992" s="14"/>
      <c r="Y992" s="14"/>
      <c r="Z992" s="15"/>
      <c r="AA992" s="3"/>
      <c r="AB992" s="3"/>
      <c r="AC992" s="3"/>
      <c r="AD992" s="3"/>
      <c r="AE992" s="3"/>
      <c r="AF992" s="3"/>
    </row>
    <row r="993" ht="15.75" customHeight="1">
      <c r="J993" s="15"/>
      <c r="K993" s="188"/>
      <c r="L993" s="15"/>
      <c r="M993" s="15"/>
      <c r="N993" s="15"/>
      <c r="O993" s="15"/>
      <c r="P993" s="15"/>
      <c r="Q993" s="15"/>
      <c r="R993" s="15"/>
      <c r="S993" s="15"/>
      <c r="T993" s="15"/>
      <c r="U993" s="15"/>
      <c r="V993" s="15"/>
      <c r="W993" s="15"/>
      <c r="X993" s="14"/>
      <c r="Y993" s="14"/>
      <c r="Z993" s="15"/>
      <c r="AA993" s="3"/>
      <c r="AB993" s="3"/>
      <c r="AC993" s="3"/>
      <c r="AD993" s="3"/>
      <c r="AE993" s="3"/>
      <c r="AF993" s="3"/>
    </row>
    <row r="994" ht="15.75" customHeight="1">
      <c r="J994" s="15"/>
      <c r="K994" s="188"/>
      <c r="L994" s="15"/>
      <c r="M994" s="15"/>
      <c r="N994" s="15"/>
      <c r="O994" s="15"/>
      <c r="P994" s="15"/>
      <c r="Q994" s="15"/>
      <c r="R994" s="15"/>
      <c r="S994" s="15"/>
      <c r="T994" s="15"/>
      <c r="U994" s="15"/>
      <c r="V994" s="15"/>
      <c r="W994" s="15"/>
      <c r="X994" s="14"/>
      <c r="Y994" s="14"/>
      <c r="Z994" s="15"/>
      <c r="AA994" s="3"/>
      <c r="AB994" s="3"/>
      <c r="AC994" s="3"/>
      <c r="AD994" s="3"/>
      <c r="AE994" s="3"/>
      <c r="AF994" s="3"/>
    </row>
    <row r="995" ht="15.75" customHeight="1">
      <c r="J995" s="15"/>
      <c r="K995" s="188"/>
      <c r="L995" s="15"/>
      <c r="M995" s="15"/>
      <c r="N995" s="15"/>
      <c r="O995" s="15"/>
      <c r="P995" s="15"/>
      <c r="Q995" s="15"/>
      <c r="R995" s="15"/>
      <c r="S995" s="15"/>
      <c r="T995" s="15"/>
      <c r="U995" s="15"/>
      <c r="V995" s="15"/>
      <c r="W995" s="15"/>
      <c r="X995" s="14"/>
      <c r="Y995" s="14"/>
      <c r="Z995" s="15"/>
      <c r="AA995" s="3"/>
      <c r="AB995" s="3"/>
      <c r="AC995" s="3"/>
      <c r="AD995" s="3"/>
      <c r="AE995" s="3"/>
      <c r="AF995" s="3"/>
    </row>
    <row r="996" ht="15.75" customHeight="1">
      <c r="J996" s="15"/>
      <c r="K996" s="188"/>
      <c r="L996" s="15"/>
      <c r="M996" s="15"/>
      <c r="N996" s="15"/>
      <c r="O996" s="15"/>
      <c r="P996" s="15"/>
      <c r="Q996" s="15"/>
      <c r="R996" s="15"/>
      <c r="S996" s="15"/>
      <c r="T996" s="15"/>
      <c r="U996" s="15"/>
      <c r="V996" s="15"/>
      <c r="W996" s="15"/>
      <c r="X996" s="14"/>
      <c r="Y996" s="14"/>
      <c r="Z996" s="15"/>
      <c r="AA996" s="3"/>
      <c r="AB996" s="3"/>
      <c r="AC996" s="3"/>
      <c r="AD996" s="3"/>
      <c r="AE996" s="3"/>
      <c r="AF996" s="3"/>
    </row>
    <row r="997" ht="15.75" customHeight="1">
      <c r="J997" s="15"/>
      <c r="K997" s="188"/>
      <c r="L997" s="15"/>
      <c r="M997" s="15"/>
      <c r="N997" s="15"/>
      <c r="O997" s="15"/>
      <c r="P997" s="15"/>
      <c r="Q997" s="15"/>
      <c r="R997" s="15"/>
      <c r="S997" s="15"/>
      <c r="T997" s="15"/>
      <c r="U997" s="15"/>
      <c r="V997" s="15"/>
      <c r="W997" s="15"/>
      <c r="X997" s="14"/>
      <c r="Y997" s="14"/>
      <c r="Z997" s="15"/>
      <c r="AA997" s="3"/>
      <c r="AB997" s="3"/>
      <c r="AC997" s="3"/>
      <c r="AD997" s="3"/>
      <c r="AE997" s="3"/>
      <c r="AF997" s="3"/>
    </row>
    <row r="998" ht="15.75" customHeight="1">
      <c r="J998" s="15"/>
      <c r="K998" s="188"/>
      <c r="L998" s="15"/>
      <c r="M998" s="15"/>
      <c r="N998" s="15"/>
      <c r="O998" s="15"/>
      <c r="P998" s="15"/>
      <c r="Q998" s="15"/>
      <c r="R998" s="15"/>
      <c r="S998" s="15"/>
      <c r="T998" s="15"/>
      <c r="U998" s="15"/>
      <c r="V998" s="15"/>
      <c r="W998" s="15"/>
      <c r="X998" s="14"/>
      <c r="Y998" s="14"/>
      <c r="Z998" s="15"/>
      <c r="AA998" s="3"/>
      <c r="AB998" s="3"/>
      <c r="AC998" s="3"/>
      <c r="AD998" s="3"/>
      <c r="AE998" s="3"/>
      <c r="AF998" s="3"/>
    </row>
    <row r="999" ht="15.75" customHeight="1">
      <c r="J999" s="15"/>
      <c r="K999" s="188"/>
      <c r="L999" s="15"/>
      <c r="M999" s="15"/>
      <c r="N999" s="15"/>
      <c r="O999" s="15"/>
      <c r="P999" s="15"/>
      <c r="Q999" s="15"/>
      <c r="R999" s="15"/>
      <c r="S999" s="15"/>
      <c r="T999" s="15"/>
      <c r="U999" s="15"/>
      <c r="V999" s="15"/>
      <c r="W999" s="15"/>
      <c r="X999" s="14"/>
      <c r="Y999" s="14"/>
      <c r="Z999" s="15"/>
      <c r="AA999" s="3"/>
      <c r="AB999" s="3"/>
      <c r="AC999" s="3"/>
      <c r="AD999" s="3"/>
      <c r="AE999" s="3"/>
      <c r="AF999" s="3"/>
    </row>
    <row r="1000" ht="15.75" customHeight="1">
      <c r="J1000" s="15"/>
      <c r="K1000" s="188"/>
      <c r="L1000" s="15"/>
      <c r="M1000" s="15"/>
      <c r="N1000" s="15"/>
      <c r="O1000" s="15"/>
      <c r="P1000" s="15"/>
      <c r="Q1000" s="15"/>
      <c r="R1000" s="15"/>
      <c r="S1000" s="15"/>
      <c r="T1000" s="15"/>
      <c r="U1000" s="15"/>
      <c r="V1000" s="15"/>
      <c r="W1000" s="15"/>
      <c r="X1000" s="14"/>
      <c r="Y1000" s="14"/>
      <c r="Z1000" s="15"/>
      <c r="AA1000" s="3"/>
      <c r="AB1000" s="3"/>
      <c r="AC1000" s="3"/>
      <c r="AD1000" s="3"/>
      <c r="AE1000" s="3"/>
      <c r="AF1000" s="3"/>
    </row>
    <row r="1001" ht="15.75" customHeight="1">
      <c r="J1001" s="15"/>
      <c r="K1001" s="188"/>
      <c r="L1001" s="15"/>
      <c r="M1001" s="15"/>
      <c r="N1001" s="15"/>
      <c r="O1001" s="15"/>
      <c r="P1001" s="15"/>
      <c r="Q1001" s="15"/>
      <c r="R1001" s="15"/>
      <c r="S1001" s="15"/>
      <c r="T1001" s="15"/>
      <c r="U1001" s="15"/>
      <c r="V1001" s="15"/>
      <c r="W1001" s="15"/>
      <c r="X1001" s="14"/>
      <c r="Y1001" s="14"/>
      <c r="Z1001" s="15"/>
      <c r="AA1001" s="3"/>
      <c r="AB1001" s="3"/>
      <c r="AC1001" s="3"/>
      <c r="AD1001" s="3"/>
      <c r="AE1001" s="3"/>
      <c r="AF1001" s="3"/>
    </row>
    <row r="1002" ht="15.75" customHeight="1">
      <c r="J1002" s="15"/>
      <c r="K1002" s="188"/>
      <c r="L1002" s="15"/>
      <c r="M1002" s="15"/>
      <c r="N1002" s="15"/>
      <c r="O1002" s="15"/>
      <c r="P1002" s="15"/>
      <c r="Q1002" s="15"/>
      <c r="R1002" s="15"/>
      <c r="S1002" s="15"/>
      <c r="T1002" s="15"/>
      <c r="U1002" s="15"/>
      <c r="V1002" s="15"/>
      <c r="W1002" s="15"/>
      <c r="X1002" s="14"/>
      <c r="Y1002" s="14"/>
      <c r="Z1002" s="15"/>
      <c r="AA1002" s="3"/>
      <c r="AB1002" s="3"/>
      <c r="AC1002" s="3"/>
      <c r="AD1002" s="3"/>
      <c r="AE1002" s="3"/>
      <c r="AF1002" s="3"/>
    </row>
    <row r="1003" ht="15.75" customHeight="1">
      <c r="J1003" s="15"/>
      <c r="K1003" s="188"/>
      <c r="L1003" s="15"/>
      <c r="M1003" s="15"/>
      <c r="N1003" s="15"/>
      <c r="O1003" s="15"/>
      <c r="P1003" s="15"/>
      <c r="Q1003" s="15"/>
      <c r="R1003" s="15"/>
      <c r="S1003" s="15"/>
      <c r="T1003" s="15"/>
      <c r="U1003" s="15"/>
      <c r="V1003" s="15"/>
      <c r="W1003" s="15"/>
      <c r="X1003" s="14"/>
      <c r="Y1003" s="14"/>
      <c r="Z1003" s="15"/>
      <c r="AA1003" s="3"/>
      <c r="AB1003" s="3"/>
      <c r="AC1003" s="3"/>
      <c r="AD1003" s="3"/>
      <c r="AE1003" s="3"/>
      <c r="AF1003" s="3"/>
    </row>
    <row r="1004" ht="15.75" customHeight="1">
      <c r="J1004" s="15"/>
      <c r="K1004" s="188"/>
      <c r="L1004" s="15"/>
      <c r="M1004" s="15"/>
      <c r="N1004" s="15"/>
      <c r="O1004" s="15"/>
      <c r="P1004" s="15"/>
      <c r="Q1004" s="15"/>
      <c r="R1004" s="15"/>
      <c r="S1004" s="15"/>
      <c r="T1004" s="15"/>
      <c r="U1004" s="15"/>
      <c r="V1004" s="15"/>
      <c r="W1004" s="15"/>
      <c r="X1004" s="14"/>
      <c r="Y1004" s="14"/>
      <c r="Z1004" s="15"/>
      <c r="AA1004" s="3"/>
      <c r="AB1004" s="3"/>
      <c r="AC1004" s="3"/>
      <c r="AD1004" s="3"/>
      <c r="AE1004" s="3"/>
      <c r="AF1004" s="3"/>
    </row>
    <row r="1005" ht="15.75" customHeight="1">
      <c r="J1005" s="15"/>
      <c r="K1005" s="188"/>
      <c r="L1005" s="15"/>
      <c r="M1005" s="15"/>
      <c r="N1005" s="15"/>
      <c r="O1005" s="15"/>
      <c r="P1005" s="15"/>
      <c r="Q1005" s="15"/>
      <c r="R1005" s="15"/>
      <c r="S1005" s="15"/>
      <c r="T1005" s="15"/>
      <c r="U1005" s="15"/>
      <c r="V1005" s="15"/>
      <c r="W1005" s="15"/>
      <c r="X1005" s="14"/>
      <c r="Y1005" s="14"/>
      <c r="Z1005" s="15"/>
      <c r="AA1005" s="3"/>
      <c r="AB1005" s="3"/>
      <c r="AC1005" s="3"/>
      <c r="AD1005" s="3"/>
      <c r="AE1005" s="3"/>
      <c r="AF1005" s="3"/>
    </row>
    <row r="1006" ht="15.75" customHeight="1">
      <c r="J1006" s="15"/>
      <c r="K1006" s="188"/>
      <c r="L1006" s="15"/>
      <c r="M1006" s="15"/>
      <c r="N1006" s="15"/>
      <c r="O1006" s="15"/>
      <c r="P1006" s="15"/>
      <c r="Q1006" s="15"/>
      <c r="R1006" s="15"/>
      <c r="S1006" s="15"/>
      <c r="T1006" s="15"/>
      <c r="U1006" s="15"/>
      <c r="V1006" s="15"/>
      <c r="W1006" s="15"/>
      <c r="X1006" s="14"/>
      <c r="Y1006" s="14"/>
      <c r="Z1006" s="15"/>
      <c r="AA1006" s="3"/>
      <c r="AB1006" s="3"/>
      <c r="AC1006" s="3"/>
      <c r="AD1006" s="3"/>
      <c r="AE1006" s="3"/>
      <c r="AF1006" s="3"/>
    </row>
    <row r="1007" ht="15.75" customHeight="1">
      <c r="J1007" s="15"/>
      <c r="K1007" s="188"/>
      <c r="L1007" s="15"/>
      <c r="M1007" s="15"/>
      <c r="N1007" s="15"/>
      <c r="O1007" s="15"/>
      <c r="P1007" s="15"/>
      <c r="Q1007" s="15"/>
      <c r="R1007" s="15"/>
      <c r="S1007" s="15"/>
      <c r="T1007" s="15"/>
      <c r="U1007" s="15"/>
      <c r="V1007" s="15"/>
      <c r="W1007" s="15"/>
      <c r="X1007" s="14"/>
      <c r="Y1007" s="14"/>
      <c r="Z1007" s="15"/>
      <c r="AA1007" s="3"/>
      <c r="AB1007" s="3"/>
      <c r="AC1007" s="3"/>
      <c r="AD1007" s="3"/>
      <c r="AE1007" s="3"/>
      <c r="AF1007" s="3"/>
    </row>
    <row r="1008" ht="15.75" customHeight="1">
      <c r="J1008" s="15"/>
      <c r="K1008" s="188"/>
      <c r="L1008" s="15"/>
      <c r="M1008" s="15"/>
      <c r="N1008" s="15"/>
      <c r="O1008" s="15"/>
      <c r="P1008" s="15"/>
      <c r="Q1008" s="15"/>
      <c r="R1008" s="15"/>
      <c r="S1008" s="15"/>
      <c r="T1008" s="15"/>
      <c r="U1008" s="15"/>
      <c r="V1008" s="15"/>
      <c r="W1008" s="15"/>
      <c r="X1008" s="14"/>
      <c r="Y1008" s="14"/>
      <c r="Z1008" s="15"/>
      <c r="AA1008" s="3"/>
      <c r="AB1008" s="3"/>
      <c r="AC1008" s="3"/>
      <c r="AD1008" s="3"/>
      <c r="AE1008" s="3"/>
      <c r="AF1008" s="3"/>
    </row>
    <row r="1009" ht="15.75" customHeight="1">
      <c r="J1009" s="15"/>
      <c r="K1009" s="188"/>
      <c r="L1009" s="15"/>
      <c r="M1009" s="15"/>
      <c r="N1009" s="15"/>
      <c r="O1009" s="15"/>
      <c r="P1009" s="15"/>
      <c r="Q1009" s="15"/>
      <c r="R1009" s="15"/>
      <c r="S1009" s="15"/>
      <c r="T1009" s="15"/>
      <c r="U1009" s="15"/>
      <c r="V1009" s="15"/>
      <c r="W1009" s="15"/>
      <c r="X1009" s="14"/>
      <c r="Y1009" s="14"/>
      <c r="Z1009" s="15"/>
      <c r="AA1009" s="3"/>
      <c r="AB1009" s="3"/>
      <c r="AC1009" s="3"/>
      <c r="AD1009" s="3"/>
      <c r="AE1009" s="3"/>
      <c r="AF1009" s="3"/>
    </row>
    <row r="1010" ht="15.75" customHeight="1">
      <c r="J1010" s="15"/>
      <c r="K1010" s="188"/>
      <c r="L1010" s="15"/>
      <c r="M1010" s="15"/>
      <c r="N1010" s="15"/>
      <c r="O1010" s="15"/>
      <c r="P1010" s="15"/>
      <c r="Q1010" s="15"/>
      <c r="R1010" s="15"/>
      <c r="S1010" s="15"/>
      <c r="T1010" s="15"/>
      <c r="U1010" s="15"/>
      <c r="V1010" s="15"/>
      <c r="W1010" s="15"/>
      <c r="X1010" s="14"/>
      <c r="Y1010" s="14"/>
      <c r="Z1010" s="15"/>
      <c r="AA1010" s="3"/>
      <c r="AB1010" s="3"/>
      <c r="AC1010" s="3"/>
      <c r="AD1010" s="3"/>
      <c r="AE1010" s="3"/>
      <c r="AF1010" s="3"/>
    </row>
    <row r="1011" ht="15.75" customHeight="1">
      <c r="J1011" s="15"/>
      <c r="K1011" s="188"/>
      <c r="L1011" s="15"/>
      <c r="M1011" s="15"/>
      <c r="N1011" s="15"/>
      <c r="O1011" s="15"/>
      <c r="P1011" s="15"/>
      <c r="Q1011" s="15"/>
      <c r="R1011" s="15"/>
      <c r="S1011" s="15"/>
      <c r="T1011" s="15"/>
      <c r="U1011" s="15"/>
      <c r="V1011" s="15"/>
      <c r="W1011" s="15"/>
      <c r="X1011" s="14"/>
      <c r="Y1011" s="14"/>
      <c r="Z1011" s="15"/>
      <c r="AA1011" s="3"/>
      <c r="AB1011" s="3"/>
      <c r="AC1011" s="3"/>
      <c r="AD1011" s="3"/>
      <c r="AE1011" s="3"/>
      <c r="AF1011" s="3"/>
    </row>
    <row r="1012" ht="15.75" customHeight="1">
      <c r="J1012" s="15"/>
      <c r="K1012" s="188"/>
      <c r="L1012" s="15"/>
      <c r="M1012" s="15"/>
      <c r="N1012" s="15"/>
      <c r="O1012" s="15"/>
      <c r="P1012" s="15"/>
      <c r="Q1012" s="15"/>
      <c r="R1012" s="15"/>
      <c r="S1012" s="15"/>
      <c r="T1012" s="15"/>
      <c r="U1012" s="15"/>
      <c r="V1012" s="15"/>
      <c r="W1012" s="15"/>
      <c r="X1012" s="14"/>
      <c r="Y1012" s="14"/>
      <c r="Z1012" s="15"/>
      <c r="AA1012" s="3"/>
      <c r="AB1012" s="3"/>
      <c r="AC1012" s="3"/>
      <c r="AD1012" s="3"/>
      <c r="AE1012" s="3"/>
      <c r="AF1012" s="3"/>
    </row>
    <row r="1013" ht="15.75" customHeight="1">
      <c r="J1013" s="15"/>
      <c r="K1013" s="188"/>
      <c r="L1013" s="15"/>
      <c r="M1013" s="15"/>
      <c r="N1013" s="15"/>
      <c r="O1013" s="15"/>
      <c r="P1013" s="15"/>
      <c r="Q1013" s="15"/>
      <c r="R1013" s="15"/>
      <c r="S1013" s="15"/>
      <c r="T1013" s="15"/>
      <c r="U1013" s="15"/>
      <c r="V1013" s="15"/>
      <c r="W1013" s="15"/>
      <c r="X1013" s="14"/>
      <c r="Y1013" s="14"/>
      <c r="Z1013" s="15"/>
      <c r="AA1013" s="3"/>
      <c r="AB1013" s="3"/>
      <c r="AC1013" s="3"/>
      <c r="AD1013" s="3"/>
      <c r="AE1013" s="3"/>
      <c r="AF1013" s="3"/>
    </row>
    <row r="1014" ht="15.75" customHeight="1">
      <c r="J1014" s="15"/>
      <c r="K1014" s="188"/>
      <c r="L1014" s="15"/>
      <c r="M1014" s="15"/>
      <c r="N1014" s="15"/>
      <c r="O1014" s="15"/>
      <c r="P1014" s="15"/>
      <c r="Q1014" s="15"/>
      <c r="R1014" s="15"/>
      <c r="S1014" s="15"/>
      <c r="T1014" s="15"/>
      <c r="U1014" s="15"/>
      <c r="V1014" s="15"/>
      <c r="W1014" s="15"/>
      <c r="X1014" s="14"/>
      <c r="Y1014" s="14"/>
      <c r="Z1014" s="15"/>
      <c r="AA1014" s="3"/>
      <c r="AB1014" s="3"/>
      <c r="AC1014" s="3"/>
      <c r="AD1014" s="3"/>
      <c r="AE1014" s="3"/>
      <c r="AF1014" s="3"/>
    </row>
    <row r="1015" ht="15.75" customHeight="1">
      <c r="J1015" s="15"/>
      <c r="K1015" s="188"/>
      <c r="L1015" s="15"/>
      <c r="M1015" s="15"/>
      <c r="N1015" s="15"/>
      <c r="O1015" s="15"/>
      <c r="P1015" s="15"/>
      <c r="Q1015" s="15"/>
      <c r="R1015" s="15"/>
      <c r="S1015" s="15"/>
      <c r="T1015" s="15"/>
      <c r="U1015" s="15"/>
      <c r="V1015" s="15"/>
      <c r="W1015" s="15"/>
      <c r="X1015" s="14"/>
      <c r="Y1015" s="14"/>
      <c r="Z1015" s="15"/>
      <c r="AA1015" s="3"/>
      <c r="AB1015" s="3"/>
      <c r="AC1015" s="3"/>
      <c r="AD1015" s="3"/>
      <c r="AE1015" s="3"/>
      <c r="AF1015" s="3"/>
    </row>
    <row r="1016" ht="15.75" customHeight="1">
      <c r="J1016" s="15"/>
      <c r="K1016" s="188"/>
      <c r="L1016" s="15"/>
      <c r="M1016" s="15"/>
      <c r="N1016" s="15"/>
      <c r="O1016" s="15"/>
      <c r="P1016" s="15"/>
      <c r="Q1016" s="15"/>
      <c r="R1016" s="15"/>
      <c r="S1016" s="15"/>
      <c r="T1016" s="15"/>
      <c r="U1016" s="15"/>
      <c r="V1016" s="15"/>
      <c r="W1016" s="15"/>
      <c r="X1016" s="14"/>
      <c r="Y1016" s="14"/>
      <c r="Z1016" s="15"/>
      <c r="AA1016" s="3"/>
      <c r="AB1016" s="3"/>
      <c r="AC1016" s="3"/>
      <c r="AD1016" s="3"/>
      <c r="AE1016" s="3"/>
      <c r="AF1016" s="3"/>
    </row>
    <row r="1017" ht="15.75" customHeight="1">
      <c r="J1017" s="15"/>
      <c r="K1017" s="188"/>
      <c r="L1017" s="15"/>
      <c r="M1017" s="15"/>
      <c r="N1017" s="15"/>
      <c r="O1017" s="15"/>
      <c r="P1017" s="15"/>
      <c r="Q1017" s="15"/>
      <c r="R1017" s="15"/>
      <c r="S1017" s="15"/>
      <c r="T1017" s="15"/>
      <c r="U1017" s="15"/>
      <c r="V1017" s="15"/>
      <c r="W1017" s="15"/>
      <c r="X1017" s="14"/>
      <c r="Y1017" s="14"/>
      <c r="Z1017" s="15"/>
      <c r="AA1017" s="3"/>
      <c r="AB1017" s="3"/>
      <c r="AC1017" s="3"/>
      <c r="AD1017" s="3"/>
      <c r="AE1017" s="3"/>
      <c r="AF1017" s="3"/>
    </row>
    <row r="1018" ht="15.75" customHeight="1">
      <c r="J1018" s="15"/>
      <c r="K1018" s="188"/>
      <c r="L1018" s="15"/>
      <c r="M1018" s="15"/>
      <c r="N1018" s="15"/>
      <c r="O1018" s="15"/>
      <c r="P1018" s="15"/>
      <c r="Q1018" s="15"/>
      <c r="R1018" s="15"/>
      <c r="S1018" s="15"/>
      <c r="T1018" s="15"/>
      <c r="U1018" s="15"/>
      <c r="V1018" s="15"/>
      <c r="W1018" s="15"/>
      <c r="X1018" s="14"/>
      <c r="Y1018" s="14"/>
      <c r="Z1018" s="15"/>
      <c r="AA1018" s="3"/>
      <c r="AB1018" s="3"/>
      <c r="AC1018" s="3"/>
      <c r="AD1018" s="3"/>
      <c r="AE1018" s="3"/>
      <c r="AF1018" s="3"/>
    </row>
    <row r="1019" ht="15.75" customHeight="1">
      <c r="J1019" s="15"/>
      <c r="K1019" s="188"/>
      <c r="L1019" s="15"/>
      <c r="M1019" s="15"/>
      <c r="N1019" s="15"/>
      <c r="O1019" s="15"/>
      <c r="P1019" s="15"/>
      <c r="Q1019" s="15"/>
      <c r="R1019" s="15"/>
      <c r="S1019" s="15"/>
      <c r="T1019" s="15"/>
      <c r="U1019" s="15"/>
      <c r="V1019" s="15"/>
      <c r="W1019" s="15"/>
      <c r="X1019" s="14"/>
      <c r="Y1019" s="14"/>
      <c r="Z1019" s="15"/>
      <c r="AA1019" s="3"/>
      <c r="AB1019" s="3"/>
      <c r="AC1019" s="3"/>
      <c r="AD1019" s="3"/>
      <c r="AE1019" s="3"/>
      <c r="AF1019" s="3"/>
    </row>
    <row r="1020" ht="15.75" customHeight="1">
      <c r="J1020" s="15"/>
      <c r="K1020" s="188"/>
      <c r="L1020" s="15"/>
      <c r="M1020" s="15"/>
      <c r="N1020" s="15"/>
      <c r="O1020" s="15"/>
      <c r="P1020" s="15"/>
      <c r="Q1020" s="15"/>
      <c r="R1020" s="15"/>
      <c r="S1020" s="15"/>
      <c r="T1020" s="15"/>
      <c r="U1020" s="15"/>
      <c r="V1020" s="15"/>
      <c r="W1020" s="15"/>
      <c r="X1020" s="14"/>
      <c r="Y1020" s="14"/>
      <c r="Z1020" s="15"/>
      <c r="AA1020" s="3"/>
      <c r="AB1020" s="3"/>
      <c r="AC1020" s="3"/>
      <c r="AD1020" s="3"/>
      <c r="AE1020" s="3"/>
      <c r="AF1020" s="3"/>
    </row>
    <row r="1021" ht="15.75" customHeight="1">
      <c r="J1021" s="15"/>
      <c r="K1021" s="188"/>
      <c r="L1021" s="15"/>
      <c r="M1021" s="15"/>
      <c r="N1021" s="15"/>
      <c r="O1021" s="15"/>
      <c r="P1021" s="15"/>
      <c r="Q1021" s="15"/>
      <c r="R1021" s="15"/>
      <c r="S1021" s="15"/>
      <c r="T1021" s="15"/>
      <c r="U1021" s="15"/>
      <c r="V1021" s="15"/>
      <c r="W1021" s="15"/>
      <c r="X1021" s="14"/>
      <c r="Y1021" s="14"/>
      <c r="Z1021" s="15"/>
      <c r="AA1021" s="3"/>
      <c r="AB1021" s="3"/>
      <c r="AC1021" s="3"/>
      <c r="AD1021" s="3"/>
      <c r="AE1021" s="3"/>
      <c r="AF1021" s="3"/>
    </row>
    <row r="1022" ht="15.75" customHeight="1">
      <c r="J1022" s="15"/>
      <c r="K1022" s="188"/>
      <c r="L1022" s="15"/>
      <c r="M1022" s="15"/>
      <c r="N1022" s="15"/>
      <c r="O1022" s="15"/>
      <c r="P1022" s="15"/>
      <c r="Q1022" s="15"/>
      <c r="R1022" s="15"/>
      <c r="S1022" s="15"/>
      <c r="T1022" s="15"/>
      <c r="U1022" s="15"/>
      <c r="V1022" s="15"/>
      <c r="W1022" s="15"/>
      <c r="X1022" s="14"/>
      <c r="Y1022" s="14"/>
      <c r="Z1022" s="15"/>
      <c r="AA1022" s="3"/>
      <c r="AB1022" s="3"/>
      <c r="AC1022" s="3"/>
      <c r="AD1022" s="3"/>
      <c r="AE1022" s="3"/>
      <c r="AF1022" s="3"/>
    </row>
    <row r="1023" ht="15.75" customHeight="1">
      <c r="J1023" s="15"/>
      <c r="K1023" s="188"/>
      <c r="L1023" s="15"/>
      <c r="M1023" s="15"/>
      <c r="N1023" s="15"/>
      <c r="O1023" s="15"/>
      <c r="P1023" s="15"/>
      <c r="Q1023" s="15"/>
      <c r="R1023" s="15"/>
      <c r="S1023" s="15"/>
      <c r="T1023" s="15"/>
      <c r="U1023" s="15"/>
      <c r="V1023" s="15"/>
      <c r="W1023" s="15"/>
      <c r="X1023" s="14"/>
      <c r="Y1023" s="14"/>
      <c r="Z1023" s="15"/>
      <c r="AA1023" s="3"/>
      <c r="AB1023" s="3"/>
      <c r="AC1023" s="3"/>
      <c r="AD1023" s="3"/>
      <c r="AE1023" s="3"/>
      <c r="AF1023" s="3"/>
    </row>
    <row r="1024" ht="15.75" customHeight="1">
      <c r="J1024" s="15"/>
      <c r="K1024" s="188"/>
      <c r="L1024" s="15"/>
      <c r="M1024" s="15"/>
      <c r="N1024" s="15"/>
      <c r="O1024" s="15"/>
      <c r="P1024" s="15"/>
      <c r="Q1024" s="15"/>
      <c r="R1024" s="15"/>
      <c r="S1024" s="15"/>
      <c r="T1024" s="15"/>
      <c r="U1024" s="15"/>
      <c r="V1024" s="15"/>
      <c r="W1024" s="15"/>
      <c r="X1024" s="14"/>
      <c r="Y1024" s="14"/>
      <c r="Z1024" s="15"/>
      <c r="AA1024" s="3"/>
      <c r="AB1024" s="3"/>
      <c r="AC1024" s="3"/>
      <c r="AD1024" s="3"/>
      <c r="AE1024" s="3"/>
      <c r="AF1024" s="3"/>
    </row>
    <row r="1025" ht="15.75" customHeight="1">
      <c r="J1025" s="15"/>
      <c r="K1025" s="188"/>
      <c r="L1025" s="15"/>
      <c r="M1025" s="15"/>
      <c r="N1025" s="15"/>
      <c r="O1025" s="15"/>
      <c r="P1025" s="15"/>
      <c r="Q1025" s="15"/>
      <c r="R1025" s="15"/>
      <c r="S1025" s="15"/>
      <c r="T1025" s="15"/>
      <c r="U1025" s="15"/>
      <c r="V1025" s="15"/>
      <c r="W1025" s="15"/>
      <c r="X1025" s="14"/>
      <c r="Y1025" s="14"/>
      <c r="Z1025" s="15"/>
      <c r="AA1025" s="3"/>
      <c r="AB1025" s="3"/>
      <c r="AC1025" s="3"/>
      <c r="AD1025" s="3"/>
      <c r="AE1025" s="3"/>
      <c r="AF1025" s="3"/>
    </row>
    <row r="1026" ht="15.75" customHeight="1">
      <c r="J1026" s="15"/>
      <c r="K1026" s="188"/>
      <c r="L1026" s="15"/>
      <c r="M1026" s="15"/>
      <c r="N1026" s="15"/>
      <c r="O1026" s="15"/>
      <c r="P1026" s="15"/>
      <c r="Q1026" s="15"/>
      <c r="R1026" s="15"/>
      <c r="S1026" s="15"/>
      <c r="T1026" s="15"/>
      <c r="U1026" s="15"/>
      <c r="V1026" s="15"/>
      <c r="W1026" s="15"/>
      <c r="X1026" s="14"/>
      <c r="Y1026" s="14"/>
      <c r="Z1026" s="15"/>
      <c r="AA1026" s="3"/>
      <c r="AB1026" s="3"/>
      <c r="AC1026" s="3"/>
      <c r="AD1026" s="3"/>
      <c r="AE1026" s="3"/>
      <c r="AF1026" s="3"/>
    </row>
    <row r="1027" ht="15.75" customHeight="1">
      <c r="J1027" s="15"/>
      <c r="K1027" s="188"/>
      <c r="L1027" s="15"/>
      <c r="M1027" s="15"/>
      <c r="N1027" s="15"/>
      <c r="O1027" s="15"/>
      <c r="P1027" s="15"/>
      <c r="Q1027" s="15"/>
      <c r="R1027" s="15"/>
      <c r="S1027" s="15"/>
      <c r="T1027" s="15"/>
      <c r="U1027" s="15"/>
      <c r="V1027" s="15"/>
      <c r="W1027" s="15"/>
      <c r="X1027" s="14"/>
      <c r="Y1027" s="14"/>
      <c r="Z1027" s="15"/>
      <c r="AA1027" s="3"/>
      <c r="AB1027" s="3"/>
      <c r="AC1027" s="3"/>
      <c r="AD1027" s="3"/>
      <c r="AE1027" s="3"/>
      <c r="AF1027" s="3"/>
    </row>
    <row r="1028" ht="15.75" customHeight="1">
      <c r="J1028" s="15"/>
      <c r="K1028" s="188"/>
      <c r="L1028" s="15"/>
      <c r="M1028" s="15"/>
      <c r="N1028" s="15"/>
      <c r="O1028" s="15"/>
      <c r="P1028" s="15"/>
      <c r="Q1028" s="15"/>
      <c r="R1028" s="15"/>
      <c r="S1028" s="15"/>
      <c r="T1028" s="15"/>
      <c r="U1028" s="15"/>
      <c r="V1028" s="15"/>
      <c r="W1028" s="15"/>
      <c r="X1028" s="14"/>
      <c r="Y1028" s="14"/>
      <c r="Z1028" s="15"/>
      <c r="AA1028" s="3"/>
      <c r="AB1028" s="3"/>
      <c r="AC1028" s="3"/>
      <c r="AD1028" s="3"/>
      <c r="AE1028" s="3"/>
      <c r="AF1028" s="3"/>
    </row>
    <row r="1029" ht="15.75" customHeight="1">
      <c r="J1029" s="15"/>
      <c r="K1029" s="188"/>
      <c r="L1029" s="15"/>
      <c r="M1029" s="15"/>
      <c r="N1029" s="15"/>
      <c r="O1029" s="15"/>
      <c r="P1029" s="15"/>
      <c r="Q1029" s="15"/>
      <c r="R1029" s="15"/>
      <c r="S1029" s="15"/>
      <c r="T1029" s="15"/>
      <c r="U1029" s="15"/>
      <c r="V1029" s="15"/>
      <c r="W1029" s="15"/>
      <c r="X1029" s="14"/>
      <c r="Y1029" s="14"/>
      <c r="Z1029" s="15"/>
      <c r="AA1029" s="3"/>
      <c r="AB1029" s="3"/>
      <c r="AC1029" s="3"/>
      <c r="AD1029" s="3"/>
      <c r="AE1029" s="3"/>
      <c r="AF1029" s="3"/>
    </row>
    <row r="1030" ht="15.75" customHeight="1">
      <c r="J1030" s="15"/>
      <c r="K1030" s="188"/>
      <c r="L1030" s="15"/>
      <c r="M1030" s="15"/>
      <c r="N1030" s="15"/>
      <c r="O1030" s="15"/>
      <c r="P1030" s="15"/>
      <c r="Q1030" s="15"/>
      <c r="R1030" s="15"/>
      <c r="S1030" s="15"/>
      <c r="T1030" s="15"/>
      <c r="U1030" s="15"/>
      <c r="V1030" s="15"/>
      <c r="W1030" s="15"/>
      <c r="X1030" s="14"/>
      <c r="Y1030" s="14"/>
      <c r="Z1030" s="15"/>
      <c r="AA1030" s="3"/>
      <c r="AB1030" s="3"/>
      <c r="AC1030" s="3"/>
      <c r="AD1030" s="3"/>
      <c r="AE1030" s="3"/>
      <c r="AF1030" s="3"/>
    </row>
    <row r="1031" ht="15.75" customHeight="1">
      <c r="J1031" s="15"/>
      <c r="K1031" s="188"/>
      <c r="L1031" s="15"/>
      <c r="M1031" s="15"/>
      <c r="N1031" s="15"/>
      <c r="O1031" s="15"/>
      <c r="P1031" s="15"/>
      <c r="Q1031" s="15"/>
      <c r="R1031" s="15"/>
      <c r="S1031" s="15"/>
      <c r="T1031" s="15"/>
      <c r="U1031" s="15"/>
      <c r="V1031" s="15"/>
      <c r="W1031" s="15"/>
      <c r="X1031" s="14"/>
      <c r="Y1031" s="14"/>
      <c r="Z1031" s="15"/>
      <c r="AA1031" s="3"/>
      <c r="AB1031" s="3"/>
      <c r="AC1031" s="3"/>
      <c r="AD1031" s="3"/>
      <c r="AE1031" s="3"/>
      <c r="AF1031" s="3"/>
    </row>
    <row r="1032" ht="15.75" customHeight="1">
      <c r="J1032" s="15"/>
      <c r="K1032" s="188"/>
      <c r="L1032" s="15"/>
      <c r="M1032" s="15"/>
      <c r="N1032" s="15"/>
      <c r="O1032" s="15"/>
      <c r="P1032" s="15"/>
      <c r="Q1032" s="15"/>
      <c r="R1032" s="15"/>
      <c r="S1032" s="15"/>
      <c r="T1032" s="15"/>
      <c r="U1032" s="15"/>
      <c r="V1032" s="15"/>
      <c r="W1032" s="15"/>
      <c r="X1032" s="14"/>
      <c r="Y1032" s="14"/>
      <c r="Z1032" s="15"/>
      <c r="AA1032" s="3"/>
      <c r="AB1032" s="3"/>
      <c r="AC1032" s="3"/>
      <c r="AD1032" s="3"/>
      <c r="AE1032" s="3"/>
      <c r="AF1032" s="3"/>
    </row>
    <row r="1033" ht="15.75" customHeight="1">
      <c r="J1033" s="15"/>
      <c r="K1033" s="188"/>
      <c r="L1033" s="15"/>
      <c r="M1033" s="15"/>
      <c r="N1033" s="15"/>
      <c r="O1033" s="15"/>
      <c r="P1033" s="15"/>
      <c r="Q1033" s="15"/>
      <c r="R1033" s="15"/>
      <c r="S1033" s="15"/>
      <c r="T1033" s="15"/>
      <c r="U1033" s="15"/>
      <c r="V1033" s="15"/>
      <c r="W1033" s="15"/>
      <c r="X1033" s="14"/>
      <c r="Y1033" s="14"/>
      <c r="Z1033" s="15"/>
      <c r="AA1033" s="3"/>
      <c r="AB1033" s="3"/>
      <c r="AC1033" s="3"/>
      <c r="AD1033" s="3"/>
      <c r="AE1033" s="3"/>
      <c r="AF1033" s="3"/>
    </row>
    <row r="1034" ht="15.75" customHeight="1">
      <c r="J1034" s="15"/>
      <c r="K1034" s="188"/>
      <c r="L1034" s="15"/>
      <c r="M1034" s="15"/>
      <c r="N1034" s="15"/>
      <c r="O1034" s="15"/>
      <c r="P1034" s="15"/>
      <c r="Q1034" s="15"/>
      <c r="R1034" s="15"/>
      <c r="S1034" s="15"/>
      <c r="T1034" s="15"/>
      <c r="U1034" s="15"/>
      <c r="V1034" s="15"/>
      <c r="W1034" s="15"/>
      <c r="X1034" s="14"/>
      <c r="Y1034" s="14"/>
      <c r="Z1034" s="15"/>
      <c r="AA1034" s="3"/>
      <c r="AB1034" s="3"/>
      <c r="AC1034" s="3"/>
      <c r="AD1034" s="3"/>
      <c r="AE1034" s="3"/>
      <c r="AF1034" s="3"/>
    </row>
    <row r="1035" ht="15.75" customHeight="1">
      <c r="J1035" s="15"/>
      <c r="K1035" s="188"/>
      <c r="L1035" s="15"/>
      <c r="M1035" s="15"/>
      <c r="N1035" s="15"/>
      <c r="O1035" s="15"/>
      <c r="P1035" s="15"/>
      <c r="Q1035" s="15"/>
      <c r="R1035" s="15"/>
      <c r="S1035" s="15"/>
      <c r="T1035" s="15"/>
      <c r="U1035" s="15"/>
      <c r="V1035" s="15"/>
      <c r="W1035" s="15"/>
      <c r="X1035" s="14"/>
      <c r="Y1035" s="14"/>
      <c r="Z1035" s="15"/>
      <c r="AA1035" s="3"/>
      <c r="AB1035" s="3"/>
      <c r="AC1035" s="3"/>
      <c r="AD1035" s="3"/>
      <c r="AE1035" s="3"/>
      <c r="AF1035" s="3"/>
    </row>
    <row r="1036" ht="15.75" customHeight="1">
      <c r="J1036" s="15"/>
      <c r="K1036" s="188"/>
      <c r="L1036" s="15"/>
      <c r="M1036" s="15"/>
      <c r="N1036" s="15"/>
      <c r="O1036" s="15"/>
      <c r="P1036" s="15"/>
      <c r="Q1036" s="15"/>
      <c r="R1036" s="15"/>
      <c r="S1036" s="15"/>
      <c r="T1036" s="15"/>
      <c r="U1036" s="15"/>
      <c r="V1036" s="15"/>
      <c r="W1036" s="15"/>
      <c r="X1036" s="14"/>
      <c r="Y1036" s="14"/>
      <c r="Z1036" s="15"/>
      <c r="AA1036" s="3"/>
      <c r="AB1036" s="3"/>
      <c r="AC1036" s="3"/>
      <c r="AD1036" s="3"/>
      <c r="AE1036" s="3"/>
      <c r="AF1036" s="3"/>
    </row>
    <row r="1037" ht="15.75" customHeight="1">
      <c r="J1037" s="15"/>
      <c r="K1037" s="188"/>
      <c r="L1037" s="15"/>
      <c r="M1037" s="15"/>
      <c r="N1037" s="15"/>
      <c r="O1037" s="15"/>
      <c r="P1037" s="15"/>
      <c r="Q1037" s="15"/>
      <c r="R1037" s="15"/>
      <c r="S1037" s="15"/>
      <c r="T1037" s="15"/>
      <c r="U1037" s="15"/>
      <c r="V1037" s="15"/>
      <c r="W1037" s="15"/>
      <c r="X1037" s="14"/>
      <c r="Y1037" s="14"/>
      <c r="Z1037" s="15"/>
      <c r="AA1037" s="3"/>
      <c r="AB1037" s="3"/>
      <c r="AC1037" s="3"/>
      <c r="AD1037" s="3"/>
      <c r="AE1037" s="3"/>
      <c r="AF1037" s="3"/>
    </row>
    <row r="1038" ht="15.75" customHeight="1">
      <c r="J1038" s="15"/>
      <c r="K1038" s="188"/>
      <c r="L1038" s="15"/>
      <c r="M1038" s="15"/>
      <c r="N1038" s="15"/>
      <c r="O1038" s="15"/>
      <c r="P1038" s="15"/>
      <c r="Q1038" s="15"/>
      <c r="R1038" s="15"/>
      <c r="S1038" s="15"/>
      <c r="T1038" s="15"/>
      <c r="U1038" s="15"/>
      <c r="V1038" s="15"/>
      <c r="W1038" s="15"/>
      <c r="X1038" s="14"/>
      <c r="Y1038" s="14"/>
      <c r="Z1038" s="15"/>
      <c r="AA1038" s="3"/>
      <c r="AB1038" s="3"/>
      <c r="AC1038" s="3"/>
      <c r="AD1038" s="3"/>
      <c r="AE1038" s="3"/>
      <c r="AF1038" s="3"/>
    </row>
    <row r="1039" ht="15.75" customHeight="1">
      <c r="J1039" s="15"/>
      <c r="K1039" s="188"/>
      <c r="L1039" s="15"/>
      <c r="M1039" s="15"/>
      <c r="N1039" s="15"/>
      <c r="O1039" s="15"/>
      <c r="P1039" s="15"/>
      <c r="Q1039" s="15"/>
      <c r="R1039" s="15"/>
      <c r="S1039" s="15"/>
      <c r="T1039" s="15"/>
      <c r="U1039" s="15"/>
      <c r="V1039" s="15"/>
      <c r="W1039" s="15"/>
      <c r="X1039" s="14"/>
      <c r="Y1039" s="14"/>
      <c r="Z1039" s="15"/>
      <c r="AA1039" s="3"/>
      <c r="AB1039" s="3"/>
      <c r="AC1039" s="3"/>
      <c r="AD1039" s="3"/>
      <c r="AE1039" s="3"/>
      <c r="AF1039" s="3"/>
    </row>
    <row r="1040" ht="15.75" customHeight="1">
      <c r="J1040" s="15"/>
      <c r="K1040" s="188"/>
      <c r="L1040" s="15"/>
      <c r="M1040" s="15"/>
      <c r="N1040" s="15"/>
      <c r="O1040" s="15"/>
      <c r="P1040" s="15"/>
      <c r="Q1040" s="15"/>
      <c r="R1040" s="15"/>
      <c r="S1040" s="15"/>
      <c r="T1040" s="15"/>
      <c r="U1040" s="15"/>
      <c r="V1040" s="15"/>
      <c r="W1040" s="15"/>
      <c r="X1040" s="14"/>
      <c r="Y1040" s="14"/>
      <c r="Z1040" s="15"/>
      <c r="AA1040" s="3"/>
      <c r="AB1040" s="3"/>
      <c r="AC1040" s="3"/>
      <c r="AD1040" s="3"/>
      <c r="AE1040" s="3"/>
      <c r="AF1040" s="3"/>
    </row>
    <row r="1041" ht="15.75" customHeight="1">
      <c r="J1041" s="15"/>
      <c r="K1041" s="188"/>
      <c r="L1041" s="15"/>
      <c r="M1041" s="15"/>
      <c r="N1041" s="15"/>
      <c r="O1041" s="15"/>
      <c r="P1041" s="15"/>
      <c r="Q1041" s="15"/>
      <c r="R1041" s="15"/>
      <c r="S1041" s="15"/>
      <c r="T1041" s="15"/>
      <c r="U1041" s="15"/>
      <c r="V1041" s="15"/>
      <c r="W1041" s="15"/>
      <c r="X1041" s="14"/>
      <c r="Y1041" s="14"/>
      <c r="Z1041" s="15"/>
      <c r="AA1041" s="3"/>
      <c r="AB1041" s="3"/>
      <c r="AC1041" s="3"/>
      <c r="AD1041" s="3"/>
      <c r="AE1041" s="3"/>
      <c r="AF1041" s="3"/>
    </row>
    <row r="1042" ht="15.75" customHeight="1">
      <c r="J1042" s="15"/>
      <c r="K1042" s="188"/>
      <c r="L1042" s="15"/>
      <c r="M1042" s="15"/>
      <c r="N1042" s="15"/>
      <c r="O1042" s="15"/>
      <c r="P1042" s="15"/>
      <c r="Q1042" s="15"/>
      <c r="R1042" s="15"/>
      <c r="S1042" s="15"/>
      <c r="T1042" s="15"/>
      <c r="U1042" s="15"/>
      <c r="V1042" s="15"/>
      <c r="W1042" s="15"/>
      <c r="X1042" s="14"/>
      <c r="Y1042" s="14"/>
      <c r="Z1042" s="15"/>
      <c r="AA1042" s="3"/>
      <c r="AB1042" s="3"/>
      <c r="AC1042" s="3"/>
      <c r="AD1042" s="3"/>
      <c r="AE1042" s="3"/>
      <c r="AF1042" s="3"/>
    </row>
    <row r="1043" ht="15.75" customHeight="1">
      <c r="J1043" s="15"/>
      <c r="K1043" s="188"/>
      <c r="L1043" s="15"/>
      <c r="M1043" s="15"/>
      <c r="N1043" s="15"/>
      <c r="O1043" s="15"/>
      <c r="P1043" s="15"/>
      <c r="Q1043" s="15"/>
      <c r="R1043" s="15"/>
      <c r="S1043" s="15"/>
      <c r="T1043" s="15"/>
      <c r="U1043" s="15"/>
      <c r="V1043" s="15"/>
      <c r="W1043" s="15"/>
      <c r="X1043" s="14"/>
      <c r="Y1043" s="14"/>
      <c r="Z1043" s="15"/>
      <c r="AA1043" s="3"/>
      <c r="AB1043" s="3"/>
      <c r="AC1043" s="3"/>
      <c r="AD1043" s="3"/>
      <c r="AE1043" s="3"/>
      <c r="AF1043" s="3"/>
    </row>
    <row r="1044" ht="15.75" customHeight="1">
      <c r="J1044" s="15"/>
      <c r="K1044" s="188"/>
      <c r="L1044" s="15"/>
      <c r="M1044" s="15"/>
      <c r="N1044" s="15"/>
      <c r="O1044" s="15"/>
      <c r="P1044" s="15"/>
      <c r="Q1044" s="15"/>
      <c r="R1044" s="15"/>
      <c r="S1044" s="15"/>
      <c r="T1044" s="15"/>
      <c r="U1044" s="15"/>
      <c r="V1044" s="15"/>
      <c r="W1044" s="15"/>
      <c r="X1044" s="14"/>
      <c r="Y1044" s="14"/>
      <c r="Z1044" s="15"/>
      <c r="AA1044" s="3"/>
      <c r="AB1044" s="3"/>
      <c r="AC1044" s="3"/>
      <c r="AD1044" s="3"/>
      <c r="AE1044" s="3"/>
      <c r="AF1044" s="3"/>
    </row>
    <row r="1045" ht="15.0" customHeight="1">
      <c r="J1045" s="15"/>
      <c r="K1045" s="188"/>
      <c r="L1045" s="15"/>
      <c r="M1045" s="15"/>
      <c r="N1045" s="15"/>
      <c r="O1045" s="15"/>
      <c r="P1045" s="15"/>
      <c r="Q1045" s="15"/>
      <c r="R1045" s="15"/>
      <c r="S1045" s="15"/>
      <c r="T1045" s="15"/>
      <c r="U1045" s="15"/>
      <c r="V1045" s="15"/>
      <c r="W1045" s="15"/>
      <c r="X1045" s="14"/>
      <c r="Y1045" s="14"/>
      <c r="Z1045" s="15"/>
    </row>
    <row r="1046" ht="15.0" customHeight="1">
      <c r="J1046" s="15"/>
      <c r="K1046" s="188"/>
      <c r="L1046" s="15"/>
      <c r="M1046" s="15"/>
      <c r="N1046" s="15"/>
      <c r="O1046" s="15"/>
      <c r="P1046" s="15"/>
      <c r="Q1046" s="15"/>
      <c r="R1046" s="15"/>
      <c r="S1046" s="15"/>
      <c r="T1046" s="15"/>
      <c r="U1046" s="15"/>
      <c r="V1046" s="15"/>
      <c r="W1046" s="15"/>
      <c r="X1046" s="14"/>
      <c r="Y1046" s="14"/>
      <c r="Z1046" s="15"/>
    </row>
    <row r="1047" ht="15.0" customHeight="1">
      <c r="J1047" s="15"/>
      <c r="K1047" s="188"/>
      <c r="L1047" s="15"/>
      <c r="M1047" s="15"/>
      <c r="N1047" s="15"/>
      <c r="O1047" s="15"/>
      <c r="P1047" s="15"/>
      <c r="Q1047" s="15"/>
      <c r="R1047" s="15"/>
      <c r="S1047" s="15"/>
      <c r="T1047" s="15"/>
      <c r="U1047" s="15"/>
      <c r="V1047" s="15"/>
      <c r="W1047" s="15"/>
      <c r="X1047" s="14"/>
      <c r="Y1047" s="14"/>
      <c r="Z1047" s="15"/>
    </row>
    <row r="1048" ht="15.0" customHeight="1">
      <c r="J1048" s="15"/>
      <c r="K1048" s="188"/>
      <c r="L1048" s="15"/>
      <c r="M1048" s="15"/>
      <c r="N1048" s="15"/>
      <c r="O1048" s="15"/>
      <c r="P1048" s="15"/>
      <c r="Q1048" s="15"/>
      <c r="R1048" s="15"/>
      <c r="S1048" s="15"/>
      <c r="T1048" s="15"/>
      <c r="U1048" s="15"/>
      <c r="V1048" s="15"/>
      <c r="W1048" s="15"/>
      <c r="X1048" s="14"/>
      <c r="Y1048" s="14"/>
      <c r="Z1048" s="15"/>
    </row>
    <row r="1049" ht="15.0" customHeight="1">
      <c r="J1049" s="15"/>
      <c r="K1049" s="188"/>
      <c r="L1049" s="15"/>
      <c r="M1049" s="15"/>
      <c r="N1049" s="15"/>
      <c r="O1049" s="15"/>
      <c r="P1049" s="15"/>
      <c r="Q1049" s="15"/>
      <c r="R1049" s="15"/>
      <c r="S1049" s="15"/>
      <c r="T1049" s="15"/>
      <c r="U1049" s="15"/>
      <c r="V1049" s="15"/>
      <c r="W1049" s="15"/>
      <c r="X1049" s="14"/>
      <c r="Y1049" s="14"/>
      <c r="Z1049" s="15"/>
    </row>
  </sheetData>
  <mergeCells count="1">
    <mergeCell ref="G1:I1"/>
  </mergeCells>
  <conditionalFormatting sqref="U4:U5">
    <cfRule type="expression" dxfId="0" priority="1">
      <formula>U4&lt;T4</formula>
    </cfRule>
  </conditionalFormatting>
  <conditionalFormatting sqref="U4:U5">
    <cfRule type="expression" dxfId="1" priority="2">
      <formula>U4&gt;=T4</formula>
    </cfRule>
  </conditionalFormatting>
  <conditionalFormatting sqref="Y4:Y5">
    <cfRule type="expression" dxfId="0" priority="3">
      <formula>Y4&lt;X4</formula>
    </cfRule>
  </conditionalFormatting>
  <conditionalFormatting sqref="Y4:Y5">
    <cfRule type="expression" dxfId="1" priority="4">
      <formula>Y4&gt;=X4</formula>
    </cfRule>
  </conditionalFormatting>
  <conditionalFormatting sqref="AC4:AC5">
    <cfRule type="expression" dxfId="0" priority="5">
      <formula>AC4&lt;AB4</formula>
    </cfRule>
  </conditionalFormatting>
  <conditionalFormatting sqref="AC4:AC5">
    <cfRule type="expression" dxfId="1" priority="6">
      <formula>AC4&gt;=AB4</formula>
    </cfRule>
  </conditionalFormatting>
  <conditionalFormatting sqref="AP4:AP5">
    <cfRule type="expression" dxfId="0" priority="7">
      <formula>AP4&lt;AO4</formula>
    </cfRule>
  </conditionalFormatting>
  <conditionalFormatting sqref="AP4:AP5">
    <cfRule type="expression" dxfId="1" priority="8">
      <formula>AP4&gt;=AO4</formula>
    </cfRule>
  </conditionalFormatting>
  <conditionalFormatting sqref="AT4:AT5">
    <cfRule type="expression" dxfId="0" priority="9">
      <formula>AT4&lt;AS4</formula>
    </cfRule>
  </conditionalFormatting>
  <conditionalFormatting sqref="AT4:AT5">
    <cfRule type="expression" dxfId="1" priority="10">
      <formula>AT4&gt;=AS4</formula>
    </cfRule>
  </conditionalFormatting>
  <conditionalFormatting sqref="AX4:AX5">
    <cfRule type="expression" dxfId="0" priority="11">
      <formula>AX4&lt;AW4</formula>
    </cfRule>
  </conditionalFormatting>
  <conditionalFormatting sqref="AX4:AX5">
    <cfRule type="expression" dxfId="1" priority="12">
      <formula>AX4&gt;=AW4</formula>
    </cfRule>
  </conditionalFormatting>
  <conditionalFormatting sqref="BB4:BB5">
    <cfRule type="expression" dxfId="0" priority="13">
      <formula>BB4&lt;BA4</formula>
    </cfRule>
  </conditionalFormatting>
  <conditionalFormatting sqref="BB4:BB5">
    <cfRule type="expression" dxfId="1" priority="14">
      <formula>BB4&gt;=BA4</formula>
    </cfRule>
  </conditionalFormatting>
  <conditionalFormatting sqref="BF4:BF5">
    <cfRule type="expression" dxfId="0" priority="15">
      <formula>BF4&lt;BE4</formula>
    </cfRule>
  </conditionalFormatting>
  <conditionalFormatting sqref="BF4:BF5">
    <cfRule type="expression" dxfId="1" priority="16">
      <formula>BF4&gt;=BE4</formula>
    </cfRule>
  </conditionalFormatting>
  <conditionalFormatting sqref="BJ4:BJ5">
    <cfRule type="expression" dxfId="0" priority="17">
      <formula>BJ4&lt;BI4</formula>
    </cfRule>
  </conditionalFormatting>
  <conditionalFormatting sqref="BJ4:BJ5">
    <cfRule type="expression" dxfId="1" priority="18">
      <formula>BJ4&gt;=BI4</formula>
    </cfRule>
  </conditionalFormatting>
  <conditionalFormatting sqref="AC12:AC13">
    <cfRule type="expression" dxfId="0" priority="19">
      <formula>AC12&lt;AB12</formula>
    </cfRule>
  </conditionalFormatting>
  <conditionalFormatting sqref="AC12:AC13">
    <cfRule type="expression" dxfId="1" priority="20">
      <formula>AC12&gt;=AB12</formula>
    </cfRule>
  </conditionalFormatting>
  <conditionalFormatting sqref="AG13:AK13">
    <cfRule type="expression" dxfId="0" priority="21">
      <formula>AG13&lt;AG12</formula>
    </cfRule>
  </conditionalFormatting>
  <conditionalFormatting sqref="AG13:AK13">
    <cfRule type="expression" dxfId="1" priority="22">
      <formula>AG13&gt;=AG12</formula>
    </cfRule>
  </conditionalFormatting>
  <conditionalFormatting sqref="AP12:AP13">
    <cfRule type="expression" dxfId="0" priority="23">
      <formula>AP12&lt;AO12</formula>
    </cfRule>
  </conditionalFormatting>
  <conditionalFormatting sqref="AP12:AP13">
    <cfRule type="expression" dxfId="1" priority="24">
      <formula>AP12&gt;=AO12</formula>
    </cfRule>
  </conditionalFormatting>
  <conditionalFormatting sqref="AT12:AT13">
    <cfRule type="expression" dxfId="0" priority="25">
      <formula>AT12&lt;AS12</formula>
    </cfRule>
  </conditionalFormatting>
  <conditionalFormatting sqref="AT12:AT13">
    <cfRule type="expression" dxfId="1" priority="26">
      <formula>AT12&gt;=AS12</formula>
    </cfRule>
  </conditionalFormatting>
  <conditionalFormatting sqref="AX12:AX13">
    <cfRule type="expression" dxfId="0" priority="27">
      <formula>AX12&lt;AW12</formula>
    </cfRule>
  </conditionalFormatting>
  <conditionalFormatting sqref="AX12:AX13">
    <cfRule type="expression" dxfId="1" priority="28">
      <formula>AX12&gt;=AW12</formula>
    </cfRule>
  </conditionalFormatting>
  <conditionalFormatting sqref="BB12:BB13">
    <cfRule type="expression" dxfId="0" priority="29">
      <formula>BB12&lt;BA12</formula>
    </cfRule>
  </conditionalFormatting>
  <conditionalFormatting sqref="BB12:BB13">
    <cfRule type="expression" dxfId="1" priority="30">
      <formula>BB12&gt;=BA12</formula>
    </cfRule>
  </conditionalFormatting>
  <conditionalFormatting sqref="BF12:BF13">
    <cfRule type="expression" dxfId="0" priority="31">
      <formula>BF12&lt;BE12</formula>
    </cfRule>
  </conditionalFormatting>
  <conditionalFormatting sqref="BF12:BF13">
    <cfRule type="expression" dxfId="1" priority="32">
      <formula>BF12&gt;=BE12</formula>
    </cfRule>
  </conditionalFormatting>
  <conditionalFormatting sqref="BJ12:BJ13">
    <cfRule type="expression" dxfId="0" priority="33">
      <formula>BJ12&lt;BI12</formula>
    </cfRule>
  </conditionalFormatting>
  <conditionalFormatting sqref="BJ12:BJ13">
    <cfRule type="expression" dxfId="1" priority="34">
      <formula>BJ12&gt;=BI12</formula>
    </cfRule>
  </conditionalFormatting>
  <conditionalFormatting sqref="BJ20:BJ21">
    <cfRule type="expression" dxfId="0" priority="35">
      <formula>BJ20&lt;BI20</formula>
    </cfRule>
  </conditionalFormatting>
  <conditionalFormatting sqref="BJ20:BJ21">
    <cfRule type="expression" dxfId="1" priority="36">
      <formula>BJ20&gt;=BI20</formula>
    </cfRule>
  </conditionalFormatting>
  <conditionalFormatting sqref="BF20:BF21">
    <cfRule type="expression" dxfId="0" priority="37">
      <formula>BF20&lt;BE20</formula>
    </cfRule>
  </conditionalFormatting>
  <conditionalFormatting sqref="BF20:BF21">
    <cfRule type="expression" dxfId="1" priority="38">
      <formula>BF20&gt;=BE20</formula>
    </cfRule>
  </conditionalFormatting>
  <conditionalFormatting sqref="BB20:BB21">
    <cfRule type="expression" dxfId="0" priority="39">
      <formula>BB20&lt;BA20</formula>
    </cfRule>
  </conditionalFormatting>
  <conditionalFormatting sqref="BB20:BB21">
    <cfRule type="expression" dxfId="1" priority="40">
      <formula>BB20&gt;=BA20</formula>
    </cfRule>
  </conditionalFormatting>
  <conditionalFormatting sqref="AX20:AX21">
    <cfRule type="expression" dxfId="0" priority="41">
      <formula>AX20&lt;AW20</formula>
    </cfRule>
  </conditionalFormatting>
  <conditionalFormatting sqref="AX20:AX21">
    <cfRule type="expression" dxfId="1" priority="42">
      <formula>AX20&gt;=AW20</formula>
    </cfRule>
  </conditionalFormatting>
  <conditionalFormatting sqref="AT20:AT21">
    <cfRule type="expression" dxfId="0" priority="43">
      <formula>AT20&lt;AS20</formula>
    </cfRule>
  </conditionalFormatting>
  <conditionalFormatting sqref="AT20:AT21">
    <cfRule type="expression" dxfId="1" priority="44">
      <formula>AT20&gt;=AS20</formula>
    </cfRule>
  </conditionalFormatting>
  <conditionalFormatting sqref="AP20:AP21">
    <cfRule type="expression" dxfId="0" priority="45">
      <formula>AP20&lt;AO20</formula>
    </cfRule>
  </conditionalFormatting>
  <conditionalFormatting sqref="AP20:AP21">
    <cfRule type="expression" dxfId="1" priority="46">
      <formula>AP20&gt;=AO20</formula>
    </cfRule>
  </conditionalFormatting>
  <conditionalFormatting sqref="AH21">
    <cfRule type="expression" dxfId="0" priority="47">
      <formula>AH21&lt;AH20</formula>
    </cfRule>
  </conditionalFormatting>
  <conditionalFormatting sqref="AH21">
    <cfRule type="expression" dxfId="1" priority="48">
      <formula>AH21&gt;=AH20</formula>
    </cfRule>
  </conditionalFormatting>
  <conditionalFormatting sqref="AC20:AC21">
    <cfRule type="expression" dxfId="0" priority="49">
      <formula>AC20&lt;AB20</formula>
    </cfRule>
  </conditionalFormatting>
  <conditionalFormatting sqref="AC20:AC21">
    <cfRule type="expression" dxfId="1" priority="50">
      <formula>AC20&gt;=AB20</formula>
    </cfRule>
  </conditionalFormatting>
  <conditionalFormatting sqref="U28:U29">
    <cfRule type="expression" dxfId="0" priority="51">
      <formula>U28&lt;T28</formula>
    </cfRule>
  </conditionalFormatting>
  <conditionalFormatting sqref="U28:U29">
    <cfRule type="expression" dxfId="1" priority="52">
      <formula>U28&gt;=T28</formula>
    </cfRule>
  </conditionalFormatting>
  <conditionalFormatting sqref="Y28:Y29">
    <cfRule type="expression" dxfId="0" priority="53">
      <formula>Y28&lt;X28</formula>
    </cfRule>
  </conditionalFormatting>
  <conditionalFormatting sqref="Y28:Y29">
    <cfRule type="expression" dxfId="1" priority="54">
      <formula>Y28&gt;=X28</formula>
    </cfRule>
  </conditionalFormatting>
  <conditionalFormatting sqref="AC28:AC29">
    <cfRule type="expression" dxfId="0" priority="55">
      <formula>AC28&lt;AB28</formula>
    </cfRule>
  </conditionalFormatting>
  <conditionalFormatting sqref="AC28:AC29">
    <cfRule type="expression" dxfId="1" priority="56">
      <formula>AC28&gt;=AB28</formula>
    </cfRule>
  </conditionalFormatting>
  <conditionalFormatting sqref="AP28:AP29">
    <cfRule type="expression" dxfId="0" priority="57">
      <formula>AP28&lt;AO28</formula>
    </cfRule>
  </conditionalFormatting>
  <conditionalFormatting sqref="AP28:AP29">
    <cfRule type="expression" dxfId="1" priority="58">
      <formula>AP28&gt;=AO28</formula>
    </cfRule>
  </conditionalFormatting>
  <conditionalFormatting sqref="AT28:AT29">
    <cfRule type="expression" dxfId="0" priority="59">
      <formula>AT28&lt;AS28</formula>
    </cfRule>
  </conditionalFormatting>
  <conditionalFormatting sqref="AT28:AT29">
    <cfRule type="expression" dxfId="1" priority="60">
      <formula>AT28&gt;=AS28</formula>
    </cfRule>
  </conditionalFormatting>
  <conditionalFormatting sqref="AX28:AX29">
    <cfRule type="expression" dxfId="0" priority="61">
      <formula>AX28&lt;AW28</formula>
    </cfRule>
  </conditionalFormatting>
  <conditionalFormatting sqref="AX28:AX29">
    <cfRule type="expression" dxfId="1" priority="62">
      <formula>AX28&gt;=AW28</formula>
    </cfRule>
  </conditionalFormatting>
  <conditionalFormatting sqref="BB28:BB29">
    <cfRule type="expression" dxfId="0" priority="63">
      <formula>BB28&lt;BA28</formula>
    </cfRule>
  </conditionalFormatting>
  <conditionalFormatting sqref="BB28:BB29">
    <cfRule type="expression" dxfId="1" priority="64">
      <formula>BB28&gt;=BA28</formula>
    </cfRule>
  </conditionalFormatting>
  <conditionalFormatting sqref="BF28:BF29">
    <cfRule type="expression" dxfId="0" priority="65">
      <formula>BF28&lt;BE28</formula>
    </cfRule>
  </conditionalFormatting>
  <conditionalFormatting sqref="BF28:BF29">
    <cfRule type="expression" dxfId="1" priority="66">
      <formula>BF28&gt;=BE28</formula>
    </cfRule>
  </conditionalFormatting>
  <conditionalFormatting sqref="BJ28:BJ29">
    <cfRule type="expression" dxfId="0" priority="67">
      <formula>BJ28&lt;BI28</formula>
    </cfRule>
  </conditionalFormatting>
  <conditionalFormatting sqref="BJ28:BJ29">
    <cfRule type="expression" dxfId="1" priority="68">
      <formula>BJ28&gt;=BI28</formula>
    </cfRule>
  </conditionalFormatting>
  <conditionalFormatting sqref="BJ36:BJ37">
    <cfRule type="expression" dxfId="0" priority="69">
      <formula>BJ36&lt;BI36</formula>
    </cfRule>
  </conditionalFormatting>
  <conditionalFormatting sqref="BJ36:BJ37">
    <cfRule type="expression" dxfId="1" priority="70">
      <formula>BJ36&gt;=BI36</formula>
    </cfRule>
  </conditionalFormatting>
  <conditionalFormatting sqref="BF36:BF37">
    <cfRule type="expression" dxfId="0" priority="71">
      <formula>BF36&lt;BE36</formula>
    </cfRule>
  </conditionalFormatting>
  <conditionalFormatting sqref="BF36:BF37">
    <cfRule type="expression" dxfId="1" priority="72">
      <formula>BF36&gt;=BE36</formula>
    </cfRule>
  </conditionalFormatting>
  <conditionalFormatting sqref="BB36:BB37">
    <cfRule type="expression" dxfId="0" priority="73">
      <formula>BB36&lt;BA36</formula>
    </cfRule>
  </conditionalFormatting>
  <conditionalFormatting sqref="BB36:BB37">
    <cfRule type="expression" dxfId="1" priority="74">
      <formula>BB36&gt;=BA36</formula>
    </cfRule>
  </conditionalFormatting>
  <conditionalFormatting sqref="AX36:AX37">
    <cfRule type="expression" dxfId="0" priority="75">
      <formula>AX36&lt;AW36</formula>
    </cfRule>
  </conditionalFormatting>
  <conditionalFormatting sqref="AX36:AX37">
    <cfRule type="expression" dxfId="1" priority="76">
      <formula>AX36&gt;=AW36</formula>
    </cfRule>
  </conditionalFormatting>
  <conditionalFormatting sqref="AT36:AT37">
    <cfRule type="expression" dxfId="0" priority="77">
      <formula>AT36&lt;AS36</formula>
    </cfRule>
  </conditionalFormatting>
  <conditionalFormatting sqref="AT36:AT37">
    <cfRule type="expression" dxfId="1" priority="78">
      <formula>AT36&gt;=AS36</formula>
    </cfRule>
  </conditionalFormatting>
  <conditionalFormatting sqref="AP36:AP37">
    <cfRule type="expression" dxfId="0" priority="79">
      <formula>AP36&lt;AO36</formula>
    </cfRule>
  </conditionalFormatting>
  <conditionalFormatting sqref="AP36:AP37">
    <cfRule type="expression" dxfId="1" priority="80">
      <formula>AP36&gt;=AO36</formula>
    </cfRule>
  </conditionalFormatting>
  <conditionalFormatting sqref="AC36:AC37">
    <cfRule type="expression" dxfId="0" priority="81">
      <formula>AC36&lt;AB36</formula>
    </cfRule>
  </conditionalFormatting>
  <conditionalFormatting sqref="AC36:AC37">
    <cfRule type="expression" dxfId="1" priority="82">
      <formula>AC36&gt;=AB36</formula>
    </cfRule>
  </conditionalFormatting>
  <conditionalFormatting sqref="U44:U45">
    <cfRule type="expression" dxfId="0" priority="83">
      <formula>U44&lt;T44</formula>
    </cfRule>
  </conditionalFormatting>
  <conditionalFormatting sqref="U44:U45">
    <cfRule type="expression" dxfId="1" priority="84">
      <formula>U44&gt;=T44</formula>
    </cfRule>
  </conditionalFormatting>
  <conditionalFormatting sqref="Y44:Y45">
    <cfRule type="expression" dxfId="0" priority="85">
      <formula>Y44&lt;X44</formula>
    </cfRule>
  </conditionalFormatting>
  <conditionalFormatting sqref="Y44:Y45">
    <cfRule type="expression" dxfId="1" priority="86">
      <formula>Y44&gt;=X44</formula>
    </cfRule>
  </conditionalFormatting>
  <conditionalFormatting sqref="AC44:AC45">
    <cfRule type="expression" dxfId="0" priority="87">
      <formula>AC44&lt;AB44</formula>
    </cfRule>
  </conditionalFormatting>
  <conditionalFormatting sqref="AC44:AC45">
    <cfRule type="expression" dxfId="1" priority="88">
      <formula>AC44&gt;=AB44</formula>
    </cfRule>
  </conditionalFormatting>
  <conditionalFormatting sqref="AP44:AP45">
    <cfRule type="expression" dxfId="0" priority="89">
      <formula>AP44&lt;AO44</formula>
    </cfRule>
  </conditionalFormatting>
  <conditionalFormatting sqref="AP44:AP45">
    <cfRule type="expression" dxfId="1" priority="90">
      <formula>AP44&gt;=AO44</formula>
    </cfRule>
  </conditionalFormatting>
  <conditionalFormatting sqref="Y52:Y53">
    <cfRule type="expression" dxfId="0" priority="91">
      <formula>Y52&lt;X52</formula>
    </cfRule>
  </conditionalFormatting>
  <conditionalFormatting sqref="Y52:Y53">
    <cfRule type="expression" dxfId="1" priority="92">
      <formula>Y52&gt;=X52</formula>
    </cfRule>
  </conditionalFormatting>
  <conditionalFormatting sqref="AC52:AC53">
    <cfRule type="expression" dxfId="0" priority="93">
      <formula>AC52&lt;AB52</formula>
    </cfRule>
  </conditionalFormatting>
  <conditionalFormatting sqref="AC52:AC53">
    <cfRule type="expression" dxfId="1" priority="94">
      <formula>AC52&gt;=AB52</formula>
    </cfRule>
  </conditionalFormatting>
  <conditionalFormatting sqref="AP52:AP53">
    <cfRule type="expression" dxfId="0" priority="95">
      <formula>AP52&lt;AO52</formula>
    </cfRule>
  </conditionalFormatting>
  <conditionalFormatting sqref="AP52:AP53">
    <cfRule type="expression" dxfId="1" priority="96">
      <formula>AP52&gt;=AO52</formula>
    </cfRule>
  </conditionalFormatting>
  <conditionalFormatting sqref="Y60:Y61">
    <cfRule type="expression" dxfId="0" priority="97">
      <formula>Y60&lt;X60</formula>
    </cfRule>
  </conditionalFormatting>
  <conditionalFormatting sqref="Y60:Y61">
    <cfRule type="expression" dxfId="1" priority="98">
      <formula>Y60&gt;=X60</formula>
    </cfRule>
  </conditionalFormatting>
  <conditionalFormatting sqref="AC60:AC61">
    <cfRule type="expression" dxfId="0" priority="99">
      <formula>AC60&lt;AB60</formula>
    </cfRule>
  </conditionalFormatting>
  <conditionalFormatting sqref="AC60:AC61">
    <cfRule type="expression" dxfId="1" priority="100">
      <formula>AC60&gt;=AB60</formula>
    </cfRule>
  </conditionalFormatting>
  <conditionalFormatting sqref="AP60:AP61">
    <cfRule type="expression" dxfId="0" priority="101">
      <formula>AP60&lt;AO60</formula>
    </cfRule>
  </conditionalFormatting>
  <conditionalFormatting sqref="AP60:AP61">
    <cfRule type="expression" dxfId="1" priority="102">
      <formula>AP60&gt;=AO60</formula>
    </cfRule>
  </conditionalFormatting>
  <conditionalFormatting sqref="U60:U61">
    <cfRule type="expression" dxfId="0" priority="103">
      <formula>U60&lt;T60</formula>
    </cfRule>
  </conditionalFormatting>
  <conditionalFormatting sqref="U60:U61">
    <cfRule type="expression" dxfId="1" priority="104">
      <formula>U60&gt;=T60</formula>
    </cfRule>
  </conditionalFormatting>
  <conditionalFormatting sqref="AC68:AC69">
    <cfRule type="expression" dxfId="0" priority="105">
      <formula>AC68&lt;AB68</formula>
    </cfRule>
  </conditionalFormatting>
  <conditionalFormatting sqref="AC68:AC69">
    <cfRule type="expression" dxfId="1" priority="106">
      <formula>AC68&gt;=AB68</formula>
    </cfRule>
  </conditionalFormatting>
  <conditionalFormatting sqref="AP68:AP69">
    <cfRule type="expression" dxfId="0" priority="107">
      <formula>AP68&lt;AO68</formula>
    </cfRule>
  </conditionalFormatting>
  <conditionalFormatting sqref="AP68:AP69">
    <cfRule type="expression" dxfId="1" priority="108">
      <formula>AP68&gt;=AO68</formula>
    </cfRule>
  </conditionalFormatting>
  <conditionalFormatting sqref="AT68:AT69">
    <cfRule type="expression" dxfId="0" priority="109">
      <formula>AT68&lt;AS68</formula>
    </cfRule>
  </conditionalFormatting>
  <conditionalFormatting sqref="AT68:AT69">
    <cfRule type="expression" dxfId="1" priority="110">
      <formula>AT68&gt;=AS68</formula>
    </cfRule>
  </conditionalFormatting>
  <conditionalFormatting sqref="AT60:AT61">
    <cfRule type="expression" dxfId="0" priority="111">
      <formula>AT60&lt;AS60</formula>
    </cfRule>
  </conditionalFormatting>
  <conditionalFormatting sqref="AT60:AT61">
    <cfRule type="expression" dxfId="1" priority="112">
      <formula>AT60&gt;=AS60</formula>
    </cfRule>
  </conditionalFormatting>
  <conditionalFormatting sqref="AT52:AT53">
    <cfRule type="expression" dxfId="0" priority="113">
      <formula>AT52&lt;AS52</formula>
    </cfRule>
  </conditionalFormatting>
  <conditionalFormatting sqref="AT52:AT53">
    <cfRule type="expression" dxfId="1" priority="114">
      <formula>AT52&gt;=AS52</formula>
    </cfRule>
  </conditionalFormatting>
  <conditionalFormatting sqref="AT44:AT45">
    <cfRule type="expression" dxfId="0" priority="115">
      <formula>AT44&lt;AS44</formula>
    </cfRule>
  </conditionalFormatting>
  <conditionalFormatting sqref="AT44:AT45">
    <cfRule type="expression" dxfId="1" priority="116">
      <formula>AT44&gt;=AS44</formula>
    </cfRule>
  </conditionalFormatting>
  <conditionalFormatting sqref="U68:U69">
    <cfRule type="expression" dxfId="0" priority="117">
      <formula>U68&lt;T68</formula>
    </cfRule>
  </conditionalFormatting>
  <conditionalFormatting sqref="U68:U69">
    <cfRule type="expression" dxfId="1" priority="118">
      <formula>U68&gt;=T68</formula>
    </cfRule>
  </conditionalFormatting>
  <conditionalFormatting sqref="Y68:Y69">
    <cfRule type="expression" dxfId="0" priority="119">
      <formula>Y68&lt;X68</formula>
    </cfRule>
  </conditionalFormatting>
  <conditionalFormatting sqref="Y68:Y69">
    <cfRule type="expression" dxfId="1" priority="120">
      <formula>Y68&gt;=X68</formula>
    </cfRule>
  </conditionalFormatting>
  <conditionalFormatting sqref="AX60:AX61">
    <cfRule type="expression" dxfId="0" priority="121">
      <formula>AX60&lt;AW60</formula>
    </cfRule>
  </conditionalFormatting>
  <conditionalFormatting sqref="AX60:AX61">
    <cfRule type="expression" dxfId="1" priority="122">
      <formula>AX60&gt;=AW60</formula>
    </cfRule>
  </conditionalFormatting>
  <conditionalFormatting sqref="BB60:BB61">
    <cfRule type="expression" dxfId="0" priority="123">
      <formula>BB60&lt;BA60</formula>
    </cfRule>
  </conditionalFormatting>
  <conditionalFormatting sqref="BB60:BB61">
    <cfRule type="expression" dxfId="1" priority="124">
      <formula>BB60&gt;=BA60</formula>
    </cfRule>
  </conditionalFormatting>
  <conditionalFormatting sqref="BF60:BF61">
    <cfRule type="expression" dxfId="0" priority="125">
      <formula>BF60&lt;BE60</formula>
    </cfRule>
  </conditionalFormatting>
  <conditionalFormatting sqref="BF60:BF61">
    <cfRule type="expression" dxfId="1" priority="126">
      <formula>BF60&gt;=BE60</formula>
    </cfRule>
  </conditionalFormatting>
  <conditionalFormatting sqref="AX52:AX53">
    <cfRule type="expression" dxfId="0" priority="127">
      <formula>AX52&lt;AW52</formula>
    </cfRule>
  </conditionalFormatting>
  <conditionalFormatting sqref="AX52:AX53">
    <cfRule type="expression" dxfId="1" priority="128">
      <formula>AX52&gt;=AW52</formula>
    </cfRule>
  </conditionalFormatting>
  <conditionalFormatting sqref="BB52:BB53">
    <cfRule type="expression" dxfId="0" priority="129">
      <formula>BB52&lt;BA52</formula>
    </cfRule>
  </conditionalFormatting>
  <conditionalFormatting sqref="BB52:BB53">
    <cfRule type="expression" dxfId="1" priority="130">
      <formula>BB52&gt;=BA52</formula>
    </cfRule>
  </conditionalFormatting>
  <conditionalFormatting sqref="BF52:BF53">
    <cfRule type="expression" dxfId="0" priority="131">
      <formula>BF52&lt;BE52</formula>
    </cfRule>
  </conditionalFormatting>
  <conditionalFormatting sqref="BF52:BF53">
    <cfRule type="expression" dxfId="1" priority="132">
      <formula>BF52&gt;=BE52</formula>
    </cfRule>
  </conditionalFormatting>
  <conditionalFormatting sqref="AX44:AX45">
    <cfRule type="expression" dxfId="0" priority="133">
      <formula>AX44&lt;AW44</formula>
    </cfRule>
  </conditionalFormatting>
  <conditionalFormatting sqref="AX44:AX45">
    <cfRule type="expression" dxfId="1" priority="134">
      <formula>AX44&gt;=AW44</formula>
    </cfRule>
  </conditionalFormatting>
  <conditionalFormatting sqref="BB44:BB45">
    <cfRule type="expression" dxfId="0" priority="135">
      <formula>BB44&lt;BA44</formula>
    </cfRule>
  </conditionalFormatting>
  <conditionalFormatting sqref="BB44:BB45">
    <cfRule type="expression" dxfId="1" priority="136">
      <formula>BB44&gt;=BA44</formula>
    </cfRule>
  </conditionalFormatting>
  <conditionalFormatting sqref="BF44:BF45">
    <cfRule type="expression" dxfId="0" priority="137">
      <formula>BF44&lt;BE44</formula>
    </cfRule>
  </conditionalFormatting>
  <conditionalFormatting sqref="BF44:BF45">
    <cfRule type="expression" dxfId="1" priority="138">
      <formula>BF44&gt;=BE44</formula>
    </cfRule>
  </conditionalFormatting>
  <conditionalFormatting sqref="BJ44:BJ45">
    <cfRule type="expression" dxfId="0" priority="139">
      <formula>BJ44&lt;BI44</formula>
    </cfRule>
  </conditionalFormatting>
  <conditionalFormatting sqref="BJ44:BJ45">
    <cfRule type="expression" dxfId="1" priority="140">
      <formula>BJ44&gt;=BI44</formula>
    </cfRule>
  </conditionalFormatting>
  <conditionalFormatting sqref="BJ52:BJ53">
    <cfRule type="expression" dxfId="0" priority="141">
      <formula>BJ52&lt;BI52</formula>
    </cfRule>
  </conditionalFormatting>
  <conditionalFormatting sqref="BJ52:BJ53">
    <cfRule type="expression" dxfId="1" priority="142">
      <formula>BJ52&gt;=BI52</formula>
    </cfRule>
  </conditionalFormatting>
  <conditionalFormatting sqref="BJ60:BJ61">
    <cfRule type="expression" dxfId="0" priority="143">
      <formula>BJ60&lt;BI60</formula>
    </cfRule>
  </conditionalFormatting>
  <conditionalFormatting sqref="BJ60:BJ61">
    <cfRule type="expression" dxfId="1" priority="144">
      <formula>BJ60&gt;=BI60</formula>
    </cfRule>
  </conditionalFormatting>
  <conditionalFormatting sqref="BJ68:BJ69">
    <cfRule type="expression" dxfId="0" priority="145">
      <formula>BJ68&lt;BI68</formula>
    </cfRule>
  </conditionalFormatting>
  <conditionalFormatting sqref="BJ68:BJ69">
    <cfRule type="expression" dxfId="1" priority="146">
      <formula>BJ68&gt;=BI68</formula>
    </cfRule>
  </conditionalFormatting>
  <conditionalFormatting sqref="BJ76:BJ77">
    <cfRule type="expression" dxfId="0" priority="147">
      <formula>BJ76&lt;BI76</formula>
    </cfRule>
  </conditionalFormatting>
  <conditionalFormatting sqref="BJ76:BJ77">
    <cfRule type="expression" dxfId="1" priority="148">
      <formula>BJ76&gt;=BI76</formula>
    </cfRule>
  </conditionalFormatting>
  <conditionalFormatting sqref="BJ84:BJ85">
    <cfRule type="expression" dxfId="0" priority="149">
      <formula>BJ84&lt;BI84</formula>
    </cfRule>
  </conditionalFormatting>
  <conditionalFormatting sqref="BJ84:BJ85">
    <cfRule type="expression" dxfId="1" priority="150">
      <formula>BJ84&gt;=BI84</formula>
    </cfRule>
  </conditionalFormatting>
  <conditionalFormatting sqref="BJ92:BJ93">
    <cfRule type="expression" dxfId="0" priority="151">
      <formula>BJ92&lt;BI92</formula>
    </cfRule>
  </conditionalFormatting>
  <conditionalFormatting sqref="BJ92:BJ93">
    <cfRule type="expression" dxfId="1" priority="152">
      <formula>BJ92&gt;=BI92</formula>
    </cfRule>
  </conditionalFormatting>
  <conditionalFormatting sqref="BJ100:BJ101">
    <cfRule type="expression" dxfId="0" priority="153">
      <formula>BJ100&lt;BI100</formula>
    </cfRule>
  </conditionalFormatting>
  <conditionalFormatting sqref="BJ100:BJ101">
    <cfRule type="expression" dxfId="1" priority="154">
      <formula>BJ100&gt;=BI100</formula>
    </cfRule>
  </conditionalFormatting>
  <conditionalFormatting sqref="BJ108:BJ109">
    <cfRule type="expression" dxfId="0" priority="155">
      <formula>BJ108&lt;BI108</formula>
    </cfRule>
  </conditionalFormatting>
  <conditionalFormatting sqref="BJ108:BJ109">
    <cfRule type="expression" dxfId="1" priority="156">
      <formula>BJ108&gt;=BI108</formula>
    </cfRule>
  </conditionalFormatting>
  <conditionalFormatting sqref="BJ116:BJ117">
    <cfRule type="expression" dxfId="0" priority="157">
      <formula>BJ116&lt;BI116</formula>
    </cfRule>
  </conditionalFormatting>
  <conditionalFormatting sqref="BJ116:BJ117">
    <cfRule type="expression" dxfId="1" priority="158">
      <formula>BJ116&gt;=BI116</formula>
    </cfRule>
  </conditionalFormatting>
  <conditionalFormatting sqref="BJ124:BJ125">
    <cfRule type="expression" dxfId="0" priority="159">
      <formula>BJ124&lt;BI124</formula>
    </cfRule>
  </conditionalFormatting>
  <conditionalFormatting sqref="BJ124:BJ125">
    <cfRule type="expression" dxfId="1" priority="160">
      <formula>BJ124&gt;=BI124</formula>
    </cfRule>
  </conditionalFormatting>
  <conditionalFormatting sqref="BJ132:BJ133">
    <cfRule type="expression" dxfId="0" priority="161">
      <formula>BJ132&lt;BI132</formula>
    </cfRule>
  </conditionalFormatting>
  <conditionalFormatting sqref="BJ132:BJ133">
    <cfRule type="expression" dxfId="1" priority="162">
      <formula>BJ132&gt;=BI132</formula>
    </cfRule>
  </conditionalFormatting>
  <conditionalFormatting sqref="BJ140:BJ141">
    <cfRule type="expression" dxfId="0" priority="163">
      <formula>BJ140&lt;BI140</formula>
    </cfRule>
  </conditionalFormatting>
  <conditionalFormatting sqref="BJ140:BJ141">
    <cfRule type="expression" dxfId="1" priority="164">
      <formula>BJ140&gt;=BI140</formula>
    </cfRule>
  </conditionalFormatting>
  <conditionalFormatting sqref="BF140:BF141">
    <cfRule type="expression" dxfId="0" priority="165">
      <formula>BF140&lt;BE140</formula>
    </cfRule>
  </conditionalFormatting>
  <conditionalFormatting sqref="BF140:BF141">
    <cfRule type="expression" dxfId="1" priority="166">
      <formula>BF140&gt;=BE140</formula>
    </cfRule>
  </conditionalFormatting>
  <conditionalFormatting sqref="BF132:BF133">
    <cfRule type="expression" dxfId="0" priority="167">
      <formula>BF132&lt;BE132</formula>
    </cfRule>
  </conditionalFormatting>
  <conditionalFormatting sqref="BF132:BF133">
    <cfRule type="expression" dxfId="1" priority="168">
      <formula>BF132&gt;=BE132</formula>
    </cfRule>
  </conditionalFormatting>
  <conditionalFormatting sqref="BB140:BB141">
    <cfRule type="expression" dxfId="0" priority="169">
      <formula>BB140&lt;BA140</formula>
    </cfRule>
  </conditionalFormatting>
  <conditionalFormatting sqref="BB140:BB141">
    <cfRule type="expression" dxfId="1" priority="170">
      <formula>BB140&gt;=BA140</formula>
    </cfRule>
  </conditionalFormatting>
  <conditionalFormatting sqref="BB132:BB133">
    <cfRule type="expression" dxfId="0" priority="171">
      <formula>BB132&lt;BA132</formula>
    </cfRule>
  </conditionalFormatting>
  <conditionalFormatting sqref="BB132:BB133">
    <cfRule type="expression" dxfId="1" priority="172">
      <formula>BB132&gt;=BA132</formula>
    </cfRule>
  </conditionalFormatting>
  <conditionalFormatting sqref="BB124:BB125">
    <cfRule type="expression" dxfId="0" priority="173">
      <formula>BB124&lt;BA124</formula>
    </cfRule>
  </conditionalFormatting>
  <conditionalFormatting sqref="BB124:BB125">
    <cfRule type="expression" dxfId="1" priority="174">
      <formula>BB124&gt;=BA124</formula>
    </cfRule>
  </conditionalFormatting>
  <conditionalFormatting sqref="BB116:BB117">
    <cfRule type="expression" dxfId="0" priority="175">
      <formula>BB116&lt;BA116</formula>
    </cfRule>
  </conditionalFormatting>
  <conditionalFormatting sqref="BB116:BB117">
    <cfRule type="expression" dxfId="1" priority="176">
      <formula>BB116&gt;=BA116</formula>
    </cfRule>
  </conditionalFormatting>
  <conditionalFormatting sqref="BF116:BF117">
    <cfRule type="expression" dxfId="0" priority="177">
      <formula>BF116&lt;BE116</formula>
    </cfRule>
  </conditionalFormatting>
  <conditionalFormatting sqref="BF116:BF117">
    <cfRule type="expression" dxfId="1" priority="178">
      <formula>BF116&gt;=BE116</formula>
    </cfRule>
  </conditionalFormatting>
  <conditionalFormatting sqref="BF124:BF125">
    <cfRule type="expression" dxfId="0" priority="179">
      <formula>BF124&lt;BE124</formula>
    </cfRule>
  </conditionalFormatting>
  <conditionalFormatting sqref="BF124:BF125">
    <cfRule type="expression" dxfId="1" priority="180">
      <formula>BF124&gt;=BE124</formula>
    </cfRule>
  </conditionalFormatting>
  <conditionalFormatting sqref="BB108:BB109">
    <cfRule type="expression" dxfId="0" priority="181">
      <formula>BB108&lt;BA108</formula>
    </cfRule>
  </conditionalFormatting>
  <conditionalFormatting sqref="BB108:BB109">
    <cfRule type="expression" dxfId="1" priority="182">
      <formula>BB108&gt;=BA108</formula>
    </cfRule>
  </conditionalFormatting>
  <conditionalFormatting sqref="BF108:BF109">
    <cfRule type="expression" dxfId="0" priority="183">
      <formula>BF108&lt;BE108</formula>
    </cfRule>
  </conditionalFormatting>
  <conditionalFormatting sqref="BF108:BF109">
    <cfRule type="expression" dxfId="1" priority="184">
      <formula>BF108&gt;=BE108</formula>
    </cfRule>
  </conditionalFormatting>
  <conditionalFormatting sqref="BB100:BB101">
    <cfRule type="expression" dxfId="0" priority="185">
      <formula>BB100&lt;BA100</formula>
    </cfRule>
  </conditionalFormatting>
  <conditionalFormatting sqref="BB100:BB101">
    <cfRule type="expression" dxfId="1" priority="186">
      <formula>BB100&gt;=BA100</formula>
    </cfRule>
  </conditionalFormatting>
  <conditionalFormatting sqref="BF100:BF101">
    <cfRule type="expression" dxfId="0" priority="187">
      <formula>BF100&lt;BE100</formula>
    </cfRule>
  </conditionalFormatting>
  <conditionalFormatting sqref="BF100:BF101">
    <cfRule type="expression" dxfId="1" priority="188">
      <formula>BF100&gt;=BE100</formula>
    </cfRule>
  </conditionalFormatting>
  <conditionalFormatting sqref="BB92:BB93">
    <cfRule type="expression" dxfId="0" priority="189">
      <formula>BB92&lt;BA92</formula>
    </cfRule>
  </conditionalFormatting>
  <conditionalFormatting sqref="BB92:BB93">
    <cfRule type="expression" dxfId="1" priority="190">
      <formula>BB92&gt;=BA92</formula>
    </cfRule>
  </conditionalFormatting>
  <conditionalFormatting sqref="BF92:BF93">
    <cfRule type="expression" dxfId="0" priority="191">
      <formula>BF92&lt;BE92</formula>
    </cfRule>
  </conditionalFormatting>
  <conditionalFormatting sqref="BF92:BF93">
    <cfRule type="expression" dxfId="1" priority="192">
      <formula>BF92&gt;=BE92</formula>
    </cfRule>
  </conditionalFormatting>
  <conditionalFormatting sqref="BB84:BB85">
    <cfRule type="expression" dxfId="0" priority="193">
      <formula>BB84&lt;BA84</formula>
    </cfRule>
  </conditionalFormatting>
  <conditionalFormatting sqref="BB84:BB85">
    <cfRule type="expression" dxfId="1" priority="194">
      <formula>BB84&gt;=BA84</formula>
    </cfRule>
  </conditionalFormatting>
  <conditionalFormatting sqref="BF84:BF85">
    <cfRule type="expression" dxfId="0" priority="195">
      <formula>BF84&lt;BE84</formula>
    </cfRule>
  </conditionalFormatting>
  <conditionalFormatting sqref="BF84:BF85">
    <cfRule type="expression" dxfId="1" priority="196">
      <formula>BF84&gt;=BE84</formula>
    </cfRule>
  </conditionalFormatting>
  <conditionalFormatting sqref="BF76:BF77">
    <cfRule type="expression" dxfId="0" priority="197">
      <formula>BF76&lt;BE76</formula>
    </cfRule>
  </conditionalFormatting>
  <conditionalFormatting sqref="BF76:BF77">
    <cfRule type="expression" dxfId="1" priority="198">
      <formula>BF76&gt;=BE76</formula>
    </cfRule>
  </conditionalFormatting>
  <conditionalFormatting sqref="BB76:BB77">
    <cfRule type="expression" dxfId="0" priority="199">
      <formula>BB76&lt;BA76</formula>
    </cfRule>
  </conditionalFormatting>
  <conditionalFormatting sqref="BB76:BB77">
    <cfRule type="expression" dxfId="1" priority="200">
      <formula>BB76&gt;=BA76</formula>
    </cfRule>
  </conditionalFormatting>
  <conditionalFormatting sqref="BB68:BB69">
    <cfRule type="expression" dxfId="0" priority="201">
      <formula>BB68&lt;BA68</formula>
    </cfRule>
  </conditionalFormatting>
  <conditionalFormatting sqref="BB68:BB69">
    <cfRule type="expression" dxfId="1" priority="202">
      <formula>BB68&gt;=BA68</formula>
    </cfRule>
  </conditionalFormatting>
  <conditionalFormatting sqref="BF68:BF69">
    <cfRule type="expression" dxfId="0" priority="203">
      <formula>BF68&lt;BE68</formula>
    </cfRule>
  </conditionalFormatting>
  <conditionalFormatting sqref="BF68:BF69">
    <cfRule type="expression" dxfId="1" priority="204">
      <formula>BF68&gt;=BE68</formula>
    </cfRule>
  </conditionalFormatting>
  <conditionalFormatting sqref="AX132:AX133">
    <cfRule type="expression" dxfId="0" priority="205">
      <formula>AX132&lt;AW132</formula>
    </cfRule>
  </conditionalFormatting>
  <conditionalFormatting sqref="AX132:AX133">
    <cfRule type="expression" dxfId="1" priority="206">
      <formula>AX132&gt;=AW132</formula>
    </cfRule>
  </conditionalFormatting>
  <conditionalFormatting sqref="AT132:AT133">
    <cfRule type="expression" dxfId="0" priority="207">
      <formula>AT132&lt;AS132</formula>
    </cfRule>
  </conditionalFormatting>
  <conditionalFormatting sqref="AT132:AT133">
    <cfRule type="expression" dxfId="1" priority="208">
      <formula>AT132&gt;=AS132</formula>
    </cfRule>
  </conditionalFormatting>
  <conditionalFormatting sqref="AP132:AP133">
    <cfRule type="expression" dxfId="0" priority="209">
      <formula>AP132&lt;AO132</formula>
    </cfRule>
  </conditionalFormatting>
  <conditionalFormatting sqref="AP132:AP133">
    <cfRule type="expression" dxfId="1" priority="210">
      <formula>AP132&gt;=AO132</formula>
    </cfRule>
  </conditionalFormatting>
  <conditionalFormatting sqref="AP124:AP125">
    <cfRule type="expression" dxfId="0" priority="211">
      <formula>AP124&lt;AO124</formula>
    </cfRule>
  </conditionalFormatting>
  <conditionalFormatting sqref="AP124:AP125">
    <cfRule type="expression" dxfId="1" priority="212">
      <formula>AP124&gt;=AO124</formula>
    </cfRule>
  </conditionalFormatting>
  <conditionalFormatting sqref="AT124:AT125">
    <cfRule type="expression" dxfId="0" priority="213">
      <formula>AT124&lt;AS124</formula>
    </cfRule>
  </conditionalFormatting>
  <conditionalFormatting sqref="AT124:AT125">
    <cfRule type="expression" dxfId="1" priority="214">
      <formula>AT124&gt;=AS124</formula>
    </cfRule>
  </conditionalFormatting>
  <conditionalFormatting sqref="AX124:AX125">
    <cfRule type="expression" dxfId="0" priority="215">
      <formula>AX124&lt;AW124</formula>
    </cfRule>
  </conditionalFormatting>
  <conditionalFormatting sqref="AX124:AX125">
    <cfRule type="expression" dxfId="1" priority="216">
      <formula>AX124&gt;=AW124</formula>
    </cfRule>
  </conditionalFormatting>
  <conditionalFormatting sqref="AX108:AX109">
    <cfRule type="expression" dxfId="0" priority="217">
      <formula>AX108&lt;AW108</formula>
    </cfRule>
  </conditionalFormatting>
  <conditionalFormatting sqref="AX108:AX109">
    <cfRule type="expression" dxfId="1" priority="218">
      <formula>AX108&gt;=AW108</formula>
    </cfRule>
  </conditionalFormatting>
  <conditionalFormatting sqref="AX116:AX117">
    <cfRule type="expression" dxfId="0" priority="219">
      <formula>AX116&lt;AW116</formula>
    </cfRule>
  </conditionalFormatting>
  <conditionalFormatting sqref="AX116:AX117">
    <cfRule type="expression" dxfId="1" priority="220">
      <formula>AX116&gt;=AW116</formula>
    </cfRule>
  </conditionalFormatting>
  <conditionalFormatting sqref="AT116:AT117">
    <cfRule type="expression" dxfId="0" priority="221">
      <formula>AT116&lt;AS116</formula>
    </cfRule>
  </conditionalFormatting>
  <conditionalFormatting sqref="AT116:AT117">
    <cfRule type="expression" dxfId="1" priority="222">
      <formula>AT116&gt;=AS116</formula>
    </cfRule>
  </conditionalFormatting>
  <conditionalFormatting sqref="AP116:AP117">
    <cfRule type="expression" dxfId="0" priority="223">
      <formula>AP116&lt;AO116</formula>
    </cfRule>
  </conditionalFormatting>
  <conditionalFormatting sqref="AP116:AP117">
    <cfRule type="expression" dxfId="1" priority="224">
      <formula>AP116&gt;=AO116</formula>
    </cfRule>
  </conditionalFormatting>
  <conditionalFormatting sqref="AP108:AP109">
    <cfRule type="expression" dxfId="0" priority="225">
      <formula>AP108&lt;AO108</formula>
    </cfRule>
  </conditionalFormatting>
  <conditionalFormatting sqref="AP108:AP109">
    <cfRule type="expression" dxfId="1" priority="226">
      <formula>AP108&gt;=AO108</formula>
    </cfRule>
  </conditionalFormatting>
  <conditionalFormatting sqref="AT108:AT109">
    <cfRule type="expression" dxfId="0" priority="227">
      <formula>AT108&lt;AS108</formula>
    </cfRule>
  </conditionalFormatting>
  <conditionalFormatting sqref="AT108:AT109">
    <cfRule type="expression" dxfId="1" priority="228">
      <formula>AT108&gt;=AS108</formula>
    </cfRule>
  </conditionalFormatting>
  <conditionalFormatting sqref="AP76:AP77">
    <cfRule type="expression" dxfId="0" priority="229">
      <formula>AP76&lt;AO76</formula>
    </cfRule>
  </conditionalFormatting>
  <conditionalFormatting sqref="AP76:AP77">
    <cfRule type="expression" dxfId="1" priority="230">
      <formula>AP76&gt;=AO76</formula>
    </cfRule>
  </conditionalFormatting>
  <conditionalFormatting sqref="AT76:AT77">
    <cfRule type="expression" dxfId="0" priority="231">
      <formula>AT76&lt;AS76</formula>
    </cfRule>
  </conditionalFormatting>
  <conditionalFormatting sqref="AT76:AT77">
    <cfRule type="expression" dxfId="1" priority="232">
      <formula>AT76&gt;=AS76</formula>
    </cfRule>
  </conditionalFormatting>
  <conditionalFormatting sqref="AX76:AX77">
    <cfRule type="expression" dxfId="0" priority="233">
      <formula>AX76&lt;AW76</formula>
    </cfRule>
  </conditionalFormatting>
  <conditionalFormatting sqref="AX76:AX77">
    <cfRule type="expression" dxfId="1" priority="234">
      <formula>AX76&gt;=AW76</formula>
    </cfRule>
  </conditionalFormatting>
  <conditionalFormatting sqref="AP84:AP85">
    <cfRule type="expression" dxfId="0" priority="235">
      <formula>AP84&lt;AO84</formula>
    </cfRule>
  </conditionalFormatting>
  <conditionalFormatting sqref="AP84:AP85">
    <cfRule type="expression" dxfId="1" priority="236">
      <formula>AP84&gt;=AO84</formula>
    </cfRule>
  </conditionalFormatting>
  <conditionalFormatting sqref="AT84:AT85">
    <cfRule type="expression" dxfId="0" priority="237">
      <formula>AT84&lt;AS84</formula>
    </cfRule>
  </conditionalFormatting>
  <conditionalFormatting sqref="AT84:AT85">
    <cfRule type="expression" dxfId="1" priority="238">
      <formula>AT84&gt;=AS84</formula>
    </cfRule>
  </conditionalFormatting>
  <conditionalFormatting sqref="AX84:AX85">
    <cfRule type="expression" dxfId="0" priority="239">
      <formula>AX84&lt;AW84</formula>
    </cfRule>
  </conditionalFormatting>
  <conditionalFormatting sqref="AX84:AX85">
    <cfRule type="expression" dxfId="1" priority="240">
      <formula>AX84&gt;=AW84</formula>
    </cfRule>
  </conditionalFormatting>
  <conditionalFormatting sqref="AP92:AP93">
    <cfRule type="expression" dxfId="0" priority="241">
      <formula>AP92&lt;AO92</formula>
    </cfRule>
  </conditionalFormatting>
  <conditionalFormatting sqref="AP92:AP93">
    <cfRule type="expression" dxfId="1" priority="242">
      <formula>AP92&gt;=AO92</formula>
    </cfRule>
  </conditionalFormatting>
  <conditionalFormatting sqref="AT92:AT93">
    <cfRule type="expression" dxfId="0" priority="243">
      <formula>AT92&lt;AS92</formula>
    </cfRule>
  </conditionalFormatting>
  <conditionalFormatting sqref="AT92:AT93">
    <cfRule type="expression" dxfId="1" priority="244">
      <formula>AT92&gt;=AS92</formula>
    </cfRule>
  </conditionalFormatting>
  <conditionalFormatting sqref="AX92:AX93">
    <cfRule type="expression" dxfId="0" priority="245">
      <formula>AX92&lt;AW92</formula>
    </cfRule>
  </conditionalFormatting>
  <conditionalFormatting sqref="AX92:AX93">
    <cfRule type="expression" dxfId="1" priority="246">
      <formula>AX92&gt;=AW92</formula>
    </cfRule>
  </conditionalFormatting>
  <conditionalFormatting sqref="AP100:AP101">
    <cfRule type="expression" dxfId="0" priority="247">
      <formula>AP100&lt;AO100</formula>
    </cfRule>
  </conditionalFormatting>
  <conditionalFormatting sqref="AP100:AP101">
    <cfRule type="expression" dxfId="1" priority="248">
      <formula>AP100&gt;=AO100</formula>
    </cfRule>
  </conditionalFormatting>
  <conditionalFormatting sqref="AT100:AT101">
    <cfRule type="expression" dxfId="0" priority="249">
      <formula>AT100&lt;AS100</formula>
    </cfRule>
  </conditionalFormatting>
  <conditionalFormatting sqref="AT100:AT101">
    <cfRule type="expression" dxfId="1" priority="250">
      <formula>AT100&gt;=AS100</formula>
    </cfRule>
  </conditionalFormatting>
  <conditionalFormatting sqref="AX100:AX101">
    <cfRule type="expression" dxfId="0" priority="251">
      <formula>AX100&lt;AW100</formula>
    </cfRule>
  </conditionalFormatting>
  <conditionalFormatting sqref="AX100:AX101">
    <cfRule type="expression" dxfId="1" priority="252">
      <formula>AX100&gt;=AW100</formula>
    </cfRule>
  </conditionalFormatting>
  <conditionalFormatting sqref="U76:U77">
    <cfRule type="expression" dxfId="0" priority="253">
      <formula>U76&lt;T76</formula>
    </cfRule>
  </conditionalFormatting>
  <conditionalFormatting sqref="U76:U77">
    <cfRule type="expression" dxfId="1" priority="254">
      <formula>U76&gt;=T76</formula>
    </cfRule>
  </conditionalFormatting>
  <conditionalFormatting sqref="Y76:Y77">
    <cfRule type="expression" dxfId="0" priority="255">
      <formula>Y76&lt;X76</formula>
    </cfRule>
  </conditionalFormatting>
  <conditionalFormatting sqref="Y76:Y77">
    <cfRule type="expression" dxfId="1" priority="256">
      <formula>Y76&gt;=X76</formula>
    </cfRule>
  </conditionalFormatting>
  <conditionalFormatting sqref="AC76:AC77">
    <cfRule type="expression" dxfId="0" priority="257">
      <formula>AC76&lt;AB76</formula>
    </cfRule>
  </conditionalFormatting>
  <conditionalFormatting sqref="AC76:AC77">
    <cfRule type="expression" dxfId="1" priority="258">
      <formula>AC76&gt;=AB76</formula>
    </cfRule>
  </conditionalFormatting>
  <conditionalFormatting sqref="U84:U85">
    <cfRule type="expression" dxfId="0" priority="259">
      <formula>U84&lt;T84</formula>
    </cfRule>
  </conditionalFormatting>
  <conditionalFormatting sqref="U84:U85">
    <cfRule type="expression" dxfId="1" priority="260">
      <formula>U84&gt;=T84</formula>
    </cfRule>
  </conditionalFormatting>
  <conditionalFormatting sqref="Y84:Y85">
    <cfRule type="expression" dxfId="0" priority="261">
      <formula>Y84&lt;X84</formula>
    </cfRule>
  </conditionalFormatting>
  <conditionalFormatting sqref="Y84:Y85">
    <cfRule type="expression" dxfId="1" priority="262">
      <formula>Y84&gt;=X84</formula>
    </cfRule>
  </conditionalFormatting>
  <conditionalFormatting sqref="AC84:AC85">
    <cfRule type="expression" dxfId="0" priority="263">
      <formula>AC84&lt;AB84</formula>
    </cfRule>
  </conditionalFormatting>
  <conditionalFormatting sqref="AC84:AC85">
    <cfRule type="expression" dxfId="1" priority="264">
      <formula>AC84&gt;=AB84</formula>
    </cfRule>
  </conditionalFormatting>
  <conditionalFormatting sqref="U92:U93">
    <cfRule type="expression" dxfId="0" priority="265">
      <formula>U92&lt;T92</formula>
    </cfRule>
  </conditionalFormatting>
  <conditionalFormatting sqref="U92:U93">
    <cfRule type="expression" dxfId="1" priority="266">
      <formula>U92&gt;=T92</formula>
    </cfRule>
  </conditionalFormatting>
  <conditionalFormatting sqref="Y92:Y93">
    <cfRule type="expression" dxfId="0" priority="267">
      <formula>Y92&lt;X92</formula>
    </cfRule>
  </conditionalFormatting>
  <conditionalFormatting sqref="Y92:Y93">
    <cfRule type="expression" dxfId="1" priority="268">
      <formula>Y92&gt;=X92</formula>
    </cfRule>
  </conditionalFormatting>
  <conditionalFormatting sqref="AC92:AC93">
    <cfRule type="expression" dxfId="0" priority="269">
      <formula>AC92&lt;AB92</formula>
    </cfRule>
  </conditionalFormatting>
  <conditionalFormatting sqref="AC92:AC93">
    <cfRule type="expression" dxfId="1" priority="270">
      <formula>AC92&gt;=AB92</formula>
    </cfRule>
  </conditionalFormatting>
  <conditionalFormatting sqref="AC100:AC101">
    <cfRule type="expression" dxfId="0" priority="271">
      <formula>AC100&lt;AB100</formula>
    </cfRule>
  </conditionalFormatting>
  <conditionalFormatting sqref="AC100:AC101">
    <cfRule type="expression" dxfId="1" priority="272">
      <formula>AC100&gt;=AB100</formula>
    </cfRule>
  </conditionalFormatting>
  <conditionalFormatting sqref="Y116:Y117">
    <cfRule type="expression" dxfId="0" priority="273">
      <formula>Y116&lt;X116</formula>
    </cfRule>
  </conditionalFormatting>
  <conditionalFormatting sqref="Y116:Y117">
    <cfRule type="expression" dxfId="1" priority="274">
      <formula>Y116&gt;=X116</formula>
    </cfRule>
  </conditionalFormatting>
  <conditionalFormatting sqref="AC116:AC117">
    <cfRule type="expression" dxfId="0" priority="275">
      <formula>AC116&lt;AB116</formula>
    </cfRule>
  </conditionalFormatting>
  <conditionalFormatting sqref="AC116:AC117">
    <cfRule type="expression" dxfId="1" priority="276">
      <formula>AC116&gt;=AB116</formula>
    </cfRule>
  </conditionalFormatting>
  <conditionalFormatting sqref="U116:U117">
    <cfRule type="expression" dxfId="0" priority="277">
      <formula>U116&lt;T116</formula>
    </cfRule>
  </conditionalFormatting>
  <conditionalFormatting sqref="U116:U117">
    <cfRule type="expression" dxfId="1" priority="278">
      <formula>U116&gt;=T116</formula>
    </cfRule>
  </conditionalFormatting>
  <conditionalFormatting sqref="U124:U125">
    <cfRule type="expression" dxfId="0" priority="279">
      <formula>U124&lt;T124</formula>
    </cfRule>
  </conditionalFormatting>
  <conditionalFormatting sqref="U124:U125">
    <cfRule type="expression" dxfId="1" priority="280">
      <formula>U124&gt;=T124</formula>
    </cfRule>
  </conditionalFormatting>
  <conditionalFormatting sqref="Y124:Y125">
    <cfRule type="expression" dxfId="0" priority="281">
      <formula>Y124&lt;X124</formula>
    </cfRule>
  </conditionalFormatting>
  <conditionalFormatting sqref="Y124:Y125">
    <cfRule type="expression" dxfId="1" priority="282">
      <formula>Y124&gt;=X124</formula>
    </cfRule>
  </conditionalFormatting>
  <conditionalFormatting sqref="AC124:AC125">
    <cfRule type="expression" dxfId="0" priority="283">
      <formula>AC124&lt;AB124</formula>
    </cfRule>
  </conditionalFormatting>
  <conditionalFormatting sqref="AC124:AC125">
    <cfRule type="expression" dxfId="1" priority="284">
      <formula>AC124&gt;=AB124</formula>
    </cfRule>
  </conditionalFormatting>
  <conditionalFormatting sqref="AK5 AK13">
    <cfRule type="expression" dxfId="2" priority="285">
      <formula>AK5&gt;=AK4</formula>
    </cfRule>
  </conditionalFormatting>
  <conditionalFormatting sqref="AK5 AK13">
    <cfRule type="expression" dxfId="0" priority="286">
      <formula>AK5&lt;AK4</formula>
    </cfRule>
  </conditionalFormatting>
  <conditionalFormatting sqref="AJ5 AJ13">
    <cfRule type="expression" dxfId="2" priority="287">
      <formula>AJ5&gt;=AJ4</formula>
    </cfRule>
  </conditionalFormatting>
  <conditionalFormatting sqref="AJ5 AJ13">
    <cfRule type="expression" dxfId="0" priority="288">
      <formula>AJ5&lt;AJ4</formula>
    </cfRule>
  </conditionalFormatting>
  <conditionalFormatting sqref="AL5 AL13 AL21 AL29 AL37 AL45 AL53 AL61 AL69 AL77 AL85 AL93 AL101 AL109 AL117 AL125 AL133 AL141">
    <cfRule type="expression" dxfId="2" priority="289">
      <formula>AL5&gt;=AF5</formula>
    </cfRule>
  </conditionalFormatting>
  <conditionalFormatting sqref="AL5 AL13 AL21 AL29 AL37 AL45 AL53 AL61 AL69 AL77 AL85 AL93 AL101 AL109 AL117 AL125 AL133 AL141">
    <cfRule type="expression" dxfId="0" priority="290">
      <formula>AL5&lt;AF5</formula>
    </cfRule>
  </conditionalFormatting>
  <conditionalFormatting sqref="AG21">
    <cfRule type="expression" dxfId="2" priority="291">
      <formula>AG21&gt;=AG20</formula>
    </cfRule>
  </conditionalFormatting>
  <conditionalFormatting sqref="AG21">
    <cfRule type="expression" dxfId="0" priority="292">
      <formula>AG21&lt;AG20</formula>
    </cfRule>
  </conditionalFormatting>
  <conditionalFormatting sqref="AI21">
    <cfRule type="expression" dxfId="2" priority="293">
      <formula>AI21&gt;=AI20</formula>
    </cfRule>
  </conditionalFormatting>
  <conditionalFormatting sqref="AI21">
    <cfRule type="expression" dxfId="0" priority="294">
      <formula>AI21&lt;AI20</formula>
    </cfRule>
  </conditionalFormatting>
  <conditionalFormatting sqref="AJ21">
    <cfRule type="expression" dxfId="2" priority="295">
      <formula>AJ21&gt;=AJ20</formula>
    </cfRule>
  </conditionalFormatting>
  <conditionalFormatting sqref="AJ21">
    <cfRule type="expression" dxfId="0" priority="296">
      <formula>AJ21&lt;AJ20</formula>
    </cfRule>
  </conditionalFormatting>
  <conditionalFormatting sqref="AK21">
    <cfRule type="expression" dxfId="2" priority="297">
      <formula>AK21&gt;=AK20</formula>
    </cfRule>
  </conditionalFormatting>
  <conditionalFormatting sqref="AK21">
    <cfRule type="expression" dxfId="0" priority="298">
      <formula>AK21&lt;AK20</formula>
    </cfRule>
  </conditionalFormatting>
  <conditionalFormatting sqref="AH29">
    <cfRule type="expression" dxfId="2" priority="299">
      <formula>AH29&gt;=AH28</formula>
    </cfRule>
  </conditionalFormatting>
  <conditionalFormatting sqref="AH29">
    <cfRule type="expression" dxfId="0" priority="300">
      <formula>AH29&lt;AH28</formula>
    </cfRule>
  </conditionalFormatting>
  <conditionalFormatting sqref="AI29">
    <cfRule type="expression" dxfId="2" priority="301">
      <formula>AI29&gt;=AI28</formula>
    </cfRule>
  </conditionalFormatting>
  <conditionalFormatting sqref="AI29">
    <cfRule type="expression" dxfId="0" priority="302">
      <formula>AI29&lt;AI28</formula>
    </cfRule>
  </conditionalFormatting>
  <conditionalFormatting sqref="AJ29">
    <cfRule type="expression" dxfId="2" priority="303">
      <formula>AJ29&gt;=AJ28</formula>
    </cfRule>
  </conditionalFormatting>
  <conditionalFormatting sqref="AJ29">
    <cfRule type="expression" dxfId="0" priority="304">
      <formula>AJ29&lt;AJ28</formula>
    </cfRule>
  </conditionalFormatting>
  <conditionalFormatting sqref="AK29">
    <cfRule type="expression" dxfId="2" priority="305">
      <formula>AK29&gt;=AK28</formula>
    </cfRule>
  </conditionalFormatting>
  <conditionalFormatting sqref="AK29">
    <cfRule type="expression" dxfId="0" priority="306">
      <formula>AK29&lt;AK28</formula>
    </cfRule>
  </conditionalFormatting>
  <conditionalFormatting sqref="AG29 AG37:AK37 AG45:AK45 AG53:AK53 AG61:AK61 AG69:AK69 AG77:AK77 AG85:AK85 AG93:AK93 AG101:AK101 AG109:AK109 AG117:AK117 AG125:AK125 AG133:AK133">
    <cfRule type="expression" dxfId="2" priority="307">
      <formula>AG29&gt;=AG28</formula>
    </cfRule>
  </conditionalFormatting>
  <conditionalFormatting sqref="AG29 AG37:AK37 AG45:AK45 AG53:AK53 AG61:AK61 AG69:AK69 AG77:AK77 AG85:AK85 AG93:AK93 AG101:AK101 AG109:AK109 AG117:AK117 AG125:AK125 AG133:AK133">
    <cfRule type="expression" dxfId="0" priority="308">
      <formula>AG29&lt;AG28</formula>
    </cfRule>
  </conditionalFormatting>
  <conditionalFormatting sqref="AG5:AI5">
    <cfRule type="expression" dxfId="2" priority="309">
      <formula>AG5&gt;=AG4</formula>
    </cfRule>
  </conditionalFormatting>
  <conditionalFormatting sqref="AG5:AI5">
    <cfRule type="expression" dxfId="0" priority="310">
      <formula>AG5&lt;AG4</formula>
    </cfRule>
  </conditionalFormatting>
  <printOptions/>
  <pageMargins bottom="0.787401575" footer="0.0" header="0.0" left="0.511811024" right="0.511811024" top="0.7874015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2.29"/>
    <col customWidth="1" hidden="1" min="8" max="8" width="7.43"/>
    <col customWidth="1" hidden="1" min="9" max="9" width="6.43"/>
    <col customWidth="1" min="10" max="10" width="21.0"/>
    <col customWidth="1" min="11" max="11" width="8.29"/>
    <col customWidth="1" min="12" max="12" width="15.14"/>
    <col customWidth="1" min="13" max="16" width="15.0"/>
    <col customWidth="1" min="17" max="23" width="16.43"/>
    <col customWidth="1" min="24" max="24" width="16.14"/>
    <col customWidth="1" min="25" max="25" width="14.86"/>
    <col customWidth="1" min="26" max="26" width="13.0"/>
    <col customWidth="1" min="27" max="27" width="16.14"/>
    <col customWidth="1" min="28" max="28" width="2.0"/>
    <col customWidth="1" min="29" max="30" width="9.86"/>
    <col customWidth="1" min="31" max="32" width="9.14"/>
  </cols>
  <sheetData>
    <row r="1" ht="15.75" customHeight="1">
      <c r="A1" s="1"/>
      <c r="B1" s="2"/>
      <c r="C1" s="1"/>
      <c r="D1" s="1"/>
      <c r="E1" s="3"/>
      <c r="F1" s="4"/>
      <c r="G1" s="5" t="s">
        <v>0</v>
      </c>
      <c r="H1" s="6"/>
      <c r="I1" s="7"/>
      <c r="J1" s="8"/>
      <c r="K1" s="9"/>
      <c r="L1" s="8"/>
      <c r="M1" s="10"/>
      <c r="N1" s="11"/>
      <c r="O1" s="11"/>
      <c r="P1" s="11"/>
      <c r="Q1" s="11"/>
      <c r="R1" s="11"/>
      <c r="S1" s="11"/>
      <c r="T1" s="11"/>
      <c r="U1" s="11"/>
      <c r="V1" s="11"/>
      <c r="W1" s="12"/>
      <c r="X1" s="13"/>
      <c r="Y1" s="14"/>
      <c r="Z1" s="15"/>
      <c r="AA1" s="13"/>
      <c r="AB1" s="3"/>
      <c r="AC1" s="3"/>
      <c r="AD1" s="3"/>
      <c r="AE1" s="3"/>
      <c r="AF1" s="3"/>
    </row>
    <row r="2" ht="15.75" customHeight="1">
      <c r="A2" s="1"/>
      <c r="B2" s="2"/>
      <c r="C2" s="16" t="s">
        <v>1</v>
      </c>
      <c r="D2" s="17" t="s">
        <v>2</v>
      </c>
      <c r="E2" s="18" t="s">
        <v>3</v>
      </c>
      <c r="F2" s="19" t="s">
        <v>4</v>
      </c>
      <c r="G2" s="20" t="s">
        <v>5</v>
      </c>
      <c r="H2" s="20" t="s">
        <v>6</v>
      </c>
      <c r="I2" s="20" t="s">
        <v>7</v>
      </c>
      <c r="J2" s="21"/>
      <c r="K2" s="22"/>
      <c r="L2" s="21"/>
      <c r="M2" s="21"/>
      <c r="N2" s="24"/>
      <c r="O2" s="24"/>
      <c r="P2" s="24"/>
      <c r="Q2" s="160"/>
      <c r="R2" s="24"/>
      <c r="S2" s="24"/>
      <c r="T2" s="24"/>
      <c r="U2" s="24"/>
      <c r="V2" s="24"/>
      <c r="W2" s="12"/>
      <c r="X2" s="13"/>
      <c r="Y2" s="14"/>
      <c r="Z2" s="15"/>
      <c r="AA2" s="13"/>
      <c r="AB2" s="3"/>
      <c r="AC2" s="3"/>
      <c r="AD2" s="3"/>
      <c r="AE2" s="3"/>
      <c r="AF2" s="3"/>
    </row>
    <row r="3">
      <c r="A3" s="1"/>
      <c r="B3" s="26">
        <v>1.0</v>
      </c>
      <c r="C3" s="27" t="s">
        <v>8</v>
      </c>
      <c r="D3" s="28"/>
      <c r="E3" s="29"/>
      <c r="F3" s="30"/>
      <c r="G3" s="31">
        <v>3.442912982002714E7</v>
      </c>
      <c r="H3" s="32">
        <v>329237.0</v>
      </c>
      <c r="I3" s="33">
        <v>104.57248067509771</v>
      </c>
      <c r="J3" s="34" t="s">
        <v>9</v>
      </c>
      <c r="K3" s="342">
        <v>7.0</v>
      </c>
      <c r="L3" s="343" t="s">
        <v>10</v>
      </c>
      <c r="M3" s="40" t="s">
        <v>14</v>
      </c>
      <c r="N3" s="344" t="s">
        <v>18</v>
      </c>
      <c r="O3" s="345" t="s">
        <v>22</v>
      </c>
      <c r="P3" s="344" t="s">
        <v>26</v>
      </c>
      <c r="Q3" s="345" t="s">
        <v>30</v>
      </c>
      <c r="R3" s="344" t="s">
        <v>34</v>
      </c>
      <c r="S3" s="345" t="s">
        <v>38</v>
      </c>
      <c r="T3" s="344" t="s">
        <v>42</v>
      </c>
      <c r="U3" s="345" t="s">
        <v>46</v>
      </c>
      <c r="V3" s="344" t="s">
        <v>50</v>
      </c>
      <c r="W3" s="345" t="s">
        <v>54</v>
      </c>
      <c r="X3" s="122" t="s">
        <v>114</v>
      </c>
      <c r="Y3" s="346">
        <v>2025.0</v>
      </c>
      <c r="Z3" s="49" t="s">
        <v>60</v>
      </c>
      <c r="AA3" s="122">
        <v>2026.0</v>
      </c>
      <c r="AB3" s="3"/>
      <c r="AC3" s="3"/>
      <c r="AD3" s="3"/>
      <c r="AE3" s="3"/>
      <c r="AF3" s="3"/>
    </row>
    <row r="4">
      <c r="A4" s="1"/>
      <c r="B4" s="26"/>
      <c r="C4" s="27"/>
      <c r="D4" s="28"/>
      <c r="E4" s="29"/>
      <c r="F4" s="30"/>
      <c r="G4" s="31"/>
      <c r="H4" s="32"/>
      <c r="I4" s="33"/>
      <c r="J4" s="50" t="s">
        <v>61</v>
      </c>
      <c r="K4" s="347"/>
      <c r="L4" s="56" t="s">
        <v>60</v>
      </c>
      <c r="M4" s="56" t="s">
        <v>60</v>
      </c>
      <c r="N4" s="348">
        <v>0.04</v>
      </c>
      <c r="O4" s="348">
        <v>0.08</v>
      </c>
      <c r="P4" s="348">
        <v>0.08</v>
      </c>
      <c r="Q4" s="348">
        <v>0.05</v>
      </c>
      <c r="R4" s="348">
        <v>0.05</v>
      </c>
      <c r="S4" s="348">
        <v>0.06</v>
      </c>
      <c r="T4" s="348">
        <v>0.14</v>
      </c>
      <c r="U4" s="348">
        <v>0.15</v>
      </c>
      <c r="V4" s="348">
        <v>0.17</v>
      </c>
      <c r="W4" s="348">
        <v>0.18</v>
      </c>
      <c r="X4" s="165">
        <f>SUM(N4:W4)</f>
        <v>1</v>
      </c>
      <c r="Y4" s="349"/>
      <c r="Z4" s="64"/>
      <c r="AA4" s="165">
        <v>1.0</v>
      </c>
      <c r="AB4" s="3"/>
      <c r="AC4" s="3"/>
      <c r="AD4" s="3"/>
      <c r="AE4" s="3"/>
      <c r="AF4" s="3"/>
    </row>
    <row r="5">
      <c r="A5" s="1"/>
      <c r="B5" s="26"/>
      <c r="C5" s="27"/>
      <c r="D5" s="28"/>
      <c r="E5" s="29"/>
      <c r="F5" s="30"/>
      <c r="G5" s="31"/>
      <c r="H5" s="32"/>
      <c r="I5" s="33"/>
      <c r="J5" s="50" t="s">
        <v>63</v>
      </c>
      <c r="K5" s="347"/>
      <c r="L5" s="114">
        <v>2864120.0</v>
      </c>
      <c r="M5" s="114">
        <v>2553655.0</v>
      </c>
      <c r="N5" s="66">
        <f t="shared" ref="N5:W5" si="1">($X$5-($L$5+$M$5))*N4</f>
        <v>1983289</v>
      </c>
      <c r="O5" s="66">
        <f t="shared" si="1"/>
        <v>3966578</v>
      </c>
      <c r="P5" s="66">
        <f t="shared" si="1"/>
        <v>3966578</v>
      </c>
      <c r="Q5" s="66">
        <f t="shared" si="1"/>
        <v>2479111.25</v>
      </c>
      <c r="R5" s="66">
        <f t="shared" si="1"/>
        <v>2479111.25</v>
      </c>
      <c r="S5" s="66">
        <f t="shared" si="1"/>
        <v>2974933.5</v>
      </c>
      <c r="T5" s="66">
        <f t="shared" si="1"/>
        <v>6941511.5</v>
      </c>
      <c r="U5" s="66">
        <f t="shared" si="1"/>
        <v>7437333.75</v>
      </c>
      <c r="V5" s="66">
        <f t="shared" si="1"/>
        <v>8428978.25</v>
      </c>
      <c r="W5" s="66">
        <f t="shared" si="1"/>
        <v>8924800.5</v>
      </c>
      <c r="X5" s="166">
        <v>5.5E7</v>
      </c>
      <c r="Y5" s="350">
        <v>3.46450673E7</v>
      </c>
      <c r="Z5" s="78">
        <f t="shared" ref="Z5:Z7" si="3">X5/Y5-1</f>
        <v>0.5875275843</v>
      </c>
      <c r="AA5" s="166">
        <v>5.0E7</v>
      </c>
      <c r="AB5" s="3"/>
      <c r="AC5" s="147"/>
      <c r="AD5" s="3"/>
      <c r="AE5" s="3"/>
      <c r="AF5" s="3"/>
    </row>
    <row r="6">
      <c r="A6" s="1"/>
      <c r="B6" s="26"/>
      <c r="C6" s="27"/>
      <c r="D6" s="28"/>
      <c r="E6" s="29"/>
      <c r="F6" s="30"/>
      <c r="G6" s="31"/>
      <c r="H6" s="32"/>
      <c r="I6" s="33"/>
      <c r="J6" s="50" t="s">
        <v>64</v>
      </c>
      <c r="K6" s="351">
        <v>90.0</v>
      </c>
      <c r="L6" s="149">
        <v>33527.0</v>
      </c>
      <c r="M6" s="149">
        <v>28807.0</v>
      </c>
      <c r="N6" s="81">
        <f t="shared" ref="N6:W6" si="2">N5/$K$6</f>
        <v>22036.54444</v>
      </c>
      <c r="O6" s="81">
        <f t="shared" si="2"/>
        <v>44073.08889</v>
      </c>
      <c r="P6" s="81">
        <f t="shared" si="2"/>
        <v>44073.08889</v>
      </c>
      <c r="Q6" s="81">
        <f t="shared" si="2"/>
        <v>27545.68056</v>
      </c>
      <c r="R6" s="81">
        <f t="shared" si="2"/>
        <v>27545.68056</v>
      </c>
      <c r="S6" s="81">
        <f t="shared" si="2"/>
        <v>33054.81667</v>
      </c>
      <c r="T6" s="81">
        <f t="shared" si="2"/>
        <v>77127.90556</v>
      </c>
      <c r="U6" s="81">
        <f t="shared" si="2"/>
        <v>82637.04167</v>
      </c>
      <c r="V6" s="81">
        <f t="shared" si="2"/>
        <v>93655.31389</v>
      </c>
      <c r="W6" s="81">
        <f t="shared" si="2"/>
        <v>99164.45</v>
      </c>
      <c r="X6" s="352">
        <f t="shared" ref="X6:X7" si="5">SUM(L6:W6)</f>
        <v>613247.6111</v>
      </c>
      <c r="Y6" s="353">
        <v>329232.0</v>
      </c>
      <c r="Z6" s="78">
        <f t="shared" si="3"/>
        <v>0.8626610145</v>
      </c>
      <c r="AA6" s="352">
        <v>557692.0555555556</v>
      </c>
      <c r="AB6" s="3"/>
      <c r="AC6" s="3"/>
      <c r="AD6" s="3"/>
      <c r="AE6" s="3"/>
      <c r="AF6" s="3"/>
    </row>
    <row r="7">
      <c r="A7" s="1"/>
      <c r="B7" s="26"/>
      <c r="C7" s="27"/>
      <c r="D7" s="28"/>
      <c r="E7" s="29"/>
      <c r="F7" s="30"/>
      <c r="G7" s="31"/>
      <c r="H7" s="32"/>
      <c r="I7" s="33"/>
      <c r="J7" s="91" t="s">
        <v>66</v>
      </c>
      <c r="K7" s="354">
        <v>0.049</v>
      </c>
      <c r="L7" s="94">
        <f t="shared" ref="L7:W7" si="4">L5*$K$7</f>
        <v>140341.88</v>
      </c>
      <c r="M7" s="94">
        <f t="shared" si="4"/>
        <v>125129.095</v>
      </c>
      <c r="N7" s="97">
        <f t="shared" si="4"/>
        <v>97181.161</v>
      </c>
      <c r="O7" s="97">
        <f t="shared" si="4"/>
        <v>194362.322</v>
      </c>
      <c r="P7" s="97">
        <f t="shared" si="4"/>
        <v>194362.322</v>
      </c>
      <c r="Q7" s="97">
        <f t="shared" si="4"/>
        <v>121476.4513</v>
      </c>
      <c r="R7" s="97">
        <f t="shared" si="4"/>
        <v>121476.4513</v>
      </c>
      <c r="S7" s="97">
        <f t="shared" si="4"/>
        <v>145771.7415</v>
      </c>
      <c r="T7" s="97">
        <f t="shared" si="4"/>
        <v>340134.0635</v>
      </c>
      <c r="U7" s="97">
        <f t="shared" si="4"/>
        <v>364429.3538</v>
      </c>
      <c r="V7" s="97">
        <f t="shared" si="4"/>
        <v>413019.9343</v>
      </c>
      <c r="W7" s="97">
        <f t="shared" si="4"/>
        <v>437315.2245</v>
      </c>
      <c r="X7" s="169">
        <f t="shared" si="5"/>
        <v>2695000</v>
      </c>
      <c r="Y7" s="355">
        <f>Y5*0.049</f>
        <v>1697608.298</v>
      </c>
      <c r="Z7" s="104">
        <f t="shared" si="3"/>
        <v>0.5875275843</v>
      </c>
      <c r="AA7" s="169">
        <v>2450000.0000000005</v>
      </c>
      <c r="AB7" s="3"/>
      <c r="AC7" s="3"/>
      <c r="AD7" s="3"/>
      <c r="AE7" s="3"/>
      <c r="AF7" s="3"/>
    </row>
    <row r="8">
      <c r="A8" s="1"/>
      <c r="B8" s="26"/>
      <c r="C8" s="27"/>
      <c r="D8" s="28"/>
      <c r="E8" s="29"/>
      <c r="F8" s="30"/>
      <c r="G8" s="31"/>
      <c r="H8" s="32"/>
      <c r="I8" s="33"/>
      <c r="J8" s="13"/>
      <c r="K8" s="113"/>
      <c r="L8" s="114"/>
      <c r="M8" s="114"/>
      <c r="N8" s="114"/>
      <c r="O8" s="114"/>
      <c r="P8" s="115">
        <v>16.0</v>
      </c>
      <c r="Q8" s="160"/>
      <c r="R8" s="115">
        <v>100.0</v>
      </c>
      <c r="S8" s="115">
        <v>180.0</v>
      </c>
      <c r="T8" s="115">
        <v>300.0</v>
      </c>
      <c r="U8" s="115">
        <v>400.0</v>
      </c>
      <c r="V8" s="115">
        <v>450.0</v>
      </c>
      <c r="W8" s="115">
        <v>500.0</v>
      </c>
      <c r="X8" s="116"/>
      <c r="Y8" s="14"/>
      <c r="Z8" s="15"/>
      <c r="AA8" s="116"/>
      <c r="AB8" s="3"/>
      <c r="AC8" s="4"/>
      <c r="AD8" s="4"/>
      <c r="AE8" s="3"/>
      <c r="AF8" s="3"/>
    </row>
    <row r="9">
      <c r="A9" s="1"/>
      <c r="B9" s="105">
        <v>2.0</v>
      </c>
      <c r="C9" s="106" t="s">
        <v>115</v>
      </c>
      <c r="D9" s="107"/>
      <c r="E9" s="108"/>
      <c r="F9" s="109"/>
      <c r="G9" s="110">
        <v>339.51</v>
      </c>
      <c r="H9" s="111">
        <v>31.0</v>
      </c>
      <c r="I9" s="112">
        <v>10.951935483870967</v>
      </c>
      <c r="J9" s="34" t="s">
        <v>67</v>
      </c>
      <c r="K9" s="342"/>
      <c r="L9" s="343" t="s">
        <v>10</v>
      </c>
      <c r="M9" s="40" t="s">
        <v>14</v>
      </c>
      <c r="N9" s="344" t="s">
        <v>18</v>
      </c>
      <c r="O9" s="345" t="s">
        <v>22</v>
      </c>
      <c r="P9" s="344" t="s">
        <v>26</v>
      </c>
      <c r="Q9" s="345"/>
      <c r="R9" s="344" t="s">
        <v>34</v>
      </c>
      <c r="S9" s="345" t="s">
        <v>38</v>
      </c>
      <c r="T9" s="344" t="s">
        <v>42</v>
      </c>
      <c r="U9" s="345" t="s">
        <v>46</v>
      </c>
      <c r="V9" s="344" t="s">
        <v>50</v>
      </c>
      <c r="W9" s="345" t="s">
        <v>54</v>
      </c>
      <c r="X9" s="122">
        <v>2026.0</v>
      </c>
      <c r="Y9" s="346">
        <v>2025.0</v>
      </c>
      <c r="Z9" s="49" t="s">
        <v>60</v>
      </c>
      <c r="AA9" s="122">
        <v>2026.0</v>
      </c>
      <c r="AB9" s="3"/>
      <c r="AC9" s="3"/>
      <c r="AD9" s="3"/>
      <c r="AE9" s="3"/>
      <c r="AF9" s="3"/>
    </row>
    <row r="10">
      <c r="A10" s="1"/>
      <c r="B10" s="105"/>
      <c r="C10" s="106"/>
      <c r="D10" s="107"/>
      <c r="E10" s="108"/>
      <c r="F10" s="109"/>
      <c r="G10" s="110"/>
      <c r="H10" s="111"/>
      <c r="I10" s="112"/>
      <c r="J10" s="50" t="s">
        <v>61</v>
      </c>
      <c r="K10" s="347"/>
      <c r="L10" s="56" t="s">
        <v>60</v>
      </c>
      <c r="M10" s="56" t="s">
        <v>60</v>
      </c>
      <c r="N10" s="348"/>
      <c r="O10" s="348"/>
      <c r="P10" s="348">
        <v>0.01</v>
      </c>
      <c r="Q10" s="348">
        <v>0.02</v>
      </c>
      <c r="R10" s="348">
        <v>0.05</v>
      </c>
      <c r="S10" s="348">
        <v>0.1</v>
      </c>
      <c r="T10" s="348">
        <v>0.12</v>
      </c>
      <c r="U10" s="348">
        <v>0.2</v>
      </c>
      <c r="V10" s="348">
        <v>0.25</v>
      </c>
      <c r="W10" s="348">
        <v>0.25</v>
      </c>
      <c r="X10" s="165">
        <f>SUM(L10:W10)</f>
        <v>1</v>
      </c>
      <c r="Y10" s="349" t="s">
        <v>60</v>
      </c>
      <c r="Z10" s="64"/>
      <c r="AA10" s="165">
        <v>1.0</v>
      </c>
      <c r="AB10" s="3"/>
      <c r="AC10" s="3"/>
      <c r="AD10" s="3"/>
      <c r="AE10" s="3"/>
      <c r="AF10" s="3"/>
    </row>
    <row r="11">
      <c r="A11" s="1"/>
      <c r="B11" s="105"/>
      <c r="C11" s="106"/>
      <c r="D11" s="107"/>
      <c r="E11" s="108"/>
      <c r="F11" s="109"/>
      <c r="G11" s="110"/>
      <c r="H11" s="111"/>
      <c r="I11" s="112"/>
      <c r="J11" s="50" t="s">
        <v>63</v>
      </c>
      <c r="K11" s="347"/>
      <c r="L11" s="114">
        <v>0.0</v>
      </c>
      <c r="M11" s="114">
        <v>0.0</v>
      </c>
      <c r="N11" s="66">
        <v>0.0</v>
      </c>
      <c r="O11" s="66">
        <v>0.0</v>
      </c>
      <c r="P11" s="66">
        <f t="shared" ref="P11:W11" si="6">($X$11-($L$11+$M$11+N11+O11))*P10</f>
        <v>20000</v>
      </c>
      <c r="Q11" s="66">
        <f t="shared" si="6"/>
        <v>39600</v>
      </c>
      <c r="R11" s="66">
        <f t="shared" si="6"/>
        <v>97020</v>
      </c>
      <c r="S11" s="66">
        <f t="shared" si="6"/>
        <v>186338</v>
      </c>
      <c r="T11" s="66">
        <f t="shared" si="6"/>
        <v>205997.04</v>
      </c>
      <c r="U11" s="66">
        <f t="shared" si="6"/>
        <v>321532.992</v>
      </c>
      <c r="V11" s="66">
        <f t="shared" si="6"/>
        <v>368117.492</v>
      </c>
      <c r="W11" s="66">
        <f t="shared" si="6"/>
        <v>327587.379</v>
      </c>
      <c r="X11" s="166">
        <v>2000000.0</v>
      </c>
      <c r="Y11" s="350" t="s">
        <v>60</v>
      </c>
      <c r="Z11" s="78" t="str">
        <f t="shared" ref="Z11:Z13" si="8">IFERROR((X11/Y11),"-")</f>
        <v>-</v>
      </c>
      <c r="AA11" s="166">
        <v>2000000.0</v>
      </c>
      <c r="AB11" s="3"/>
      <c r="AC11" s="147"/>
      <c r="AD11" s="3"/>
      <c r="AE11" s="3"/>
      <c r="AF11" s="3"/>
    </row>
    <row r="12">
      <c r="A12" s="1"/>
      <c r="B12" s="105"/>
      <c r="C12" s="106"/>
      <c r="D12" s="107"/>
      <c r="E12" s="108"/>
      <c r="F12" s="109"/>
      <c r="G12" s="110"/>
      <c r="H12" s="111"/>
      <c r="I12" s="112"/>
      <c r="J12" s="50" t="s">
        <v>64</v>
      </c>
      <c r="K12" s="351">
        <v>30.0</v>
      </c>
      <c r="L12" s="149">
        <v>0.0</v>
      </c>
      <c r="M12" s="149">
        <v>0.0</v>
      </c>
      <c r="N12" s="81">
        <f t="shared" ref="N12:W12" si="7">N11/$K$12</f>
        <v>0</v>
      </c>
      <c r="O12" s="81">
        <f t="shared" si="7"/>
        <v>0</v>
      </c>
      <c r="P12" s="81">
        <f t="shared" si="7"/>
        <v>666.6666667</v>
      </c>
      <c r="Q12" s="81">
        <f t="shared" si="7"/>
        <v>1320</v>
      </c>
      <c r="R12" s="81">
        <f t="shared" si="7"/>
        <v>3234</v>
      </c>
      <c r="S12" s="81">
        <f t="shared" si="7"/>
        <v>6211.266667</v>
      </c>
      <c r="T12" s="81">
        <f t="shared" si="7"/>
        <v>6866.568</v>
      </c>
      <c r="U12" s="81">
        <f t="shared" si="7"/>
        <v>10717.7664</v>
      </c>
      <c r="V12" s="81">
        <f t="shared" si="7"/>
        <v>12270.58307</v>
      </c>
      <c r="W12" s="81">
        <f t="shared" si="7"/>
        <v>10919.5793</v>
      </c>
      <c r="X12" s="352">
        <f t="shared" ref="X12:X13" si="10">SUM(L12:W12)</f>
        <v>52206.4301</v>
      </c>
      <c r="Y12" s="353" t="s">
        <v>60</v>
      </c>
      <c r="Z12" s="78" t="str">
        <f t="shared" si="8"/>
        <v>-</v>
      </c>
      <c r="AA12" s="352">
        <v>52206.4301</v>
      </c>
      <c r="AB12" s="3"/>
      <c r="AC12" s="3"/>
      <c r="AD12" s="3"/>
      <c r="AE12" s="3"/>
      <c r="AF12" s="3"/>
    </row>
    <row r="13">
      <c r="A13" s="1"/>
      <c r="B13" s="105"/>
      <c r="C13" s="106"/>
      <c r="D13" s="107"/>
      <c r="E13" s="108"/>
      <c r="F13" s="109"/>
      <c r="G13" s="110"/>
      <c r="H13" s="111"/>
      <c r="I13" s="112"/>
      <c r="J13" s="91" t="s">
        <v>66</v>
      </c>
      <c r="K13" s="356">
        <v>1.4</v>
      </c>
      <c r="L13" s="94">
        <f t="shared" ref="L13:W13" si="9">IF(L12=0, 0,
  MIN(L12, 10000) * 1.4 +
  MAX(0, MIN(L12, 25000) - 10000) * 1.25 +
  MAX(0, MIN(L12, 50000) - 25000) * 1.15 +
  MAX(0, MIN(L12, 100000) - 50000) * 0.9 +
  MAX(0, MIN(L12, 150000) - 100000) * 0.8 +
  MAX(0, L12 - 150000) * 0.7
)</f>
        <v>0</v>
      </c>
      <c r="M13" s="94">
        <f t="shared" si="9"/>
        <v>0</v>
      </c>
      <c r="N13" s="94">
        <f t="shared" si="9"/>
        <v>0</v>
      </c>
      <c r="O13" s="94">
        <f t="shared" si="9"/>
        <v>0</v>
      </c>
      <c r="P13" s="94">
        <f t="shared" si="9"/>
        <v>933.3333333</v>
      </c>
      <c r="Q13" s="94">
        <f t="shared" si="9"/>
        <v>1848</v>
      </c>
      <c r="R13" s="94">
        <f t="shared" si="9"/>
        <v>4527.6</v>
      </c>
      <c r="S13" s="94">
        <f t="shared" si="9"/>
        <v>8695.773333</v>
      </c>
      <c r="T13" s="94">
        <f t="shared" si="9"/>
        <v>9613.1952</v>
      </c>
      <c r="U13" s="94">
        <f t="shared" si="9"/>
        <v>14897.208</v>
      </c>
      <c r="V13" s="94">
        <f t="shared" si="9"/>
        <v>16838.22883</v>
      </c>
      <c r="W13" s="94">
        <f t="shared" si="9"/>
        <v>15149.47413</v>
      </c>
      <c r="X13" s="169">
        <f t="shared" si="10"/>
        <v>72502.81283</v>
      </c>
      <c r="Y13" s="355" t="s">
        <v>60</v>
      </c>
      <c r="Z13" s="104" t="str">
        <f t="shared" si="8"/>
        <v>-</v>
      </c>
      <c r="AA13" s="169">
        <v>72502.812825</v>
      </c>
      <c r="AB13" s="3"/>
      <c r="AC13" s="3"/>
      <c r="AD13" s="3"/>
      <c r="AE13" s="3"/>
      <c r="AF13" s="3"/>
    </row>
    <row r="14">
      <c r="A14" s="1"/>
      <c r="B14" s="105"/>
      <c r="C14" s="106"/>
      <c r="D14" s="107"/>
      <c r="E14" s="108"/>
      <c r="F14" s="109"/>
      <c r="G14" s="110"/>
      <c r="H14" s="111"/>
      <c r="I14" s="112"/>
      <c r="J14" s="13"/>
      <c r="K14" s="135"/>
      <c r="L14" s="136"/>
      <c r="M14" s="136"/>
      <c r="N14" s="136"/>
      <c r="O14" s="136"/>
      <c r="P14" s="136"/>
      <c r="Q14" s="160"/>
      <c r="R14" s="136"/>
      <c r="S14" s="136"/>
      <c r="T14" s="136"/>
      <c r="U14" s="136"/>
      <c r="V14" s="136"/>
      <c r="W14" s="136"/>
      <c r="X14" s="137"/>
      <c r="Y14" s="14"/>
      <c r="Z14" s="15"/>
      <c r="AA14" s="137"/>
      <c r="AB14" s="3"/>
      <c r="AC14" s="3"/>
      <c r="AD14" s="3"/>
      <c r="AE14" s="3"/>
      <c r="AF14" s="3"/>
    </row>
    <row r="15">
      <c r="A15" s="1"/>
      <c r="B15" s="105">
        <v>3.0</v>
      </c>
      <c r="C15" s="106" t="s">
        <v>68</v>
      </c>
      <c r="D15" s="107"/>
      <c r="E15" s="108"/>
      <c r="F15" s="109"/>
      <c r="G15" s="110"/>
      <c r="H15" s="111"/>
      <c r="I15" s="112"/>
      <c r="J15" s="34" t="s">
        <v>69</v>
      </c>
      <c r="K15" s="342"/>
      <c r="L15" s="343" t="s">
        <v>10</v>
      </c>
      <c r="M15" s="40" t="s">
        <v>14</v>
      </c>
      <c r="N15" s="344" t="s">
        <v>18</v>
      </c>
      <c r="O15" s="345" t="s">
        <v>22</v>
      </c>
      <c r="P15" s="344" t="s">
        <v>26</v>
      </c>
      <c r="Q15" s="345" t="s">
        <v>30</v>
      </c>
      <c r="R15" s="344" t="s">
        <v>34</v>
      </c>
      <c r="S15" s="345" t="s">
        <v>38</v>
      </c>
      <c r="T15" s="344" t="s">
        <v>42</v>
      </c>
      <c r="U15" s="345" t="s">
        <v>46</v>
      </c>
      <c r="V15" s="344" t="s">
        <v>50</v>
      </c>
      <c r="W15" s="345" t="s">
        <v>54</v>
      </c>
      <c r="X15" s="122">
        <v>2026.0</v>
      </c>
      <c r="Y15" s="346">
        <v>2025.0</v>
      </c>
      <c r="Z15" s="49" t="s">
        <v>60</v>
      </c>
      <c r="AA15" s="122">
        <v>2026.0</v>
      </c>
      <c r="AB15" s="3"/>
      <c r="AC15" s="3"/>
      <c r="AD15" s="3"/>
      <c r="AE15" s="3"/>
      <c r="AF15" s="3"/>
    </row>
    <row r="16">
      <c r="A16" s="1"/>
      <c r="B16" s="105"/>
      <c r="C16" s="106"/>
      <c r="D16" s="107"/>
      <c r="E16" s="108"/>
      <c r="F16" s="109"/>
      <c r="G16" s="110"/>
      <c r="H16" s="111"/>
      <c r="I16" s="112"/>
      <c r="J16" s="50" t="s">
        <v>61</v>
      </c>
      <c r="K16" s="347"/>
      <c r="L16" s="56" t="s">
        <v>60</v>
      </c>
      <c r="M16" s="56" t="s">
        <v>60</v>
      </c>
      <c r="N16" s="348"/>
      <c r="O16" s="348"/>
      <c r="P16" s="348">
        <v>0.01</v>
      </c>
      <c r="Q16" s="348">
        <v>0.05</v>
      </c>
      <c r="R16" s="348">
        <v>0.1</v>
      </c>
      <c r="S16" s="348">
        <v>0.14</v>
      </c>
      <c r="T16" s="348">
        <v>0.15</v>
      </c>
      <c r="U16" s="348">
        <v>0.2</v>
      </c>
      <c r="V16" s="348">
        <v>0.2</v>
      </c>
      <c r="W16" s="348">
        <v>0.15</v>
      </c>
      <c r="X16" s="165">
        <f>SUM(L16:W16)</f>
        <v>1</v>
      </c>
      <c r="Y16" s="349" t="s">
        <v>60</v>
      </c>
      <c r="Z16" s="64"/>
      <c r="AA16" s="165">
        <v>1.0</v>
      </c>
      <c r="AB16" s="3"/>
      <c r="AC16" s="3"/>
      <c r="AD16" s="3"/>
      <c r="AE16" s="3"/>
      <c r="AF16" s="3"/>
    </row>
    <row r="17">
      <c r="A17" s="1"/>
      <c r="B17" s="105"/>
      <c r="C17" s="106"/>
      <c r="D17" s="107"/>
      <c r="E17" s="108"/>
      <c r="F17" s="109"/>
      <c r="G17" s="110"/>
      <c r="H17" s="111"/>
      <c r="I17" s="112"/>
      <c r="J17" s="50" t="s">
        <v>63</v>
      </c>
      <c r="K17" s="347"/>
      <c r="L17" s="114">
        <v>0.0</v>
      </c>
      <c r="M17" s="114">
        <v>0.0</v>
      </c>
      <c r="N17" s="66">
        <f t="shared" ref="N17:W17" si="11">($X$17-($L$17+$M$17))*N16</f>
        <v>0</v>
      </c>
      <c r="O17" s="66">
        <f t="shared" si="11"/>
        <v>0</v>
      </c>
      <c r="P17" s="66">
        <f t="shared" si="11"/>
        <v>40000</v>
      </c>
      <c r="Q17" s="66">
        <f t="shared" si="11"/>
        <v>200000</v>
      </c>
      <c r="R17" s="66">
        <f t="shared" si="11"/>
        <v>400000</v>
      </c>
      <c r="S17" s="66">
        <f t="shared" si="11"/>
        <v>560000</v>
      </c>
      <c r="T17" s="66">
        <f t="shared" si="11"/>
        <v>600000</v>
      </c>
      <c r="U17" s="66">
        <f t="shared" si="11"/>
        <v>800000</v>
      </c>
      <c r="V17" s="66">
        <f t="shared" si="11"/>
        <v>800000</v>
      </c>
      <c r="W17" s="66">
        <f t="shared" si="11"/>
        <v>600000</v>
      </c>
      <c r="X17" s="166">
        <v>4000000.0</v>
      </c>
      <c r="Y17" s="350" t="s">
        <v>60</v>
      </c>
      <c r="Z17" s="78" t="str">
        <f t="shared" ref="Z17:Z19" si="13">IFERROR((X17/Y17),"-")</f>
        <v>-</v>
      </c>
      <c r="AA17" s="166">
        <v>4000000.0</v>
      </c>
      <c r="AB17" s="3"/>
      <c r="AC17" s="147"/>
      <c r="AD17" s="3"/>
      <c r="AE17" s="3"/>
      <c r="AF17" s="3"/>
    </row>
    <row r="18">
      <c r="A18" s="1"/>
      <c r="B18" s="105"/>
      <c r="C18" s="106"/>
      <c r="D18" s="107"/>
      <c r="E18" s="108"/>
      <c r="F18" s="109"/>
      <c r="G18" s="110"/>
      <c r="H18" s="111"/>
      <c r="I18" s="112"/>
      <c r="J18" s="50" t="s">
        <v>64</v>
      </c>
      <c r="K18" s="351">
        <v>180.0</v>
      </c>
      <c r="L18" s="149">
        <v>0.0</v>
      </c>
      <c r="M18" s="149">
        <v>0.0</v>
      </c>
      <c r="N18" s="81">
        <f t="shared" ref="N18:W18" si="12">N17/$K$18</f>
        <v>0</v>
      </c>
      <c r="O18" s="81">
        <f t="shared" si="12"/>
        <v>0</v>
      </c>
      <c r="P18" s="81">
        <f t="shared" si="12"/>
        <v>222.2222222</v>
      </c>
      <c r="Q18" s="81">
        <f t="shared" si="12"/>
        <v>1111.111111</v>
      </c>
      <c r="R18" s="81">
        <f t="shared" si="12"/>
        <v>2222.222222</v>
      </c>
      <c r="S18" s="81">
        <f t="shared" si="12"/>
        <v>3111.111111</v>
      </c>
      <c r="T18" s="81">
        <f t="shared" si="12"/>
        <v>3333.333333</v>
      </c>
      <c r="U18" s="81">
        <f t="shared" si="12"/>
        <v>4444.444444</v>
      </c>
      <c r="V18" s="81">
        <f t="shared" si="12"/>
        <v>4444.444444</v>
      </c>
      <c r="W18" s="81">
        <f t="shared" si="12"/>
        <v>3333.333333</v>
      </c>
      <c r="X18" s="352">
        <f t="shared" ref="X18:X19" si="15">SUM(L18:W18)</f>
        <v>22222.22222</v>
      </c>
      <c r="Y18" s="353" t="s">
        <v>60</v>
      </c>
      <c r="Z18" s="78" t="str">
        <f t="shared" si="13"/>
        <v>-</v>
      </c>
      <c r="AA18" s="352">
        <v>22222.222222222223</v>
      </c>
      <c r="AB18" s="3"/>
      <c r="AC18" s="3"/>
      <c r="AD18" s="3"/>
      <c r="AE18" s="3"/>
      <c r="AF18" s="3"/>
    </row>
    <row r="19">
      <c r="A19" s="1"/>
      <c r="B19" s="105"/>
      <c r="C19" s="106"/>
      <c r="D19" s="107"/>
      <c r="E19" s="108"/>
      <c r="F19" s="109"/>
      <c r="G19" s="110"/>
      <c r="H19" s="111"/>
      <c r="I19" s="112"/>
      <c r="J19" s="91" t="s">
        <v>66</v>
      </c>
      <c r="K19" s="356">
        <v>4.5</v>
      </c>
      <c r="L19" s="94">
        <f t="shared" ref="L19:W19" si="14">$K$19*L18</f>
        <v>0</v>
      </c>
      <c r="M19" s="94">
        <f t="shared" si="14"/>
        <v>0</v>
      </c>
      <c r="N19" s="97">
        <f t="shared" si="14"/>
        <v>0</v>
      </c>
      <c r="O19" s="97">
        <f t="shared" si="14"/>
        <v>0</v>
      </c>
      <c r="P19" s="97">
        <f t="shared" si="14"/>
        <v>1000</v>
      </c>
      <c r="Q19" s="97">
        <f t="shared" si="14"/>
        <v>5000</v>
      </c>
      <c r="R19" s="97">
        <f t="shared" si="14"/>
        <v>10000</v>
      </c>
      <c r="S19" s="97">
        <f t="shared" si="14"/>
        <v>14000</v>
      </c>
      <c r="T19" s="97">
        <f t="shared" si="14"/>
        <v>15000</v>
      </c>
      <c r="U19" s="97">
        <f t="shared" si="14"/>
        <v>20000</v>
      </c>
      <c r="V19" s="97">
        <f t="shared" si="14"/>
        <v>20000</v>
      </c>
      <c r="W19" s="97">
        <f t="shared" si="14"/>
        <v>15000</v>
      </c>
      <c r="X19" s="169">
        <f t="shared" si="15"/>
        <v>100000</v>
      </c>
      <c r="Y19" s="355" t="s">
        <v>60</v>
      </c>
      <c r="Z19" s="104" t="str">
        <f t="shared" si="13"/>
        <v>-</v>
      </c>
      <c r="AA19" s="169">
        <v>100000.0</v>
      </c>
      <c r="AB19" s="3"/>
      <c r="AC19" s="3"/>
      <c r="AD19" s="3"/>
      <c r="AE19" s="3"/>
      <c r="AF19" s="3"/>
    </row>
    <row r="20">
      <c r="A20" s="1"/>
      <c r="B20" s="105"/>
      <c r="C20" s="106"/>
      <c r="D20" s="107"/>
      <c r="E20" s="108"/>
      <c r="F20" s="109"/>
      <c r="G20" s="110"/>
      <c r="H20" s="111"/>
      <c r="I20" s="140"/>
      <c r="J20" s="12"/>
      <c r="K20" s="148"/>
      <c r="L20" s="12"/>
      <c r="M20" s="149"/>
      <c r="N20" s="149"/>
      <c r="O20" s="150"/>
      <c r="P20" s="149"/>
      <c r="Q20" s="160"/>
      <c r="R20" s="149"/>
      <c r="S20" s="12"/>
      <c r="T20" s="12"/>
      <c r="U20" s="12"/>
      <c r="V20" s="12"/>
      <c r="W20" s="12"/>
      <c r="X20" s="13"/>
      <c r="Y20" s="14"/>
      <c r="Z20" s="15"/>
      <c r="AA20" s="13"/>
      <c r="AB20" s="3"/>
      <c r="AC20" s="3"/>
      <c r="AD20" s="3"/>
      <c r="AE20" s="3"/>
      <c r="AF20" s="3"/>
    </row>
    <row r="21" ht="15.75" customHeight="1">
      <c r="A21" s="1"/>
      <c r="B21" s="105">
        <v>4.0</v>
      </c>
      <c r="C21" s="106" t="s">
        <v>70</v>
      </c>
      <c r="D21" s="107">
        <f>15000*12*4</f>
        <v>720000</v>
      </c>
      <c r="E21" s="144">
        <v>92.0</v>
      </c>
      <c r="F21" s="109">
        <f>E21*D21</f>
        <v>66240000</v>
      </c>
      <c r="G21" s="110">
        <v>1632825.7999999607</v>
      </c>
      <c r="H21" s="111">
        <v>15759.0</v>
      </c>
      <c r="I21" s="140">
        <v>103.61227235230413</v>
      </c>
      <c r="J21" s="34" t="s">
        <v>71</v>
      </c>
      <c r="K21" s="357"/>
      <c r="L21" s="343" t="s">
        <v>10</v>
      </c>
      <c r="M21" s="40" t="s">
        <v>14</v>
      </c>
      <c r="N21" s="344" t="s">
        <v>18</v>
      </c>
      <c r="O21" s="345" t="s">
        <v>22</v>
      </c>
      <c r="P21" s="344" t="s">
        <v>26</v>
      </c>
      <c r="Q21" s="345" t="s">
        <v>30</v>
      </c>
      <c r="R21" s="344" t="s">
        <v>34</v>
      </c>
      <c r="S21" s="345" t="s">
        <v>38</v>
      </c>
      <c r="T21" s="344" t="s">
        <v>42</v>
      </c>
      <c r="U21" s="345" t="s">
        <v>46</v>
      </c>
      <c r="V21" s="344" t="s">
        <v>50</v>
      </c>
      <c r="W21" s="345" t="s">
        <v>54</v>
      </c>
      <c r="X21" s="122">
        <v>2026.0</v>
      </c>
      <c r="Y21" s="346">
        <v>2025.0</v>
      </c>
      <c r="Z21" s="49"/>
      <c r="AA21" s="122">
        <v>2026.0</v>
      </c>
      <c r="AB21" s="3"/>
      <c r="AC21" s="3"/>
      <c r="AD21" s="3"/>
      <c r="AE21" s="3"/>
      <c r="AF21" s="3"/>
    </row>
    <row r="22" ht="15.75" customHeight="1">
      <c r="A22" s="1"/>
      <c r="B22" s="26"/>
      <c r="C22" s="27"/>
      <c r="D22" s="28"/>
      <c r="E22" s="29"/>
      <c r="F22" s="30"/>
      <c r="G22" s="31"/>
      <c r="H22" s="32"/>
      <c r="I22" s="33"/>
      <c r="J22" s="50" t="s">
        <v>61</v>
      </c>
      <c r="K22" s="347"/>
      <c r="L22" s="56" t="s">
        <v>60</v>
      </c>
      <c r="M22" s="56" t="s">
        <v>60</v>
      </c>
      <c r="N22" s="348">
        <v>0.03</v>
      </c>
      <c r="O22" s="348">
        <v>0.03</v>
      </c>
      <c r="P22" s="348">
        <v>0.05</v>
      </c>
      <c r="Q22" s="348">
        <v>0.08</v>
      </c>
      <c r="R22" s="348">
        <v>0.13</v>
      </c>
      <c r="S22" s="348">
        <v>0.13</v>
      </c>
      <c r="T22" s="348">
        <v>0.13</v>
      </c>
      <c r="U22" s="348">
        <v>0.13</v>
      </c>
      <c r="V22" s="348">
        <v>0.16</v>
      </c>
      <c r="W22" s="348">
        <v>0.13</v>
      </c>
      <c r="X22" s="165">
        <f>SUM(N22:W22)</f>
        <v>1</v>
      </c>
      <c r="Y22" s="349" t="s">
        <v>60</v>
      </c>
      <c r="Z22" s="64"/>
      <c r="AA22" s="165">
        <v>1.0</v>
      </c>
      <c r="AB22" s="3"/>
      <c r="AC22" s="3"/>
      <c r="AD22" s="3"/>
      <c r="AE22" s="3"/>
      <c r="AF22" s="3"/>
    </row>
    <row r="23" ht="15.75" customHeight="1">
      <c r="A23" s="1"/>
      <c r="B23" s="105"/>
      <c r="C23" s="106"/>
      <c r="D23" s="107"/>
      <c r="E23" s="144"/>
      <c r="F23" s="109"/>
      <c r="G23" s="31"/>
      <c r="H23" s="32"/>
      <c r="I23" s="145"/>
      <c r="J23" s="50" t="s">
        <v>63</v>
      </c>
      <c r="K23" s="347"/>
      <c r="L23" s="114">
        <v>138541.22</v>
      </c>
      <c r="M23" s="114">
        <v>119609.0</v>
      </c>
      <c r="N23" s="66">
        <f t="shared" ref="N23:W23" si="16">($X$23-($L$23+$M$23))*N22</f>
        <v>172255.4934</v>
      </c>
      <c r="O23" s="66">
        <f t="shared" si="16"/>
        <v>172255.4934</v>
      </c>
      <c r="P23" s="66">
        <f t="shared" si="16"/>
        <v>287092.489</v>
      </c>
      <c r="Q23" s="66">
        <f t="shared" si="16"/>
        <v>459347.9824</v>
      </c>
      <c r="R23" s="66">
        <f t="shared" si="16"/>
        <v>746440.4714</v>
      </c>
      <c r="S23" s="66">
        <f t="shared" si="16"/>
        <v>746440.4714</v>
      </c>
      <c r="T23" s="66">
        <f t="shared" si="16"/>
        <v>746440.4714</v>
      </c>
      <c r="U23" s="66">
        <f t="shared" si="16"/>
        <v>746440.4714</v>
      </c>
      <c r="V23" s="66">
        <f t="shared" si="16"/>
        <v>918695.9648</v>
      </c>
      <c r="W23" s="66">
        <f t="shared" si="16"/>
        <v>746440.4714</v>
      </c>
      <c r="X23" s="166">
        <v>6000000.0</v>
      </c>
      <c r="Y23" s="350">
        <v>1632825.8</v>
      </c>
      <c r="Z23" s="78">
        <f t="shared" ref="Z23:Z24" si="18">X23/Y23-1</f>
        <v>2.674611217</v>
      </c>
      <c r="AA23" s="166">
        <v>4849096.225694574</v>
      </c>
      <c r="AB23" s="3"/>
      <c r="AC23" s="147"/>
      <c r="AD23" s="3"/>
      <c r="AE23" s="3"/>
      <c r="AF23" s="3"/>
    </row>
    <row r="24" ht="15.75" customHeight="1">
      <c r="A24" s="1"/>
      <c r="B24" s="105"/>
      <c r="C24" s="106"/>
      <c r="D24" s="107"/>
      <c r="E24" s="144"/>
      <c r="F24" s="109"/>
      <c r="G24" s="110"/>
      <c r="H24" s="111"/>
      <c r="I24" s="140"/>
      <c r="J24" s="50" t="s">
        <v>64</v>
      </c>
      <c r="K24" s="351">
        <v>107.0</v>
      </c>
      <c r="L24" s="149">
        <f t="shared" ref="L24:W24" si="17">L23/$K$24</f>
        <v>1294.777757</v>
      </c>
      <c r="M24" s="149">
        <f t="shared" si="17"/>
        <v>1117.841121</v>
      </c>
      <c r="N24" s="81">
        <f t="shared" si="17"/>
        <v>1609.864424</v>
      </c>
      <c r="O24" s="81">
        <f t="shared" si="17"/>
        <v>1609.864424</v>
      </c>
      <c r="P24" s="81">
        <f t="shared" si="17"/>
        <v>2683.107374</v>
      </c>
      <c r="Q24" s="81">
        <f t="shared" si="17"/>
        <v>4292.971798</v>
      </c>
      <c r="R24" s="81">
        <f t="shared" si="17"/>
        <v>6976.079172</v>
      </c>
      <c r="S24" s="81">
        <f t="shared" si="17"/>
        <v>6976.079172</v>
      </c>
      <c r="T24" s="81">
        <f t="shared" si="17"/>
        <v>6976.079172</v>
      </c>
      <c r="U24" s="81">
        <f t="shared" si="17"/>
        <v>6976.079172</v>
      </c>
      <c r="V24" s="81">
        <f t="shared" si="17"/>
        <v>8585.943596</v>
      </c>
      <c r="W24" s="81">
        <f t="shared" si="17"/>
        <v>6976.079172</v>
      </c>
      <c r="X24" s="352">
        <f t="shared" ref="X24:X25" si="20">SUM(L24:W24)</f>
        <v>56074.76636</v>
      </c>
      <c r="Y24" s="353">
        <v>15759.0</v>
      </c>
      <c r="Z24" s="78">
        <f t="shared" si="18"/>
        <v>2.558269329</v>
      </c>
      <c r="AA24" s="352">
        <v>45318.65631490257</v>
      </c>
      <c r="AB24" s="147"/>
      <c r="AC24" s="3"/>
      <c r="AD24" s="3"/>
      <c r="AE24" s="3"/>
      <c r="AF24" s="3"/>
    </row>
    <row r="25" ht="15.75" customHeight="1">
      <c r="A25" s="1"/>
      <c r="B25" s="105"/>
      <c r="C25" s="106"/>
      <c r="D25" s="107"/>
      <c r="E25" s="144"/>
      <c r="F25" s="109"/>
      <c r="G25" s="110"/>
      <c r="H25" s="111"/>
      <c r="I25" s="140"/>
      <c r="J25" s="91" t="s">
        <v>66</v>
      </c>
      <c r="K25" s="354">
        <v>0.039</v>
      </c>
      <c r="L25" s="94">
        <f t="shared" ref="L25:W25" si="19">IF(L24=0, 0, (L23/L24) * (
  MIN(L24, 1000) * 0.049 +
  MAX(0, MIN(L24, 2500) - 1000) * 0.039 +
  MAX(0, MIN(L24, 5000) - 2500) * 0.032 +
  MAX(0, L24 - 5000) * 0.029
))</f>
        <v>6473.10758</v>
      </c>
      <c r="M25" s="94">
        <f t="shared" si="19"/>
        <v>5734.751</v>
      </c>
      <c r="N25" s="94">
        <f t="shared" si="19"/>
        <v>7787.964243</v>
      </c>
      <c r="O25" s="94">
        <f t="shared" si="19"/>
        <v>7787.964243</v>
      </c>
      <c r="P25" s="94">
        <f t="shared" si="19"/>
        <v>12129.45965</v>
      </c>
      <c r="Q25" s="94">
        <f t="shared" si="19"/>
        <v>17641.63544</v>
      </c>
      <c r="R25" s="94">
        <f t="shared" si="19"/>
        <v>26194.27367</v>
      </c>
      <c r="S25" s="94">
        <f t="shared" si="19"/>
        <v>26194.27367</v>
      </c>
      <c r="T25" s="94">
        <f t="shared" si="19"/>
        <v>26194.27367</v>
      </c>
      <c r="U25" s="94">
        <f t="shared" si="19"/>
        <v>26194.27367</v>
      </c>
      <c r="V25" s="94">
        <f t="shared" si="19"/>
        <v>31189.68298</v>
      </c>
      <c r="W25" s="94">
        <f t="shared" si="19"/>
        <v>26194.27367</v>
      </c>
      <c r="X25" s="169">
        <f t="shared" si="20"/>
        <v>219715.9335</v>
      </c>
      <c r="Y25" s="355">
        <f>Y23*0.39</f>
        <v>636802.062</v>
      </c>
      <c r="Z25" s="104">
        <f>X25/Y25</f>
        <v>0.3450301853</v>
      </c>
      <c r="AA25" s="169">
        <v>184934.66039277337</v>
      </c>
      <c r="AB25" s="3"/>
      <c r="AC25" s="3"/>
      <c r="AD25" s="3"/>
      <c r="AE25" s="3"/>
      <c r="AF25" s="3"/>
    </row>
    <row r="26" ht="15.75" customHeight="1">
      <c r="A26" s="1"/>
      <c r="B26" s="105"/>
      <c r="C26" s="106"/>
      <c r="D26" s="107"/>
      <c r="E26" s="144"/>
      <c r="F26" s="109"/>
      <c r="G26" s="110"/>
      <c r="H26" s="111"/>
      <c r="I26" s="112"/>
      <c r="J26" s="12"/>
      <c r="K26" s="148"/>
      <c r="L26" s="12"/>
      <c r="M26" s="149"/>
      <c r="N26" s="149"/>
      <c r="O26" s="149"/>
      <c r="P26" s="149"/>
      <c r="Q26" s="160"/>
      <c r="R26" s="149"/>
      <c r="S26" s="12"/>
      <c r="T26" s="12"/>
      <c r="U26" s="12"/>
      <c r="V26" s="12"/>
      <c r="W26" s="12"/>
      <c r="X26" s="13"/>
      <c r="Y26" s="14"/>
      <c r="Z26" s="15"/>
      <c r="AA26" s="13"/>
      <c r="AB26" s="3"/>
      <c r="AC26" s="3"/>
      <c r="AD26" s="3"/>
      <c r="AE26" s="3"/>
      <c r="AF26" s="3"/>
    </row>
    <row r="27" ht="15.75" customHeight="1">
      <c r="A27" s="1"/>
      <c r="B27" s="105">
        <v>5.0</v>
      </c>
      <c r="C27" s="106" t="s">
        <v>72</v>
      </c>
      <c r="D27" s="107">
        <f>28*2*12</f>
        <v>672</v>
      </c>
      <c r="E27" s="144"/>
      <c r="F27" s="109">
        <f>D27*35</f>
        <v>23520</v>
      </c>
      <c r="G27" s="110">
        <v>14.9</v>
      </c>
      <c r="H27" s="111">
        <v>1.0</v>
      </c>
      <c r="I27" s="112">
        <v>14.9</v>
      </c>
      <c r="J27" s="34" t="s">
        <v>73</v>
      </c>
      <c r="K27" s="357"/>
      <c r="L27" s="343" t="s">
        <v>10</v>
      </c>
      <c r="M27" s="40" t="s">
        <v>14</v>
      </c>
      <c r="N27" s="344" t="s">
        <v>18</v>
      </c>
      <c r="O27" s="345" t="s">
        <v>22</v>
      </c>
      <c r="P27" s="344" t="s">
        <v>26</v>
      </c>
      <c r="Q27" s="345" t="s">
        <v>30</v>
      </c>
      <c r="R27" s="344" t="s">
        <v>34</v>
      </c>
      <c r="S27" s="345" t="s">
        <v>38</v>
      </c>
      <c r="T27" s="344" t="s">
        <v>42</v>
      </c>
      <c r="U27" s="345" t="s">
        <v>46</v>
      </c>
      <c r="V27" s="344" t="s">
        <v>50</v>
      </c>
      <c r="W27" s="345" t="s">
        <v>54</v>
      </c>
      <c r="X27" s="122">
        <v>2026.0</v>
      </c>
      <c r="Y27" s="346">
        <v>2025.0</v>
      </c>
      <c r="Z27" s="49"/>
      <c r="AA27" s="122">
        <v>2026.0</v>
      </c>
      <c r="AB27" s="3"/>
      <c r="AC27" s="3"/>
      <c r="AD27" s="3"/>
      <c r="AE27" s="3"/>
      <c r="AF27" s="3"/>
    </row>
    <row r="28" ht="15.75" customHeight="1">
      <c r="A28" s="1"/>
      <c r="B28" s="105"/>
      <c r="C28" s="106"/>
      <c r="D28" s="107"/>
      <c r="E28" s="144"/>
      <c r="F28" s="109"/>
      <c r="G28" s="110"/>
      <c r="H28" s="111"/>
      <c r="I28" s="112"/>
      <c r="J28" s="50" t="s">
        <v>61</v>
      </c>
      <c r="K28" s="347"/>
      <c r="L28" s="56"/>
      <c r="M28" s="56"/>
      <c r="N28" s="348"/>
      <c r="O28" s="348"/>
      <c r="P28" s="348">
        <v>0.02</v>
      </c>
      <c r="Q28" s="348">
        <v>0.04</v>
      </c>
      <c r="R28" s="348">
        <v>0.07</v>
      </c>
      <c r="S28" s="348">
        <v>0.11</v>
      </c>
      <c r="T28" s="348">
        <v>0.15</v>
      </c>
      <c r="U28" s="348">
        <v>0.2</v>
      </c>
      <c r="V28" s="348">
        <v>0.2</v>
      </c>
      <c r="W28" s="348">
        <v>0.21</v>
      </c>
      <c r="X28" s="165">
        <f>SUM(N28:W28)</f>
        <v>1</v>
      </c>
      <c r="Y28" s="349" t="s">
        <v>60</v>
      </c>
      <c r="Z28" s="64"/>
      <c r="AA28" s="165">
        <v>1.0</v>
      </c>
      <c r="AB28" s="3"/>
      <c r="AC28" s="3"/>
      <c r="AD28" s="3"/>
      <c r="AE28" s="3"/>
      <c r="AF28" s="3"/>
    </row>
    <row r="29" ht="15.75" customHeight="1">
      <c r="A29" s="1"/>
      <c r="B29" s="105"/>
      <c r="C29" s="106"/>
      <c r="D29" s="107"/>
      <c r="E29" s="144"/>
      <c r="F29" s="109"/>
      <c r="G29" s="110"/>
      <c r="H29" s="111"/>
      <c r="I29" s="112"/>
      <c r="J29" s="50" t="s">
        <v>63</v>
      </c>
      <c r="K29" s="347"/>
      <c r="L29" s="114"/>
      <c r="M29" s="114"/>
      <c r="N29" s="66">
        <f t="shared" ref="N29:W29" si="21">($X$29-($L$29+$M$29))*N28</f>
        <v>0</v>
      </c>
      <c r="O29" s="66">
        <f t="shared" si="21"/>
        <v>0</v>
      </c>
      <c r="P29" s="66">
        <f t="shared" si="21"/>
        <v>1000</v>
      </c>
      <c r="Q29" s="66">
        <f t="shared" si="21"/>
        <v>2000</v>
      </c>
      <c r="R29" s="66">
        <f t="shared" si="21"/>
        <v>3500</v>
      </c>
      <c r="S29" s="66">
        <f t="shared" si="21"/>
        <v>5500</v>
      </c>
      <c r="T29" s="66">
        <f t="shared" si="21"/>
        <v>7500</v>
      </c>
      <c r="U29" s="66">
        <f t="shared" si="21"/>
        <v>10000</v>
      </c>
      <c r="V29" s="66">
        <f t="shared" si="21"/>
        <v>10000</v>
      </c>
      <c r="W29" s="66">
        <f t="shared" si="21"/>
        <v>10500</v>
      </c>
      <c r="X29" s="166">
        <v>50000.0</v>
      </c>
      <c r="Y29" s="350" t="s">
        <v>60</v>
      </c>
      <c r="Z29" s="78"/>
      <c r="AA29" s="166">
        <v>50000.0</v>
      </c>
      <c r="AB29" s="3"/>
      <c r="AC29" s="147"/>
      <c r="AD29" s="3"/>
      <c r="AE29" s="3"/>
      <c r="AF29" s="3"/>
    </row>
    <row r="30" ht="15.75" customHeight="1">
      <c r="A30" s="1"/>
      <c r="B30" s="105"/>
      <c r="C30" s="106"/>
      <c r="D30" s="107"/>
      <c r="E30" s="144"/>
      <c r="F30" s="109"/>
      <c r="G30" s="110"/>
      <c r="H30" s="111"/>
      <c r="I30" s="112"/>
      <c r="J30" s="50" t="s">
        <v>64</v>
      </c>
      <c r="K30" s="351">
        <v>60.0</v>
      </c>
      <c r="L30" s="81">
        <f t="shared" ref="L30:W30" si="22">L29/$K$30</f>
        <v>0</v>
      </c>
      <c r="M30" s="81">
        <f t="shared" si="22"/>
        <v>0</v>
      </c>
      <c r="N30" s="81">
        <f t="shared" si="22"/>
        <v>0</v>
      </c>
      <c r="O30" s="81">
        <f t="shared" si="22"/>
        <v>0</v>
      </c>
      <c r="P30" s="81">
        <f t="shared" si="22"/>
        <v>16.66666667</v>
      </c>
      <c r="Q30" s="81">
        <f t="shared" si="22"/>
        <v>33.33333333</v>
      </c>
      <c r="R30" s="81">
        <f t="shared" si="22"/>
        <v>58.33333333</v>
      </c>
      <c r="S30" s="81">
        <f t="shared" si="22"/>
        <v>91.66666667</v>
      </c>
      <c r="T30" s="81">
        <f t="shared" si="22"/>
        <v>125</v>
      </c>
      <c r="U30" s="81">
        <f t="shared" si="22"/>
        <v>166.6666667</v>
      </c>
      <c r="V30" s="81">
        <f t="shared" si="22"/>
        <v>166.6666667</v>
      </c>
      <c r="W30" s="81">
        <f t="shared" si="22"/>
        <v>175</v>
      </c>
      <c r="X30" s="352">
        <f t="shared" ref="X30:X31" si="24">SUM(L30:W30)</f>
        <v>833.3333333</v>
      </c>
      <c r="Y30" s="353" t="s">
        <v>60</v>
      </c>
      <c r="Z30" s="78"/>
      <c r="AA30" s="352">
        <v>833.3333333333333</v>
      </c>
      <c r="AB30" s="3"/>
      <c r="AC30" s="3"/>
      <c r="AD30" s="3"/>
      <c r="AE30" s="3"/>
      <c r="AF30" s="3"/>
    </row>
    <row r="31" ht="15.75" customHeight="1">
      <c r="A31" s="1"/>
      <c r="B31" s="105"/>
      <c r="C31" s="106"/>
      <c r="D31" s="107"/>
      <c r="E31" s="144"/>
      <c r="F31" s="109"/>
      <c r="G31" s="110"/>
      <c r="H31" s="111"/>
      <c r="I31" s="112"/>
      <c r="J31" s="91" t="s">
        <v>66</v>
      </c>
      <c r="K31" s="354">
        <v>0.049</v>
      </c>
      <c r="L31" s="97">
        <f t="shared" ref="L31:W31" si="23">L29*$K$31</f>
        <v>0</v>
      </c>
      <c r="M31" s="97">
        <f t="shared" si="23"/>
        <v>0</v>
      </c>
      <c r="N31" s="97">
        <f t="shared" si="23"/>
        <v>0</v>
      </c>
      <c r="O31" s="97">
        <f t="shared" si="23"/>
        <v>0</v>
      </c>
      <c r="P31" s="97">
        <f t="shared" si="23"/>
        <v>49</v>
      </c>
      <c r="Q31" s="97">
        <f t="shared" si="23"/>
        <v>98</v>
      </c>
      <c r="R31" s="97">
        <f t="shared" si="23"/>
        <v>171.5</v>
      </c>
      <c r="S31" s="97">
        <f t="shared" si="23"/>
        <v>269.5</v>
      </c>
      <c r="T31" s="97">
        <f t="shared" si="23"/>
        <v>367.5</v>
      </c>
      <c r="U31" s="97">
        <f t="shared" si="23"/>
        <v>490</v>
      </c>
      <c r="V31" s="97">
        <f t="shared" si="23"/>
        <v>490</v>
      </c>
      <c r="W31" s="97">
        <f t="shared" si="23"/>
        <v>514.5</v>
      </c>
      <c r="X31" s="169">
        <f t="shared" si="24"/>
        <v>2450</v>
      </c>
      <c r="Y31" s="355" t="s">
        <v>60</v>
      </c>
      <c r="Z31" s="104"/>
      <c r="AA31" s="169">
        <v>2450.0</v>
      </c>
      <c r="AB31" s="3"/>
      <c r="AC31" s="3"/>
      <c r="AD31" s="3"/>
      <c r="AE31" s="3"/>
      <c r="AF31" s="3"/>
    </row>
    <row r="32" ht="15.75" customHeight="1">
      <c r="A32" s="1"/>
      <c r="B32" s="105"/>
      <c r="C32" s="106"/>
      <c r="D32" s="107"/>
      <c r="E32" s="144"/>
      <c r="F32" s="109"/>
      <c r="G32" s="110"/>
      <c r="H32" s="111"/>
      <c r="I32" s="112"/>
      <c r="J32" s="12"/>
      <c r="K32" s="148"/>
      <c r="L32" s="12"/>
      <c r="M32" s="149"/>
      <c r="N32" s="149"/>
      <c r="O32" s="149"/>
      <c r="P32" s="149"/>
      <c r="Q32" s="160"/>
      <c r="R32" s="149"/>
      <c r="S32" s="12"/>
      <c r="T32" s="12"/>
      <c r="U32" s="12"/>
      <c r="V32" s="12"/>
      <c r="W32" s="12"/>
      <c r="X32" s="13"/>
      <c r="Y32" s="14"/>
      <c r="Z32" s="15"/>
      <c r="AA32" s="13"/>
      <c r="AB32" s="3"/>
      <c r="AC32" s="3"/>
      <c r="AD32" s="3"/>
      <c r="AE32" s="3"/>
      <c r="AF32" s="3"/>
    </row>
    <row r="33" ht="15.75" customHeight="1">
      <c r="A33" s="1"/>
      <c r="B33" s="105">
        <v>6.0</v>
      </c>
      <c r="C33" s="106" t="s">
        <v>74</v>
      </c>
      <c r="D33" s="107">
        <f>17000*12</f>
        <v>204000</v>
      </c>
      <c r="E33" s="144">
        <v>170.0</v>
      </c>
      <c r="F33" s="109">
        <f>E33*D33</f>
        <v>34680000</v>
      </c>
      <c r="G33" s="110">
        <v>368854.13999999926</v>
      </c>
      <c r="H33" s="111">
        <v>5074.0</v>
      </c>
      <c r="I33" s="112">
        <v>72.69494284588082</v>
      </c>
      <c r="J33" s="34" t="s">
        <v>76</v>
      </c>
      <c r="K33" s="342"/>
      <c r="L33" s="343" t="s">
        <v>10</v>
      </c>
      <c r="M33" s="40" t="s">
        <v>14</v>
      </c>
      <c r="N33" s="344" t="s">
        <v>18</v>
      </c>
      <c r="O33" s="345" t="s">
        <v>22</v>
      </c>
      <c r="P33" s="344" t="s">
        <v>26</v>
      </c>
      <c r="Q33" s="345" t="s">
        <v>30</v>
      </c>
      <c r="R33" s="344" t="s">
        <v>34</v>
      </c>
      <c r="S33" s="345" t="s">
        <v>38</v>
      </c>
      <c r="T33" s="344" t="s">
        <v>42</v>
      </c>
      <c r="U33" s="345" t="s">
        <v>46</v>
      </c>
      <c r="V33" s="344" t="s">
        <v>50</v>
      </c>
      <c r="W33" s="345" t="s">
        <v>54</v>
      </c>
      <c r="X33" s="122">
        <v>2026.0</v>
      </c>
      <c r="Y33" s="346">
        <v>2025.0</v>
      </c>
      <c r="Z33" s="49"/>
      <c r="AA33" s="122">
        <v>2026.0</v>
      </c>
      <c r="AB33" s="3"/>
      <c r="AC33" s="3"/>
      <c r="AD33" s="3"/>
      <c r="AE33" s="3"/>
      <c r="AF33" s="3"/>
    </row>
    <row r="34" ht="15.75" customHeight="1">
      <c r="A34" s="1"/>
      <c r="B34" s="105"/>
      <c r="C34" s="106"/>
      <c r="D34" s="107"/>
      <c r="E34" s="144"/>
      <c r="F34" s="109"/>
      <c r="G34" s="110"/>
      <c r="H34" s="111"/>
      <c r="I34" s="112"/>
      <c r="J34" s="50" t="s">
        <v>78</v>
      </c>
      <c r="K34" s="347"/>
      <c r="L34" s="56" t="s">
        <v>60</v>
      </c>
      <c r="M34" s="56" t="s">
        <v>60</v>
      </c>
      <c r="N34" s="348">
        <v>0.04</v>
      </c>
      <c r="O34" s="348">
        <v>0.05</v>
      </c>
      <c r="P34" s="348">
        <v>0.05</v>
      </c>
      <c r="Q34" s="348">
        <v>0.08</v>
      </c>
      <c r="R34" s="348">
        <v>0.08</v>
      </c>
      <c r="S34" s="348">
        <v>0.08</v>
      </c>
      <c r="T34" s="348">
        <v>0.13</v>
      </c>
      <c r="U34" s="348">
        <v>0.13</v>
      </c>
      <c r="V34" s="348">
        <v>0.23</v>
      </c>
      <c r="W34" s="348">
        <v>0.13</v>
      </c>
      <c r="X34" s="165">
        <f>SUM(N34:W34)</f>
        <v>1</v>
      </c>
      <c r="Y34" s="349" t="s">
        <v>60</v>
      </c>
      <c r="Z34" s="64"/>
      <c r="AA34" s="165">
        <v>1.0</v>
      </c>
      <c r="AB34" s="3"/>
      <c r="AC34" s="3"/>
      <c r="AD34" s="3"/>
      <c r="AE34" s="3"/>
      <c r="AF34" s="3"/>
    </row>
    <row r="35" ht="15.75" customHeight="1">
      <c r="A35" s="1"/>
      <c r="B35" s="105"/>
      <c r="C35" s="106"/>
      <c r="D35" s="107"/>
      <c r="E35" s="144"/>
      <c r="F35" s="109"/>
      <c r="G35" s="110"/>
      <c r="H35" s="111"/>
      <c r="I35" s="112"/>
      <c r="J35" s="50" t="s">
        <v>63</v>
      </c>
      <c r="K35" s="347"/>
      <c r="L35" s="114">
        <v>60057.0</v>
      </c>
      <c r="M35" s="114">
        <v>44180.0</v>
      </c>
      <c r="N35" s="66">
        <f t="shared" ref="N35:W35" si="25">($X$35-($L$35+$M$35))*N34</f>
        <v>55830.52</v>
      </c>
      <c r="O35" s="66">
        <f t="shared" si="25"/>
        <v>69788.15</v>
      </c>
      <c r="P35" s="66">
        <f t="shared" si="25"/>
        <v>69788.15</v>
      </c>
      <c r="Q35" s="66">
        <f t="shared" si="25"/>
        <v>111661.04</v>
      </c>
      <c r="R35" s="66">
        <f t="shared" si="25"/>
        <v>111661.04</v>
      </c>
      <c r="S35" s="66">
        <f t="shared" si="25"/>
        <v>111661.04</v>
      </c>
      <c r="T35" s="66">
        <f t="shared" si="25"/>
        <v>181449.19</v>
      </c>
      <c r="U35" s="66">
        <f t="shared" si="25"/>
        <v>181449.19</v>
      </c>
      <c r="V35" s="66">
        <f t="shared" si="25"/>
        <v>321025.49</v>
      </c>
      <c r="W35" s="66">
        <f t="shared" si="25"/>
        <v>181449.19</v>
      </c>
      <c r="X35" s="166">
        <v>1500000.0</v>
      </c>
      <c r="Y35" s="350">
        <v>368854.14</v>
      </c>
      <c r="Z35" s="78">
        <f t="shared" ref="Z35:Z37" si="27">X35/Y35</f>
        <v>4.066648134</v>
      </c>
      <c r="AA35" s="166">
        <v>1278979.9757081596</v>
      </c>
      <c r="AB35" s="3"/>
      <c r="AC35" s="147"/>
      <c r="AD35" s="3"/>
      <c r="AE35" s="3"/>
      <c r="AF35" s="3"/>
    </row>
    <row r="36" ht="15.75" customHeight="1">
      <c r="A36" s="1"/>
      <c r="B36" s="105"/>
      <c r="C36" s="106"/>
      <c r="D36" s="107"/>
      <c r="E36" s="144"/>
      <c r="F36" s="109"/>
      <c r="G36" s="110"/>
      <c r="H36" s="111"/>
      <c r="I36" s="112"/>
      <c r="J36" s="50" t="s">
        <v>64</v>
      </c>
      <c r="K36" s="351">
        <v>72.0</v>
      </c>
      <c r="L36" s="149">
        <v>745.0</v>
      </c>
      <c r="M36" s="149">
        <v>613.0</v>
      </c>
      <c r="N36" s="81">
        <f t="shared" ref="N36:W36" si="26">N35/$K$36</f>
        <v>775.4238889</v>
      </c>
      <c r="O36" s="81">
        <f t="shared" si="26"/>
        <v>969.2798611</v>
      </c>
      <c r="P36" s="81">
        <f t="shared" si="26"/>
        <v>969.2798611</v>
      </c>
      <c r="Q36" s="81">
        <f t="shared" si="26"/>
        <v>1550.847778</v>
      </c>
      <c r="R36" s="81">
        <f t="shared" si="26"/>
        <v>1550.847778</v>
      </c>
      <c r="S36" s="81">
        <f t="shared" si="26"/>
        <v>1550.847778</v>
      </c>
      <c r="T36" s="81">
        <f t="shared" si="26"/>
        <v>2520.127639</v>
      </c>
      <c r="U36" s="81">
        <f t="shared" si="26"/>
        <v>2520.127639</v>
      </c>
      <c r="V36" s="81">
        <f t="shared" si="26"/>
        <v>4458.687361</v>
      </c>
      <c r="W36" s="81">
        <f t="shared" si="26"/>
        <v>2520.127639</v>
      </c>
      <c r="X36" s="352">
        <f t="shared" ref="X36:X37" si="29">SUM(L36:W36)</f>
        <v>20743.59722</v>
      </c>
      <c r="Y36" s="353">
        <v>5074.0</v>
      </c>
      <c r="Z36" s="78">
        <f t="shared" si="27"/>
        <v>4.088213879</v>
      </c>
      <c r="AA36" s="352">
        <v>17673.87466261333</v>
      </c>
      <c r="AB36" s="3"/>
      <c r="AC36" s="3"/>
      <c r="AD36" s="3"/>
      <c r="AE36" s="3"/>
      <c r="AF36" s="3"/>
    </row>
    <row r="37" ht="15.75" customHeight="1">
      <c r="A37" s="1"/>
      <c r="B37" s="105"/>
      <c r="C37" s="106"/>
      <c r="D37" s="107"/>
      <c r="E37" s="144"/>
      <c r="F37" s="109"/>
      <c r="G37" s="110"/>
      <c r="H37" s="111"/>
      <c r="I37" s="112"/>
      <c r="J37" s="91" t="s">
        <v>66</v>
      </c>
      <c r="K37" s="354">
        <v>0.04</v>
      </c>
      <c r="L37" s="94">
        <f t="shared" ref="L37:W37" si="28">MIN(L35, 500000) * 0.04 +
 MAX(0, MIN(L35, 1000000) - 500000) * 0.035 +
 MAX(0, L35 - 1000000) * 0.03</f>
        <v>2402.28</v>
      </c>
      <c r="M37" s="94">
        <f t="shared" si="28"/>
        <v>1767.2</v>
      </c>
      <c r="N37" s="94">
        <f t="shared" si="28"/>
        <v>2233.2208</v>
      </c>
      <c r="O37" s="94">
        <f t="shared" si="28"/>
        <v>2791.526</v>
      </c>
      <c r="P37" s="94">
        <f t="shared" si="28"/>
        <v>2791.526</v>
      </c>
      <c r="Q37" s="94">
        <f t="shared" si="28"/>
        <v>4466.4416</v>
      </c>
      <c r="R37" s="94">
        <f t="shared" si="28"/>
        <v>4466.4416</v>
      </c>
      <c r="S37" s="94">
        <f t="shared" si="28"/>
        <v>4466.4416</v>
      </c>
      <c r="T37" s="94">
        <f t="shared" si="28"/>
        <v>7257.9676</v>
      </c>
      <c r="U37" s="94">
        <f t="shared" si="28"/>
        <v>7257.9676</v>
      </c>
      <c r="V37" s="94">
        <f t="shared" si="28"/>
        <v>12841.0196</v>
      </c>
      <c r="W37" s="94">
        <f t="shared" si="28"/>
        <v>7257.9676</v>
      </c>
      <c r="X37" s="169">
        <f t="shared" si="29"/>
        <v>60000</v>
      </c>
      <c r="Y37" s="355">
        <f>Y35*0.04</f>
        <v>14754.1656</v>
      </c>
      <c r="Z37" s="104">
        <f t="shared" si="27"/>
        <v>4.066648134</v>
      </c>
      <c r="AA37" s="169">
        <v>51159.19902832639</v>
      </c>
      <c r="AB37" s="3"/>
      <c r="AC37" s="3"/>
      <c r="AD37" s="3"/>
      <c r="AE37" s="3"/>
      <c r="AF37" s="3"/>
    </row>
    <row r="38" ht="15.75" customHeight="1">
      <c r="A38" s="1"/>
      <c r="B38" s="105"/>
      <c r="C38" s="106"/>
      <c r="D38" s="107"/>
      <c r="E38" s="144"/>
      <c r="F38" s="109"/>
      <c r="G38" s="110"/>
      <c r="H38" s="111"/>
      <c r="I38" s="112"/>
      <c r="J38" s="13"/>
      <c r="K38" s="113"/>
      <c r="L38" s="136"/>
      <c r="M38" s="136"/>
      <c r="N38" s="136"/>
      <c r="O38" s="149">
        <f t="shared" ref="O38:P38" si="30">O41/7000</f>
        <v>7.142857143</v>
      </c>
      <c r="P38" s="149">
        <f t="shared" si="30"/>
        <v>7.142857143</v>
      </c>
      <c r="Q38" s="160"/>
      <c r="R38" s="149">
        <f t="shared" ref="R38:W38" si="31">R41/7000</f>
        <v>64.28571429</v>
      </c>
      <c r="S38" s="149">
        <f t="shared" si="31"/>
        <v>92.85714286</v>
      </c>
      <c r="T38" s="149">
        <f t="shared" si="31"/>
        <v>114.2857143</v>
      </c>
      <c r="U38" s="149">
        <f t="shared" si="31"/>
        <v>114.2857143</v>
      </c>
      <c r="V38" s="149">
        <f t="shared" si="31"/>
        <v>164.2857143</v>
      </c>
      <c r="W38" s="149">
        <f t="shared" si="31"/>
        <v>107.1428571</v>
      </c>
      <c r="X38" s="137"/>
      <c r="Y38" s="14"/>
      <c r="Z38" s="170"/>
      <c r="AA38" s="137"/>
      <c r="AB38" s="3"/>
      <c r="AC38" s="3"/>
      <c r="AD38" s="3"/>
      <c r="AE38" s="3"/>
      <c r="AF38" s="3"/>
    </row>
    <row r="39" ht="15.75" customHeight="1">
      <c r="A39" s="1"/>
      <c r="B39" s="105">
        <v>7.0</v>
      </c>
      <c r="C39" s="106" t="s">
        <v>77</v>
      </c>
      <c r="D39" s="107"/>
      <c r="E39" s="144"/>
      <c r="F39" s="109"/>
      <c r="G39" s="110"/>
      <c r="H39" s="111"/>
      <c r="I39" s="112"/>
      <c r="J39" s="34" t="s">
        <v>79</v>
      </c>
      <c r="K39" s="342"/>
      <c r="L39" s="343" t="s">
        <v>10</v>
      </c>
      <c r="M39" s="40" t="s">
        <v>14</v>
      </c>
      <c r="N39" s="344" t="s">
        <v>18</v>
      </c>
      <c r="O39" s="345" t="s">
        <v>22</v>
      </c>
      <c r="P39" s="344" t="s">
        <v>26</v>
      </c>
      <c r="Q39" s="345" t="s">
        <v>30</v>
      </c>
      <c r="R39" s="344" t="s">
        <v>34</v>
      </c>
      <c r="S39" s="345" t="s">
        <v>38</v>
      </c>
      <c r="T39" s="344" t="s">
        <v>42</v>
      </c>
      <c r="U39" s="345" t="s">
        <v>46</v>
      </c>
      <c r="V39" s="344" t="s">
        <v>50</v>
      </c>
      <c r="W39" s="345" t="s">
        <v>54</v>
      </c>
      <c r="X39" s="122">
        <v>2026.0</v>
      </c>
      <c r="Y39" s="346">
        <v>2025.0</v>
      </c>
      <c r="Z39" s="49"/>
      <c r="AA39" s="122">
        <v>2026.0</v>
      </c>
      <c r="AB39" s="3"/>
      <c r="AC39" s="3"/>
      <c r="AD39" s="3"/>
      <c r="AE39" s="3"/>
      <c r="AF39" s="3"/>
    </row>
    <row r="40" ht="15.75" customHeight="1">
      <c r="A40" s="1"/>
      <c r="B40" s="105"/>
      <c r="C40" s="106"/>
      <c r="D40" s="107"/>
      <c r="E40" s="144"/>
      <c r="F40" s="109"/>
      <c r="G40" s="110"/>
      <c r="H40" s="111"/>
      <c r="I40" s="112"/>
      <c r="J40" s="50" t="s">
        <v>61</v>
      </c>
      <c r="K40" s="347"/>
      <c r="L40" s="56" t="s">
        <v>60</v>
      </c>
      <c r="M40" s="56" t="s">
        <v>60</v>
      </c>
      <c r="N40" s="348"/>
      <c r="O40" s="348">
        <v>0.01</v>
      </c>
      <c r="P40" s="348">
        <v>0.01</v>
      </c>
      <c r="Q40" s="348">
        <v>0.06</v>
      </c>
      <c r="R40" s="348">
        <v>0.09</v>
      </c>
      <c r="S40" s="348">
        <v>0.13</v>
      </c>
      <c r="T40" s="348">
        <v>0.16</v>
      </c>
      <c r="U40" s="348">
        <v>0.16</v>
      </c>
      <c r="V40" s="348">
        <v>0.23</v>
      </c>
      <c r="W40" s="348">
        <v>0.15</v>
      </c>
      <c r="X40" s="165">
        <f>SUM(N40:W40)</f>
        <v>1</v>
      </c>
      <c r="Y40" s="349" t="s">
        <v>60</v>
      </c>
      <c r="Z40" s="64"/>
      <c r="AA40" s="165">
        <v>1.0</v>
      </c>
      <c r="AB40" s="3"/>
      <c r="AC40" s="3"/>
      <c r="AD40" s="3"/>
      <c r="AE40" s="3"/>
      <c r="AF40" s="3"/>
    </row>
    <row r="41" ht="15.75" customHeight="1">
      <c r="A41" s="1"/>
      <c r="B41" s="105"/>
      <c r="C41" s="106"/>
      <c r="D41" s="107"/>
      <c r="E41" s="144"/>
      <c r="F41" s="109"/>
      <c r="G41" s="110"/>
      <c r="H41" s="111"/>
      <c r="I41" s="112"/>
      <c r="J41" s="50" t="s">
        <v>63</v>
      </c>
      <c r="K41" s="347"/>
      <c r="L41" s="114">
        <v>0.0</v>
      </c>
      <c r="M41" s="114">
        <v>0.0</v>
      </c>
      <c r="N41" s="66">
        <f t="shared" ref="N41:W41" si="32">($X$41-($L$41+$M$41))*N40</f>
        <v>0</v>
      </c>
      <c r="O41" s="66">
        <f t="shared" si="32"/>
        <v>50000</v>
      </c>
      <c r="P41" s="66">
        <f t="shared" si="32"/>
        <v>50000</v>
      </c>
      <c r="Q41" s="66">
        <f t="shared" si="32"/>
        <v>300000</v>
      </c>
      <c r="R41" s="66">
        <f t="shared" si="32"/>
        <v>450000</v>
      </c>
      <c r="S41" s="66">
        <f t="shared" si="32"/>
        <v>650000</v>
      </c>
      <c r="T41" s="66">
        <f t="shared" si="32"/>
        <v>800000</v>
      </c>
      <c r="U41" s="66">
        <f t="shared" si="32"/>
        <v>800000</v>
      </c>
      <c r="V41" s="66">
        <f t="shared" si="32"/>
        <v>1150000</v>
      </c>
      <c r="W41" s="66">
        <f t="shared" si="32"/>
        <v>750000</v>
      </c>
      <c r="X41" s="166">
        <v>5000000.0</v>
      </c>
      <c r="Y41" s="350" t="s">
        <v>60</v>
      </c>
      <c r="Z41" s="78" t="str">
        <f t="shared" ref="Z41:Z43" si="34">IFERROR((X41/Y41),"-")</f>
        <v>-</v>
      </c>
      <c r="AA41" s="166">
        <v>4000000.0</v>
      </c>
      <c r="AB41" s="3"/>
      <c r="AC41" s="147"/>
      <c r="AD41" s="3"/>
      <c r="AE41" s="3"/>
      <c r="AF41" s="3"/>
    </row>
    <row r="42" ht="15.75" customHeight="1">
      <c r="A42" s="1"/>
      <c r="B42" s="105"/>
      <c r="C42" s="106"/>
      <c r="D42" s="107"/>
      <c r="E42" s="144"/>
      <c r="F42" s="109"/>
      <c r="G42" s="110"/>
      <c r="H42" s="111"/>
      <c r="I42" s="112"/>
      <c r="J42" s="50" t="s">
        <v>64</v>
      </c>
      <c r="K42" s="351">
        <v>105.0</v>
      </c>
      <c r="L42" s="149" t="s">
        <v>60</v>
      </c>
      <c r="M42" s="149" t="s">
        <v>60</v>
      </c>
      <c r="N42" s="81">
        <f t="shared" ref="N42:W42" si="33">N41/$K$42</f>
        <v>0</v>
      </c>
      <c r="O42" s="81">
        <f t="shared" si="33"/>
        <v>476.1904762</v>
      </c>
      <c r="P42" s="81">
        <f t="shared" si="33"/>
        <v>476.1904762</v>
      </c>
      <c r="Q42" s="81">
        <f t="shared" si="33"/>
        <v>2857.142857</v>
      </c>
      <c r="R42" s="81">
        <f t="shared" si="33"/>
        <v>4285.714286</v>
      </c>
      <c r="S42" s="81">
        <f t="shared" si="33"/>
        <v>6190.47619</v>
      </c>
      <c r="T42" s="81">
        <f t="shared" si="33"/>
        <v>7619.047619</v>
      </c>
      <c r="U42" s="81">
        <f t="shared" si="33"/>
        <v>7619.047619</v>
      </c>
      <c r="V42" s="81">
        <f t="shared" si="33"/>
        <v>10952.38095</v>
      </c>
      <c r="W42" s="81">
        <f t="shared" si="33"/>
        <v>7142.857143</v>
      </c>
      <c r="X42" s="352">
        <f>SUM(L42:W42)</f>
        <v>47619.04762</v>
      </c>
      <c r="Y42" s="353" t="s">
        <v>60</v>
      </c>
      <c r="Z42" s="78" t="str">
        <f t="shared" si="34"/>
        <v>-</v>
      </c>
      <c r="AA42" s="352">
        <v>38095.2380952381</v>
      </c>
      <c r="AB42" s="3"/>
      <c r="AC42" s="3"/>
      <c r="AD42" s="3"/>
      <c r="AE42" s="3"/>
      <c r="AF42" s="3"/>
    </row>
    <row r="43" ht="15.75" customHeight="1">
      <c r="A43" s="1"/>
      <c r="B43" s="105"/>
      <c r="C43" s="106"/>
      <c r="D43" s="107"/>
      <c r="E43" s="144"/>
      <c r="F43" s="109"/>
      <c r="G43" s="110"/>
      <c r="H43" s="111"/>
      <c r="I43" s="112"/>
      <c r="J43" s="91" t="s">
        <v>66</v>
      </c>
      <c r="K43" s="354">
        <v>0.03</v>
      </c>
      <c r="L43" s="94">
        <f t="shared" ref="L43:W43" si="35">MIN(L41, 500000) * 0.03 + MAX(0, MIN(L41, 1000000) - 500000) * 0.025 + MAX(0, MIN(L41, 2000000) - 1000000) * 0.0225 + MAX(0, MIN(L41, 3000000) - 2000000) * 0.02 + MAX(0, MIN(L41, 5000000) - 3000000) * 0.0175 + MAX(0, L41 - 5000000) * 0.015</f>
        <v>0</v>
      </c>
      <c r="M43" s="94">
        <f t="shared" si="35"/>
        <v>0</v>
      </c>
      <c r="N43" s="94">
        <f t="shared" si="35"/>
        <v>0</v>
      </c>
      <c r="O43" s="94">
        <f t="shared" si="35"/>
        <v>1500</v>
      </c>
      <c r="P43" s="94">
        <f t="shared" si="35"/>
        <v>1500</v>
      </c>
      <c r="Q43" s="94">
        <f t="shared" si="35"/>
        <v>9000</v>
      </c>
      <c r="R43" s="94">
        <f t="shared" si="35"/>
        <v>13500</v>
      </c>
      <c r="S43" s="94">
        <f t="shared" si="35"/>
        <v>18750</v>
      </c>
      <c r="T43" s="94">
        <f t="shared" si="35"/>
        <v>22500</v>
      </c>
      <c r="U43" s="94">
        <f t="shared" si="35"/>
        <v>22500</v>
      </c>
      <c r="V43" s="94">
        <f t="shared" si="35"/>
        <v>30875</v>
      </c>
      <c r="W43" s="94">
        <f t="shared" si="35"/>
        <v>21250</v>
      </c>
      <c r="X43" s="169">
        <f>X41*$K$43</f>
        <v>150000</v>
      </c>
      <c r="Y43" s="355" t="s">
        <v>60</v>
      </c>
      <c r="Z43" s="104" t="str">
        <f t="shared" si="34"/>
        <v>-</v>
      </c>
      <c r="AA43" s="169">
        <v>120000.0</v>
      </c>
      <c r="AB43" s="3"/>
      <c r="AC43" s="3"/>
      <c r="AD43" s="3"/>
      <c r="AE43" s="3"/>
      <c r="AF43" s="3"/>
    </row>
    <row r="44" ht="15.75" customHeight="1">
      <c r="A44" s="1"/>
      <c r="B44" s="105"/>
      <c r="C44" s="106"/>
      <c r="D44" s="107"/>
      <c r="E44" s="144"/>
      <c r="F44" s="109"/>
      <c r="G44" s="110"/>
      <c r="H44" s="111"/>
      <c r="I44" s="112"/>
      <c r="J44" s="12"/>
      <c r="K44" s="148"/>
      <c r="L44" s="172">
        <f>L47/4600</f>
        <v>5.538130435</v>
      </c>
      <c r="M44" s="149">
        <f>M47/2890</f>
        <v>7.37716263</v>
      </c>
      <c r="N44" s="149">
        <f>N47/3000</f>
        <v>9.922007667</v>
      </c>
      <c r="O44" s="149">
        <f>O47/10000</f>
        <v>2.9766023</v>
      </c>
      <c r="P44" s="149">
        <f>P47/15000</f>
        <v>7.937606133</v>
      </c>
      <c r="Q44" s="160"/>
      <c r="R44" s="149">
        <f t="shared" ref="R44:U44" si="36">R47/15000</f>
        <v>31.75042453</v>
      </c>
      <c r="S44" s="149">
        <f t="shared" si="36"/>
        <v>39.68803067</v>
      </c>
      <c r="T44" s="149">
        <f t="shared" si="36"/>
        <v>43.65683373</v>
      </c>
      <c r="U44" s="149">
        <f t="shared" si="36"/>
        <v>71.4384552</v>
      </c>
      <c r="V44" s="149">
        <f>V47/25000</f>
        <v>71.4384552</v>
      </c>
      <c r="W44" s="149">
        <f>W47/15000</f>
        <v>71.4384552</v>
      </c>
      <c r="X44" s="13"/>
      <c r="Y44" s="14"/>
      <c r="Z44" s="15"/>
      <c r="AA44" s="13"/>
      <c r="AB44" s="3"/>
      <c r="AC44" s="157"/>
      <c r="AD44" s="3"/>
      <c r="AE44" s="3"/>
      <c r="AF44" s="3"/>
    </row>
    <row r="45" ht="15.75" customHeight="1">
      <c r="A45" s="1"/>
      <c r="B45" s="105">
        <v>8.0</v>
      </c>
      <c r="C45" s="106" t="s">
        <v>80</v>
      </c>
      <c r="D45" s="107">
        <v>3000000.0</v>
      </c>
      <c r="E45" s="144">
        <v>80.0</v>
      </c>
      <c r="F45" s="109">
        <f>E45*D45</f>
        <v>240000000</v>
      </c>
      <c r="G45" s="110">
        <v>294165.12000000407</v>
      </c>
      <c r="H45" s="111">
        <v>3683.0</v>
      </c>
      <c r="I45" s="140">
        <v>79.87106163453817</v>
      </c>
      <c r="J45" s="34" t="s">
        <v>81</v>
      </c>
      <c r="K45" s="342"/>
      <c r="L45" s="343" t="s">
        <v>10</v>
      </c>
      <c r="M45" s="40" t="s">
        <v>14</v>
      </c>
      <c r="N45" s="344" t="s">
        <v>18</v>
      </c>
      <c r="O45" s="345" t="s">
        <v>22</v>
      </c>
      <c r="P45" s="344" t="s">
        <v>26</v>
      </c>
      <c r="Q45" s="345" t="s">
        <v>30</v>
      </c>
      <c r="R45" s="344" t="s">
        <v>34</v>
      </c>
      <c r="S45" s="345" t="s">
        <v>38</v>
      </c>
      <c r="T45" s="344" t="s">
        <v>42</v>
      </c>
      <c r="U45" s="345" t="s">
        <v>46</v>
      </c>
      <c r="V45" s="344" t="s">
        <v>50</v>
      </c>
      <c r="W45" s="345" t="s">
        <v>54</v>
      </c>
      <c r="X45" s="122">
        <v>2026.0</v>
      </c>
      <c r="Y45" s="346">
        <v>2025.0</v>
      </c>
      <c r="Z45" s="49"/>
      <c r="AA45" s="122">
        <v>2026.0</v>
      </c>
      <c r="AB45" s="4"/>
      <c r="AC45" s="3"/>
      <c r="AD45" s="3"/>
      <c r="AE45" s="3"/>
      <c r="AF45" s="3"/>
    </row>
    <row r="46" ht="15.75" customHeight="1">
      <c r="A46" s="1"/>
      <c r="B46" s="105"/>
      <c r="C46" s="106"/>
      <c r="D46" s="107"/>
      <c r="E46" s="144"/>
      <c r="F46" s="109"/>
      <c r="G46" s="110"/>
      <c r="H46" s="111"/>
      <c r="I46" s="140"/>
      <c r="J46" s="50" t="s">
        <v>61</v>
      </c>
      <c r="K46" s="347"/>
      <c r="L46" s="56" t="s">
        <v>60</v>
      </c>
      <c r="M46" s="56" t="s">
        <v>60</v>
      </c>
      <c r="N46" s="348">
        <v>0.005</v>
      </c>
      <c r="O46" s="348">
        <v>0.005</v>
      </c>
      <c r="P46" s="348">
        <v>0.02</v>
      </c>
      <c r="Q46" s="348">
        <v>0.02</v>
      </c>
      <c r="R46" s="348">
        <v>0.08</v>
      </c>
      <c r="S46" s="348">
        <v>0.1</v>
      </c>
      <c r="T46" s="348">
        <v>0.11</v>
      </c>
      <c r="U46" s="348">
        <v>0.18</v>
      </c>
      <c r="V46" s="348">
        <v>0.3</v>
      </c>
      <c r="W46" s="348">
        <v>0.18</v>
      </c>
      <c r="X46" s="165">
        <f>SUM(N46:W46)</f>
        <v>1</v>
      </c>
      <c r="Y46" s="349" t="s">
        <v>60</v>
      </c>
      <c r="Z46" s="64"/>
      <c r="AA46" s="165">
        <v>1.0</v>
      </c>
      <c r="AB46" s="3"/>
      <c r="AC46" s="3"/>
      <c r="AD46" s="3"/>
      <c r="AE46" s="3"/>
      <c r="AF46" s="3"/>
    </row>
    <row r="47" ht="15.75" customHeight="1">
      <c r="A47" s="1"/>
      <c r="B47" s="105"/>
      <c r="C47" s="106"/>
      <c r="D47" s="107"/>
      <c r="E47" s="144"/>
      <c r="F47" s="109"/>
      <c r="G47" s="110"/>
      <c r="H47" s="111"/>
      <c r="I47" s="140"/>
      <c r="J47" s="50" t="s">
        <v>63</v>
      </c>
      <c r="K47" s="347"/>
      <c r="L47" s="114">
        <v>25475.4</v>
      </c>
      <c r="M47" s="114">
        <v>21320.0</v>
      </c>
      <c r="N47" s="66">
        <f t="shared" ref="N47:W47" si="37">($X$47-($L$47+$M$47))*N46</f>
        <v>29766.023</v>
      </c>
      <c r="O47" s="66">
        <f t="shared" si="37"/>
        <v>29766.023</v>
      </c>
      <c r="P47" s="66">
        <f t="shared" si="37"/>
        <v>119064.092</v>
      </c>
      <c r="Q47" s="66">
        <f t="shared" si="37"/>
        <v>119064.092</v>
      </c>
      <c r="R47" s="66">
        <f t="shared" si="37"/>
        <v>476256.368</v>
      </c>
      <c r="S47" s="66">
        <f t="shared" si="37"/>
        <v>595320.46</v>
      </c>
      <c r="T47" s="66">
        <f t="shared" si="37"/>
        <v>654852.506</v>
      </c>
      <c r="U47" s="358">
        <f t="shared" si="37"/>
        <v>1071576.828</v>
      </c>
      <c r="V47" s="66">
        <f t="shared" si="37"/>
        <v>1785961.38</v>
      </c>
      <c r="W47" s="66">
        <f t="shared" si="37"/>
        <v>1071576.828</v>
      </c>
      <c r="X47" s="166">
        <v>6000000.0</v>
      </c>
      <c r="Y47" s="350">
        <v>294165.0</v>
      </c>
      <c r="Z47" s="78">
        <f t="shared" ref="Z47:Z48" si="39">X47/Y47</f>
        <v>20.39671613</v>
      </c>
      <c r="AA47" s="166">
        <v>6000000.0</v>
      </c>
      <c r="AB47" s="3"/>
      <c r="AC47" s="147"/>
      <c r="AD47" s="3"/>
      <c r="AE47" s="3"/>
      <c r="AF47" s="3"/>
    </row>
    <row r="48" ht="15.75" customHeight="1">
      <c r="A48" s="1"/>
      <c r="B48" s="105"/>
      <c r="C48" s="106"/>
      <c r="D48" s="107"/>
      <c r="E48" s="144"/>
      <c r="F48" s="109"/>
      <c r="G48" s="110"/>
      <c r="H48" s="111"/>
      <c r="I48" s="140"/>
      <c r="J48" s="50" t="s">
        <v>64</v>
      </c>
      <c r="K48" s="351">
        <v>92.0</v>
      </c>
      <c r="L48" s="149">
        <v>285.0</v>
      </c>
      <c r="M48" s="149">
        <v>207.0</v>
      </c>
      <c r="N48" s="81">
        <f t="shared" ref="N48:X48" si="38">N47/$K$48</f>
        <v>323.5437283</v>
      </c>
      <c r="O48" s="81">
        <f t="shared" si="38"/>
        <v>323.5437283</v>
      </c>
      <c r="P48" s="81">
        <f t="shared" si="38"/>
        <v>1294.174913</v>
      </c>
      <c r="Q48" s="81">
        <f t="shared" si="38"/>
        <v>1294.174913</v>
      </c>
      <c r="R48" s="81">
        <f t="shared" si="38"/>
        <v>5176.699652</v>
      </c>
      <c r="S48" s="81">
        <f t="shared" si="38"/>
        <v>6470.874565</v>
      </c>
      <c r="T48" s="81">
        <f t="shared" si="38"/>
        <v>7117.962022</v>
      </c>
      <c r="U48" s="81">
        <f t="shared" si="38"/>
        <v>11647.57422</v>
      </c>
      <c r="V48" s="81">
        <f t="shared" si="38"/>
        <v>19412.6237</v>
      </c>
      <c r="W48" s="81">
        <f t="shared" si="38"/>
        <v>11647.57422</v>
      </c>
      <c r="X48" s="352">
        <f t="shared" si="38"/>
        <v>65217.3913</v>
      </c>
      <c r="Y48" s="353">
        <v>3683.0</v>
      </c>
      <c r="Z48" s="78">
        <f t="shared" si="39"/>
        <v>17.70768159</v>
      </c>
      <c r="AA48" s="352">
        <v>65217.391304347824</v>
      </c>
      <c r="AB48" s="3"/>
      <c r="AC48" s="3"/>
      <c r="AD48" s="3"/>
      <c r="AE48" s="3"/>
      <c r="AF48" s="3"/>
    </row>
    <row r="49" ht="15.75" customHeight="1">
      <c r="A49" s="1"/>
      <c r="B49" s="105"/>
      <c r="C49" s="106"/>
      <c r="D49" s="107"/>
      <c r="E49" s="144"/>
      <c r="F49" s="109"/>
      <c r="G49" s="110"/>
      <c r="H49" s="111"/>
      <c r="I49" s="171">
        <v>0.0325</v>
      </c>
      <c r="J49" s="91" t="s">
        <v>66</v>
      </c>
      <c r="K49" s="354">
        <v>0.0325</v>
      </c>
      <c r="L49" s="94">
        <f t="shared" ref="L49:W49" si="40">IF(L48=0, 0, (MIN(L48, 10000) * 0.0325 + MAX(0, MIN(L48, 25000) - 10000) * 0.03 + MAX(0, MIN(L48, 50000) - 25000) * 0.0275 + MAX(0, L48 - 50000) * 0.025) * (L47 / L48))</f>
        <v>827.9505</v>
      </c>
      <c r="M49" s="94">
        <f t="shared" si="40"/>
        <v>692.9</v>
      </c>
      <c r="N49" s="94">
        <f t="shared" si="40"/>
        <v>967.3957475</v>
      </c>
      <c r="O49" s="94">
        <f t="shared" si="40"/>
        <v>967.3957475</v>
      </c>
      <c r="P49" s="94">
        <f t="shared" si="40"/>
        <v>3869.58299</v>
      </c>
      <c r="Q49" s="94">
        <f t="shared" si="40"/>
        <v>3869.58299</v>
      </c>
      <c r="R49" s="94">
        <f t="shared" si="40"/>
        <v>15478.33196</v>
      </c>
      <c r="S49" s="94">
        <f t="shared" si="40"/>
        <v>19347.91495</v>
      </c>
      <c r="T49" s="94">
        <f t="shared" si="40"/>
        <v>21282.70645</v>
      </c>
      <c r="U49" s="94">
        <f t="shared" si="40"/>
        <v>34447.30484</v>
      </c>
      <c r="V49" s="94">
        <f t="shared" si="40"/>
        <v>55878.8414</v>
      </c>
      <c r="W49" s="94">
        <f t="shared" si="40"/>
        <v>34447.30484</v>
      </c>
      <c r="X49" s="169">
        <f>SUM(L49:W49)</f>
        <v>192077.2124</v>
      </c>
      <c r="Y49" s="355"/>
      <c r="Z49" s="104"/>
      <c r="AA49" s="169">
        <v>192077.21240999998</v>
      </c>
      <c r="AB49" s="3"/>
      <c r="AC49" s="3"/>
      <c r="AD49" s="3"/>
      <c r="AE49" s="3"/>
      <c r="AF49" s="3"/>
    </row>
    <row r="50" ht="15.75" customHeight="1">
      <c r="A50" s="1"/>
      <c r="B50" s="105"/>
      <c r="C50" s="106"/>
      <c r="D50" s="107"/>
      <c r="E50" s="144"/>
      <c r="F50" s="109"/>
      <c r="G50" s="110"/>
      <c r="H50" s="111"/>
      <c r="I50" s="173"/>
      <c r="J50" s="13"/>
      <c r="K50" s="175"/>
      <c r="L50" s="136"/>
      <c r="M50" s="136"/>
      <c r="N50" s="136"/>
      <c r="O50" s="136"/>
      <c r="P50" s="136"/>
      <c r="Q50" s="160"/>
      <c r="R50" s="136"/>
      <c r="S50" s="136"/>
      <c r="T50" s="136"/>
      <c r="U50" s="136"/>
      <c r="V50" s="136"/>
      <c r="W50" s="136"/>
      <c r="X50" s="137"/>
      <c r="Y50" s="14"/>
      <c r="Z50" s="15"/>
      <c r="AA50" s="137"/>
      <c r="AB50" s="3"/>
      <c r="AC50" s="3"/>
      <c r="AD50" s="3"/>
      <c r="AE50" s="3"/>
      <c r="AF50" s="3"/>
    </row>
    <row r="51" ht="15.75" customHeight="1">
      <c r="A51" s="1"/>
      <c r="B51" s="105">
        <v>9.0</v>
      </c>
      <c r="C51" s="106" t="s">
        <v>82</v>
      </c>
      <c r="D51" s="107">
        <v>7200000.0</v>
      </c>
      <c r="E51" s="144">
        <v>30.0</v>
      </c>
      <c r="F51" s="109">
        <f>E51*D51</f>
        <v>216000000</v>
      </c>
      <c r="G51" s="110">
        <v>1580724.5999999477</v>
      </c>
      <c r="H51" s="111">
        <v>66014.0</v>
      </c>
      <c r="I51" s="140">
        <v>23.945293422606532</v>
      </c>
      <c r="J51" s="34" t="s">
        <v>83</v>
      </c>
      <c r="K51" s="342"/>
      <c r="L51" s="343" t="s">
        <v>10</v>
      </c>
      <c r="M51" s="40" t="s">
        <v>14</v>
      </c>
      <c r="N51" s="344" t="s">
        <v>18</v>
      </c>
      <c r="O51" s="345" t="s">
        <v>22</v>
      </c>
      <c r="P51" s="344" t="s">
        <v>26</v>
      </c>
      <c r="Q51" s="345" t="s">
        <v>30</v>
      </c>
      <c r="R51" s="344" t="s">
        <v>34</v>
      </c>
      <c r="S51" s="345" t="s">
        <v>38</v>
      </c>
      <c r="T51" s="344" t="s">
        <v>42</v>
      </c>
      <c r="U51" s="345" t="s">
        <v>46</v>
      </c>
      <c r="V51" s="344" t="s">
        <v>50</v>
      </c>
      <c r="W51" s="345" t="s">
        <v>54</v>
      </c>
      <c r="X51" s="122">
        <v>2026.0</v>
      </c>
      <c r="Y51" s="346">
        <v>2025.0</v>
      </c>
      <c r="Z51" s="49"/>
      <c r="AA51" s="122">
        <v>2026.0</v>
      </c>
      <c r="AB51" s="3"/>
      <c r="AC51" s="3"/>
      <c r="AD51" s="3"/>
      <c r="AE51" s="3"/>
      <c r="AF51" s="3"/>
    </row>
    <row r="52" ht="15.75" customHeight="1">
      <c r="A52" s="1"/>
      <c r="B52" s="105"/>
      <c r="C52" s="106"/>
      <c r="D52" s="107"/>
      <c r="E52" s="144"/>
      <c r="F52" s="109"/>
      <c r="G52" s="110"/>
      <c r="H52" s="111"/>
      <c r="I52" s="140"/>
      <c r="J52" s="50" t="s">
        <v>61</v>
      </c>
      <c r="K52" s="347"/>
      <c r="L52" s="56" t="s">
        <v>60</v>
      </c>
      <c r="M52" s="56" t="s">
        <v>60</v>
      </c>
      <c r="N52" s="348">
        <v>0.015</v>
      </c>
      <c r="O52" s="348">
        <v>0.015</v>
      </c>
      <c r="P52" s="348">
        <v>0.02</v>
      </c>
      <c r="Q52" s="348">
        <v>0.04</v>
      </c>
      <c r="R52" s="348">
        <v>0.06</v>
      </c>
      <c r="S52" s="348">
        <v>0.12</v>
      </c>
      <c r="T52" s="348">
        <v>0.15</v>
      </c>
      <c r="U52" s="348">
        <v>0.18</v>
      </c>
      <c r="V52" s="348">
        <v>0.26</v>
      </c>
      <c r="W52" s="348">
        <v>0.14</v>
      </c>
      <c r="X52" s="165">
        <f>SUM(L52:W52)</f>
        <v>1</v>
      </c>
      <c r="Y52" s="349" t="s">
        <v>60</v>
      </c>
      <c r="Z52" s="64"/>
      <c r="AA52" s="165">
        <v>1.0</v>
      </c>
      <c r="AB52" s="3"/>
      <c r="AC52" s="3"/>
      <c r="AD52" s="3"/>
      <c r="AE52" s="3"/>
      <c r="AF52" s="3"/>
    </row>
    <row r="53" ht="15.75" customHeight="1">
      <c r="A53" s="1"/>
      <c r="B53" s="105"/>
      <c r="C53" s="106"/>
      <c r="D53" s="107"/>
      <c r="E53" s="144"/>
      <c r="F53" s="109"/>
      <c r="G53" s="110"/>
      <c r="H53" s="111"/>
      <c r="I53" s="140"/>
      <c r="J53" s="50" t="s">
        <v>63</v>
      </c>
      <c r="K53" s="347"/>
      <c r="L53" s="114">
        <v>159323.5</v>
      </c>
      <c r="M53" s="114">
        <v>163059.0</v>
      </c>
      <c r="N53" s="66">
        <f t="shared" ref="N53:W53" si="41">($X$53-($L$53+$M$53))*N52</f>
        <v>205164.2625</v>
      </c>
      <c r="O53" s="66">
        <f t="shared" si="41"/>
        <v>205164.2625</v>
      </c>
      <c r="P53" s="66">
        <f t="shared" si="41"/>
        <v>273552.35</v>
      </c>
      <c r="Q53" s="66">
        <f t="shared" si="41"/>
        <v>547104.7</v>
      </c>
      <c r="R53" s="66">
        <f t="shared" si="41"/>
        <v>820657.05</v>
      </c>
      <c r="S53" s="66">
        <f t="shared" si="41"/>
        <v>1641314.1</v>
      </c>
      <c r="T53" s="66">
        <f t="shared" si="41"/>
        <v>2051642.625</v>
      </c>
      <c r="U53" s="66">
        <f t="shared" si="41"/>
        <v>2461971.15</v>
      </c>
      <c r="V53" s="66">
        <f t="shared" si="41"/>
        <v>3556180.55</v>
      </c>
      <c r="W53" s="66">
        <f t="shared" si="41"/>
        <v>1914866.45</v>
      </c>
      <c r="X53" s="166">
        <v>1.4E7</v>
      </c>
      <c r="Y53" s="350">
        <v>1580676.0</v>
      </c>
      <c r="Z53" s="78">
        <f t="shared" ref="Z53:Z54" si="43">X53/Y53</f>
        <v>8.856970056</v>
      </c>
      <c r="AA53" s="166">
        <v>1.4E7</v>
      </c>
      <c r="AB53" s="3"/>
      <c r="AC53" s="147"/>
      <c r="AD53" s="3"/>
      <c r="AE53" s="3"/>
      <c r="AF53" s="3"/>
    </row>
    <row r="54" ht="15.75" customHeight="1">
      <c r="A54" s="1"/>
      <c r="B54" s="105"/>
      <c r="C54" s="106"/>
      <c r="D54" s="107"/>
      <c r="E54" s="144"/>
      <c r="F54" s="109"/>
      <c r="G54" s="110"/>
      <c r="H54" s="111"/>
      <c r="I54" s="140"/>
      <c r="J54" s="50" t="s">
        <v>64</v>
      </c>
      <c r="K54" s="351">
        <v>30.0</v>
      </c>
      <c r="L54" s="149">
        <v>5337.0</v>
      </c>
      <c r="M54" s="149">
        <v>5363.0</v>
      </c>
      <c r="N54" s="81">
        <f t="shared" ref="N54:W54" si="42">N53/$K$54</f>
        <v>6838.80875</v>
      </c>
      <c r="O54" s="81">
        <f t="shared" si="42"/>
        <v>6838.80875</v>
      </c>
      <c r="P54" s="81">
        <f t="shared" si="42"/>
        <v>9118.411667</v>
      </c>
      <c r="Q54" s="81">
        <f t="shared" si="42"/>
        <v>18236.82333</v>
      </c>
      <c r="R54" s="81">
        <f t="shared" si="42"/>
        <v>27355.235</v>
      </c>
      <c r="S54" s="81">
        <f t="shared" si="42"/>
        <v>54710.47</v>
      </c>
      <c r="T54" s="81">
        <f t="shared" si="42"/>
        <v>68388.0875</v>
      </c>
      <c r="U54" s="81">
        <f t="shared" si="42"/>
        <v>82065.705</v>
      </c>
      <c r="V54" s="81">
        <f t="shared" si="42"/>
        <v>118539.3517</v>
      </c>
      <c r="W54" s="81">
        <f t="shared" si="42"/>
        <v>63828.88167</v>
      </c>
      <c r="X54" s="352">
        <f t="shared" ref="X54:X55" si="45">SUM(L54:W54)</f>
        <v>466620.5833</v>
      </c>
      <c r="Y54" s="353">
        <v>66013.0</v>
      </c>
      <c r="Z54" s="78">
        <f t="shared" si="43"/>
        <v>7.068616535</v>
      </c>
      <c r="AA54" s="352">
        <v>466620.5833333333</v>
      </c>
      <c r="AB54" s="3"/>
      <c r="AC54" s="3"/>
      <c r="AD54" s="3"/>
      <c r="AE54" s="3"/>
      <c r="AF54" s="3"/>
    </row>
    <row r="55" ht="15.75" customHeight="1">
      <c r="A55" s="1"/>
      <c r="B55" s="105"/>
      <c r="C55" s="106"/>
      <c r="D55" s="107"/>
      <c r="E55" s="144"/>
      <c r="F55" s="109"/>
      <c r="G55" s="110"/>
      <c r="H55" s="111"/>
      <c r="I55" s="112"/>
      <c r="J55" s="91" t="s">
        <v>66</v>
      </c>
      <c r="K55" s="354">
        <v>0.04</v>
      </c>
      <c r="L55" s="94">
        <f t="shared" ref="L55:W55" si="44">IF(L53&gt;=1000000,$K$55*L53,0)</f>
        <v>0</v>
      </c>
      <c r="M55" s="94">
        <f t="shared" si="44"/>
        <v>0</v>
      </c>
      <c r="N55" s="94">
        <f t="shared" si="44"/>
        <v>0</v>
      </c>
      <c r="O55" s="94">
        <f t="shared" si="44"/>
        <v>0</v>
      </c>
      <c r="P55" s="94">
        <f t="shared" si="44"/>
        <v>0</v>
      </c>
      <c r="Q55" s="94">
        <f t="shared" si="44"/>
        <v>0</v>
      </c>
      <c r="R55" s="94">
        <f t="shared" si="44"/>
        <v>0</v>
      </c>
      <c r="S55" s="94">
        <f t="shared" si="44"/>
        <v>65652.564</v>
      </c>
      <c r="T55" s="94">
        <f t="shared" si="44"/>
        <v>82065.705</v>
      </c>
      <c r="U55" s="94">
        <f t="shared" si="44"/>
        <v>98478.846</v>
      </c>
      <c r="V55" s="94">
        <f t="shared" si="44"/>
        <v>142247.222</v>
      </c>
      <c r="W55" s="94">
        <f t="shared" si="44"/>
        <v>76594.658</v>
      </c>
      <c r="X55" s="169">
        <f t="shared" si="45"/>
        <v>465038.995</v>
      </c>
      <c r="Y55" s="355">
        <f>Y53*0.04</f>
        <v>63227.04</v>
      </c>
      <c r="Z55" s="104"/>
      <c r="AA55" s="169">
        <v>465038.995</v>
      </c>
      <c r="AB55" s="3"/>
      <c r="AC55" s="3"/>
      <c r="AD55" s="3"/>
      <c r="AE55" s="3"/>
      <c r="AF55" s="3"/>
    </row>
    <row r="56" ht="15.75" customHeight="1">
      <c r="A56" s="1"/>
      <c r="B56" s="105"/>
      <c r="C56" s="106"/>
      <c r="D56" s="107"/>
      <c r="E56" s="144"/>
      <c r="F56" s="109"/>
      <c r="G56" s="110"/>
      <c r="H56" s="111"/>
      <c r="I56" s="112"/>
      <c r="J56" s="13"/>
      <c r="K56" s="113"/>
      <c r="L56" s="149"/>
      <c r="M56" s="149"/>
      <c r="N56" s="149"/>
      <c r="O56" s="149"/>
      <c r="P56" s="149"/>
      <c r="Q56" s="160"/>
      <c r="R56" s="149"/>
      <c r="S56" s="149"/>
      <c r="T56" s="149"/>
      <c r="U56" s="149"/>
      <c r="V56" s="149"/>
      <c r="W56" s="149"/>
      <c r="X56" s="176"/>
      <c r="Y56" s="14"/>
      <c r="Z56" s="15"/>
      <c r="AA56" s="176"/>
      <c r="AB56" s="3"/>
      <c r="AC56" s="3"/>
      <c r="AD56" s="3"/>
      <c r="AE56" s="3"/>
      <c r="AF56" s="3"/>
    </row>
    <row r="57" ht="15.75" customHeight="1">
      <c r="A57" s="1"/>
      <c r="B57" s="105">
        <v>10.0</v>
      </c>
      <c r="C57" s="106" t="s">
        <v>84</v>
      </c>
      <c r="D57" s="107">
        <f>3000*12*8</f>
        <v>288000</v>
      </c>
      <c r="E57" s="144">
        <v>100.0</v>
      </c>
      <c r="F57" s="109">
        <f>E57*D57</f>
        <v>28800000</v>
      </c>
      <c r="G57" s="110">
        <v>195455.89999999918</v>
      </c>
      <c r="H57" s="111">
        <v>1727.0</v>
      </c>
      <c r="I57" s="112">
        <v>113.17654892877775</v>
      </c>
      <c r="J57" s="34" t="s">
        <v>85</v>
      </c>
      <c r="K57" s="342"/>
      <c r="L57" s="343" t="s">
        <v>10</v>
      </c>
      <c r="M57" s="40" t="s">
        <v>14</v>
      </c>
      <c r="N57" s="344" t="s">
        <v>18</v>
      </c>
      <c r="O57" s="345" t="s">
        <v>22</v>
      </c>
      <c r="P57" s="344" t="s">
        <v>26</v>
      </c>
      <c r="Q57" s="345" t="s">
        <v>30</v>
      </c>
      <c r="R57" s="344" t="s">
        <v>34</v>
      </c>
      <c r="S57" s="345" t="s">
        <v>38</v>
      </c>
      <c r="T57" s="344" t="s">
        <v>42</v>
      </c>
      <c r="U57" s="345" t="s">
        <v>46</v>
      </c>
      <c r="V57" s="344" t="s">
        <v>50</v>
      </c>
      <c r="W57" s="345" t="s">
        <v>54</v>
      </c>
      <c r="X57" s="122">
        <v>2026.0</v>
      </c>
      <c r="Y57" s="346">
        <v>2025.0</v>
      </c>
      <c r="Z57" s="49"/>
      <c r="AA57" s="122">
        <v>2026.0</v>
      </c>
      <c r="AB57" s="3"/>
      <c r="AC57" s="3"/>
      <c r="AD57" s="3"/>
      <c r="AE57" s="3"/>
      <c r="AF57" s="3"/>
    </row>
    <row r="58" ht="15.75" customHeight="1">
      <c r="A58" s="1"/>
      <c r="B58" s="105"/>
      <c r="C58" s="106"/>
      <c r="D58" s="107"/>
      <c r="E58" s="144"/>
      <c r="F58" s="109"/>
      <c r="G58" s="110"/>
      <c r="H58" s="111"/>
      <c r="I58" s="112"/>
      <c r="J58" s="50" t="s">
        <v>61</v>
      </c>
      <c r="K58" s="347"/>
      <c r="L58" s="56" t="s">
        <v>60</v>
      </c>
      <c r="M58" s="56" t="s">
        <v>60</v>
      </c>
      <c r="N58" s="348">
        <v>0.03</v>
      </c>
      <c r="O58" s="348">
        <v>0.03</v>
      </c>
      <c r="P58" s="348">
        <v>0.05</v>
      </c>
      <c r="Q58" s="348">
        <v>0.08</v>
      </c>
      <c r="R58" s="348">
        <v>0.1</v>
      </c>
      <c r="S58" s="348">
        <v>0.15</v>
      </c>
      <c r="T58" s="348">
        <v>0.15</v>
      </c>
      <c r="U58" s="348">
        <v>0.12</v>
      </c>
      <c r="V58" s="348">
        <v>0.16</v>
      </c>
      <c r="W58" s="348">
        <v>0.13</v>
      </c>
      <c r="X58" s="165">
        <f>SUM(L58:W58)</f>
        <v>1</v>
      </c>
      <c r="Y58" s="349" t="s">
        <v>60</v>
      </c>
      <c r="Z58" s="64"/>
      <c r="AA58" s="165">
        <v>1.0</v>
      </c>
      <c r="AB58" s="3"/>
      <c r="AC58" s="3"/>
      <c r="AD58" s="3"/>
      <c r="AE58" s="3"/>
      <c r="AF58" s="3"/>
    </row>
    <row r="59" ht="15.75" customHeight="1">
      <c r="A59" s="1"/>
      <c r="B59" s="105"/>
      <c r="C59" s="106"/>
      <c r="D59" s="107"/>
      <c r="E59" s="144"/>
      <c r="F59" s="109"/>
      <c r="G59" s="110"/>
      <c r="H59" s="111"/>
      <c r="I59" s="112"/>
      <c r="J59" s="50" t="s">
        <v>63</v>
      </c>
      <c r="K59" s="347"/>
      <c r="L59" s="114">
        <v>50234.0</v>
      </c>
      <c r="M59" s="114">
        <v>49484.0</v>
      </c>
      <c r="N59" s="66">
        <f t="shared" ref="N59:W59" si="46">($X$59-($L$59+$M$59))*N58</f>
        <v>57008.46</v>
      </c>
      <c r="O59" s="66">
        <f t="shared" si="46"/>
        <v>57008.46</v>
      </c>
      <c r="P59" s="66">
        <f t="shared" si="46"/>
        <v>95014.1</v>
      </c>
      <c r="Q59" s="66">
        <f t="shared" si="46"/>
        <v>152022.56</v>
      </c>
      <c r="R59" s="66">
        <f t="shared" si="46"/>
        <v>190028.2</v>
      </c>
      <c r="S59" s="66">
        <f t="shared" si="46"/>
        <v>285042.3</v>
      </c>
      <c r="T59" s="66">
        <f t="shared" si="46"/>
        <v>285042.3</v>
      </c>
      <c r="U59" s="66">
        <f t="shared" si="46"/>
        <v>228033.84</v>
      </c>
      <c r="V59" s="66">
        <f t="shared" si="46"/>
        <v>304045.12</v>
      </c>
      <c r="W59" s="66">
        <f t="shared" si="46"/>
        <v>247036.66</v>
      </c>
      <c r="X59" s="166">
        <v>2000000.0</v>
      </c>
      <c r="Y59" s="350">
        <v>195455.9</v>
      </c>
      <c r="Z59" s="78">
        <f t="shared" ref="Z59:Z61" si="48">X59/Y59</f>
        <v>10.23248723</v>
      </c>
      <c r="AA59" s="166">
        <v>2000000.0</v>
      </c>
      <c r="AB59" s="3"/>
      <c r="AC59" s="147"/>
      <c r="AD59" s="3"/>
      <c r="AE59" s="3"/>
      <c r="AF59" s="3"/>
    </row>
    <row r="60" ht="15.75" customHeight="1">
      <c r="A60" s="1"/>
      <c r="B60" s="105"/>
      <c r="C60" s="106"/>
      <c r="D60" s="107"/>
      <c r="E60" s="144"/>
      <c r="F60" s="109"/>
      <c r="G60" s="110"/>
      <c r="H60" s="111"/>
      <c r="I60" s="112"/>
      <c r="J60" s="50" t="s">
        <v>64</v>
      </c>
      <c r="K60" s="351">
        <v>114.0</v>
      </c>
      <c r="L60" s="149">
        <v>430.0</v>
      </c>
      <c r="M60" s="149">
        <v>426.0</v>
      </c>
      <c r="N60" s="81">
        <f t="shared" ref="N60:W60" si="47">N59/$K$60</f>
        <v>500.0742105</v>
      </c>
      <c r="O60" s="81">
        <f t="shared" si="47"/>
        <v>500.0742105</v>
      </c>
      <c r="P60" s="81">
        <f t="shared" si="47"/>
        <v>833.4570175</v>
      </c>
      <c r="Q60" s="81">
        <f t="shared" si="47"/>
        <v>1333.531228</v>
      </c>
      <c r="R60" s="81">
        <f t="shared" si="47"/>
        <v>1666.914035</v>
      </c>
      <c r="S60" s="81">
        <f t="shared" si="47"/>
        <v>2500.371053</v>
      </c>
      <c r="T60" s="81">
        <f t="shared" si="47"/>
        <v>2500.371053</v>
      </c>
      <c r="U60" s="81">
        <f t="shared" si="47"/>
        <v>2000.296842</v>
      </c>
      <c r="V60" s="81">
        <f t="shared" si="47"/>
        <v>2667.062456</v>
      </c>
      <c r="W60" s="81">
        <f t="shared" si="47"/>
        <v>2166.988246</v>
      </c>
      <c r="X60" s="352">
        <f t="shared" ref="X60:X61" si="50">SUM(L60:W60)</f>
        <v>17525.14035</v>
      </c>
      <c r="Y60" s="353">
        <v>1727.0</v>
      </c>
      <c r="Z60" s="78">
        <f t="shared" si="48"/>
        <v>10.14773616</v>
      </c>
      <c r="AA60" s="352">
        <v>17525.14035087719</v>
      </c>
      <c r="AB60" s="3"/>
      <c r="AC60" s="3"/>
      <c r="AD60" s="3"/>
      <c r="AE60" s="3"/>
      <c r="AF60" s="3"/>
    </row>
    <row r="61" ht="15.75" customHeight="1">
      <c r="A61" s="1"/>
      <c r="B61" s="105"/>
      <c r="C61" s="106"/>
      <c r="D61" s="107"/>
      <c r="E61" s="144"/>
      <c r="F61" s="109"/>
      <c r="G61" s="110"/>
      <c r="H61" s="111"/>
      <c r="I61" s="112"/>
      <c r="J61" s="91" t="s">
        <v>66</v>
      </c>
      <c r="K61" s="354">
        <v>0.039</v>
      </c>
      <c r="L61" s="94">
        <f t="shared" ref="L61:W61" si="49">L59*$K$61</f>
        <v>1959.126</v>
      </c>
      <c r="M61" s="94">
        <f t="shared" si="49"/>
        <v>1929.876</v>
      </c>
      <c r="N61" s="94">
        <f t="shared" si="49"/>
        <v>2223.32994</v>
      </c>
      <c r="O61" s="94">
        <f t="shared" si="49"/>
        <v>2223.32994</v>
      </c>
      <c r="P61" s="94">
        <f t="shared" si="49"/>
        <v>3705.5499</v>
      </c>
      <c r="Q61" s="94">
        <f t="shared" si="49"/>
        <v>5928.87984</v>
      </c>
      <c r="R61" s="94">
        <f t="shared" si="49"/>
        <v>7411.0998</v>
      </c>
      <c r="S61" s="94">
        <f t="shared" si="49"/>
        <v>11116.6497</v>
      </c>
      <c r="T61" s="94">
        <f t="shared" si="49"/>
        <v>11116.6497</v>
      </c>
      <c r="U61" s="94">
        <f t="shared" si="49"/>
        <v>8893.31976</v>
      </c>
      <c r="V61" s="94">
        <f t="shared" si="49"/>
        <v>11857.75968</v>
      </c>
      <c r="W61" s="94">
        <f t="shared" si="49"/>
        <v>9634.42974</v>
      </c>
      <c r="X61" s="169">
        <f t="shared" si="50"/>
        <v>78000</v>
      </c>
      <c r="Y61" s="355">
        <f>Y59*$K$61+8*199</f>
        <v>9214.7801</v>
      </c>
      <c r="Z61" s="104">
        <f t="shared" si="48"/>
        <v>8.464662114</v>
      </c>
      <c r="AA61" s="169">
        <v>78000.0</v>
      </c>
      <c r="AB61" s="3"/>
      <c r="AC61" s="3"/>
      <c r="AD61" s="3"/>
      <c r="AE61" s="3"/>
      <c r="AF61" s="3"/>
    </row>
    <row r="62" ht="15.75" customHeight="1">
      <c r="A62" s="1"/>
      <c r="B62" s="105"/>
      <c r="C62" s="106"/>
      <c r="D62" s="107"/>
      <c r="E62" s="144"/>
      <c r="F62" s="109"/>
      <c r="G62" s="110"/>
      <c r="H62" s="111"/>
      <c r="I62" s="112"/>
      <c r="J62" s="12"/>
      <c r="K62" s="148"/>
      <c r="L62" s="136"/>
      <c r="M62" s="136"/>
      <c r="N62" s="136"/>
      <c r="O62" s="136"/>
      <c r="P62" s="136"/>
      <c r="Q62" s="160"/>
      <c r="R62" s="136"/>
      <c r="S62" s="136"/>
      <c r="T62" s="136"/>
      <c r="U62" s="136"/>
      <c r="V62" s="136"/>
      <c r="W62" s="136"/>
      <c r="X62" s="137"/>
      <c r="Y62" s="14"/>
      <c r="Z62" s="15"/>
      <c r="AA62" s="137"/>
      <c r="AB62" s="3"/>
      <c r="AC62" s="3"/>
      <c r="AD62" s="3"/>
      <c r="AE62" s="3"/>
      <c r="AF62" s="3"/>
    </row>
    <row r="63" ht="15.75" customHeight="1">
      <c r="A63" s="1"/>
      <c r="B63" s="105">
        <v>11.0</v>
      </c>
      <c r="C63" s="106" t="s">
        <v>86</v>
      </c>
      <c r="D63" s="107">
        <f>80000*12</f>
        <v>960000</v>
      </c>
      <c r="E63" s="144">
        <v>60.0</v>
      </c>
      <c r="F63" s="109">
        <f>E63*D63</f>
        <v>57600000</v>
      </c>
      <c r="G63" s="110">
        <v>409141.4900000167</v>
      </c>
      <c r="H63" s="111">
        <v>13480.0</v>
      </c>
      <c r="I63" s="112">
        <v>30.351742581603613</v>
      </c>
      <c r="J63" s="34" t="s">
        <v>87</v>
      </c>
      <c r="K63" s="342"/>
      <c r="L63" s="343" t="s">
        <v>10</v>
      </c>
      <c r="M63" s="40" t="s">
        <v>14</v>
      </c>
      <c r="N63" s="344" t="s">
        <v>18</v>
      </c>
      <c r="O63" s="345" t="s">
        <v>22</v>
      </c>
      <c r="P63" s="344" t="s">
        <v>26</v>
      </c>
      <c r="Q63" s="345" t="s">
        <v>30</v>
      </c>
      <c r="R63" s="344" t="s">
        <v>34</v>
      </c>
      <c r="S63" s="345" t="s">
        <v>38</v>
      </c>
      <c r="T63" s="344" t="s">
        <v>42</v>
      </c>
      <c r="U63" s="345" t="s">
        <v>46</v>
      </c>
      <c r="V63" s="344" t="s">
        <v>50</v>
      </c>
      <c r="W63" s="345" t="s">
        <v>54</v>
      </c>
      <c r="X63" s="122">
        <v>2026.0</v>
      </c>
      <c r="Y63" s="346">
        <v>2025.0</v>
      </c>
      <c r="Z63" s="49"/>
      <c r="AA63" s="122">
        <v>2026.0</v>
      </c>
      <c r="AB63" s="3"/>
      <c r="AC63" s="3"/>
      <c r="AD63" s="3"/>
      <c r="AE63" s="3"/>
      <c r="AF63" s="3"/>
    </row>
    <row r="64" ht="15.75" customHeight="1">
      <c r="A64" s="1"/>
      <c r="B64" s="105"/>
      <c r="C64" s="106"/>
      <c r="D64" s="107"/>
      <c r="E64" s="144"/>
      <c r="F64" s="109"/>
      <c r="G64" s="110"/>
      <c r="H64" s="111"/>
      <c r="I64" s="112"/>
      <c r="J64" s="50" t="s">
        <v>61</v>
      </c>
      <c r="K64" s="347"/>
      <c r="L64" s="56" t="s">
        <v>60</v>
      </c>
      <c r="M64" s="56" t="s">
        <v>60</v>
      </c>
      <c r="N64" s="348">
        <v>0.025</v>
      </c>
      <c r="O64" s="348">
        <v>0.025</v>
      </c>
      <c r="P64" s="348">
        <v>0.04</v>
      </c>
      <c r="Q64" s="348">
        <v>0.06</v>
      </c>
      <c r="R64" s="348">
        <v>0.08</v>
      </c>
      <c r="S64" s="348">
        <v>0.13</v>
      </c>
      <c r="T64" s="348">
        <v>0.13</v>
      </c>
      <c r="U64" s="348">
        <v>0.13</v>
      </c>
      <c r="V64" s="348">
        <v>0.23</v>
      </c>
      <c r="W64" s="348">
        <v>0.15</v>
      </c>
      <c r="X64" s="165">
        <f>SUM(N64:W64)</f>
        <v>1</v>
      </c>
      <c r="Y64" s="349" t="s">
        <v>60</v>
      </c>
      <c r="Z64" s="64"/>
      <c r="AA64" s="165">
        <v>1.0</v>
      </c>
      <c r="AB64" s="3"/>
      <c r="AC64" s="3"/>
      <c r="AD64" s="3"/>
      <c r="AE64" s="3"/>
      <c r="AF64" s="3"/>
    </row>
    <row r="65" ht="15.75" customHeight="1">
      <c r="A65" s="1"/>
      <c r="B65" s="105"/>
      <c r="C65" s="106"/>
      <c r="D65" s="107"/>
      <c r="E65" s="144"/>
      <c r="F65" s="109"/>
      <c r="G65" s="110"/>
      <c r="H65" s="111"/>
      <c r="I65" s="112"/>
      <c r="J65" s="50" t="s">
        <v>63</v>
      </c>
      <c r="K65" s="347"/>
      <c r="L65" s="114">
        <v>59138.0</v>
      </c>
      <c r="M65" s="114">
        <v>60563.0</v>
      </c>
      <c r="N65" s="66">
        <f t="shared" ref="N65:W65" si="51">($X$65-($L$65+$M$65))*N64</f>
        <v>68507.475</v>
      </c>
      <c r="O65" s="66">
        <f t="shared" si="51"/>
        <v>68507.475</v>
      </c>
      <c r="P65" s="66">
        <f t="shared" si="51"/>
        <v>109611.96</v>
      </c>
      <c r="Q65" s="66">
        <f t="shared" si="51"/>
        <v>164417.94</v>
      </c>
      <c r="R65" s="66">
        <f t="shared" si="51"/>
        <v>219223.92</v>
      </c>
      <c r="S65" s="66">
        <f t="shared" si="51"/>
        <v>356238.87</v>
      </c>
      <c r="T65" s="66">
        <f t="shared" si="51"/>
        <v>356238.87</v>
      </c>
      <c r="U65" s="66">
        <f t="shared" si="51"/>
        <v>356238.87</v>
      </c>
      <c r="V65" s="66">
        <f t="shared" si="51"/>
        <v>630268.77</v>
      </c>
      <c r="W65" s="66">
        <f t="shared" si="51"/>
        <v>411044.85</v>
      </c>
      <c r="X65" s="166">
        <f>2200000*1.3</f>
        <v>2860000</v>
      </c>
      <c r="Y65" s="350">
        <v>294165.0</v>
      </c>
      <c r="Z65" s="78">
        <f t="shared" ref="Z65:Z67" si="53">X65/Y65</f>
        <v>9.722434688</v>
      </c>
      <c r="AA65" s="166">
        <v>2200000.0</v>
      </c>
      <c r="AB65" s="3"/>
      <c r="AC65" s="147"/>
      <c r="AD65" s="3"/>
      <c r="AE65" s="3"/>
      <c r="AF65" s="3"/>
    </row>
    <row r="66" ht="15.75" customHeight="1">
      <c r="A66" s="1"/>
      <c r="B66" s="105"/>
      <c r="C66" s="106"/>
      <c r="D66" s="107"/>
      <c r="E66" s="144"/>
      <c r="F66" s="109"/>
      <c r="G66" s="110"/>
      <c r="H66" s="111"/>
      <c r="I66" s="112"/>
      <c r="J66" s="50" t="s">
        <v>64</v>
      </c>
      <c r="K66" s="351">
        <v>28.0</v>
      </c>
      <c r="L66" s="149">
        <v>2038.0</v>
      </c>
      <c r="M66" s="149">
        <v>2159.0</v>
      </c>
      <c r="N66" s="81">
        <f t="shared" ref="N66:W66" si="52">N65/$K$66</f>
        <v>2446.695536</v>
      </c>
      <c r="O66" s="81">
        <f t="shared" si="52"/>
        <v>2446.695536</v>
      </c>
      <c r="P66" s="81">
        <f t="shared" si="52"/>
        <v>3914.712857</v>
      </c>
      <c r="Q66" s="81">
        <f t="shared" si="52"/>
        <v>5872.069286</v>
      </c>
      <c r="R66" s="81">
        <f t="shared" si="52"/>
        <v>7829.425714</v>
      </c>
      <c r="S66" s="81">
        <f t="shared" si="52"/>
        <v>12722.81679</v>
      </c>
      <c r="T66" s="81">
        <f t="shared" si="52"/>
        <v>12722.81679</v>
      </c>
      <c r="U66" s="81">
        <f t="shared" si="52"/>
        <v>12722.81679</v>
      </c>
      <c r="V66" s="81">
        <f t="shared" si="52"/>
        <v>22509.59893</v>
      </c>
      <c r="W66" s="81">
        <f t="shared" si="52"/>
        <v>14680.17321</v>
      </c>
      <c r="X66" s="352">
        <f t="shared" ref="X66:X67" si="55">SUM(L66:W66)</f>
        <v>102064.8214</v>
      </c>
      <c r="Y66" s="353">
        <v>3683.0</v>
      </c>
      <c r="Z66" s="78">
        <f t="shared" si="53"/>
        <v>27.71241418</v>
      </c>
      <c r="AA66" s="352">
        <v>78493.39285714287</v>
      </c>
      <c r="AB66" s="3"/>
      <c r="AC66" s="3"/>
      <c r="AD66" s="3"/>
      <c r="AE66" s="3"/>
      <c r="AF66" s="3"/>
    </row>
    <row r="67" ht="15.75" customHeight="1">
      <c r="A67" s="1"/>
      <c r="B67" s="105"/>
      <c r="C67" s="106"/>
      <c r="D67" s="107"/>
      <c r="E67" s="144"/>
      <c r="F67" s="109"/>
      <c r="G67" s="110"/>
      <c r="H67" s="111"/>
      <c r="I67" s="112"/>
      <c r="J67" s="91" t="s">
        <v>66</v>
      </c>
      <c r="K67" s="354">
        <v>0.03</v>
      </c>
      <c r="L67" s="94">
        <f t="shared" ref="L67:W67" si="54">MIN(L65, 650000) * 0.03 +
 MAX(0, MIN(L65, 2500000) - 650000) * 0.025 +
 MAX(0, MIN(L65, 4500000) - 2500000) * 0.0225 +
 MAX(0, MIN(L65, 7500000) - 4500000) * 0.02 +
 MAX(0, MIN(L65, 11500000) - 7500000) * 0.015 +
 MAX(0, L65 - 11500000) * 0.01</f>
        <v>1774.14</v>
      </c>
      <c r="M67" s="94">
        <f t="shared" si="54"/>
        <v>1816.89</v>
      </c>
      <c r="N67" s="94">
        <f t="shared" si="54"/>
        <v>2055.22425</v>
      </c>
      <c r="O67" s="94">
        <f t="shared" si="54"/>
        <v>2055.22425</v>
      </c>
      <c r="P67" s="94">
        <f t="shared" si="54"/>
        <v>3288.3588</v>
      </c>
      <c r="Q67" s="94">
        <f t="shared" si="54"/>
        <v>4932.5382</v>
      </c>
      <c r="R67" s="94">
        <f t="shared" si="54"/>
        <v>6576.7176</v>
      </c>
      <c r="S67" s="94">
        <f t="shared" si="54"/>
        <v>10687.1661</v>
      </c>
      <c r="T67" s="94">
        <f t="shared" si="54"/>
        <v>10687.1661</v>
      </c>
      <c r="U67" s="94">
        <f t="shared" si="54"/>
        <v>10687.1661</v>
      </c>
      <c r="V67" s="94">
        <f t="shared" si="54"/>
        <v>18908.0631</v>
      </c>
      <c r="W67" s="94">
        <f t="shared" si="54"/>
        <v>12331.3455</v>
      </c>
      <c r="X67" s="169">
        <f t="shared" si="55"/>
        <v>85800</v>
      </c>
      <c r="Y67" s="355">
        <f>Y65*0.03+10*299</f>
        <v>11814.95</v>
      </c>
      <c r="Z67" s="104">
        <f t="shared" si="53"/>
        <v>7.261985874</v>
      </c>
      <c r="AA67" s="169">
        <v>66000.0</v>
      </c>
      <c r="AB67" s="3"/>
      <c r="AC67" s="3"/>
      <c r="AD67" s="3"/>
      <c r="AE67" s="3"/>
      <c r="AF67" s="3"/>
    </row>
    <row r="68" ht="15.75" customHeight="1">
      <c r="A68" s="1"/>
      <c r="B68" s="105"/>
      <c r="C68" s="106"/>
      <c r="D68" s="107"/>
      <c r="E68" s="144"/>
      <c r="F68" s="109"/>
      <c r="G68" s="110"/>
      <c r="H68" s="111"/>
      <c r="I68" s="112"/>
      <c r="J68" s="12"/>
      <c r="K68" s="148"/>
      <c r="L68" s="136"/>
      <c r="M68" s="136"/>
      <c r="N68" s="136"/>
      <c r="O68" s="136"/>
      <c r="P68" s="136"/>
      <c r="Q68" s="160"/>
      <c r="R68" s="136"/>
      <c r="S68" s="136"/>
      <c r="T68" s="136"/>
      <c r="U68" s="136"/>
      <c r="V68" s="136"/>
      <c r="W68" s="136"/>
      <c r="X68" s="137"/>
      <c r="Y68" s="14"/>
      <c r="Z68" s="15"/>
      <c r="AA68" s="137"/>
      <c r="AB68" s="3"/>
      <c r="AC68" s="3"/>
      <c r="AD68" s="3"/>
      <c r="AE68" s="3"/>
      <c r="AF68" s="3"/>
    </row>
    <row r="69" ht="15.75" customHeight="1">
      <c r="A69" s="1"/>
      <c r="B69" s="105">
        <v>12.0</v>
      </c>
      <c r="C69" s="106" t="s">
        <v>88</v>
      </c>
      <c r="D69" s="107"/>
      <c r="E69" s="144"/>
      <c r="F69" s="109"/>
      <c r="G69" s="178">
        <v>1.776575282001109E7</v>
      </c>
      <c r="H69" s="179">
        <v>181714.0</v>
      </c>
      <c r="I69" s="180">
        <v>97.76766138003175</v>
      </c>
      <c r="J69" s="34" t="s">
        <v>89</v>
      </c>
      <c r="K69" s="342"/>
      <c r="L69" s="343" t="s">
        <v>10</v>
      </c>
      <c r="M69" s="40" t="s">
        <v>14</v>
      </c>
      <c r="N69" s="344" t="s">
        <v>18</v>
      </c>
      <c r="O69" s="345" t="s">
        <v>22</v>
      </c>
      <c r="P69" s="344" t="s">
        <v>26</v>
      </c>
      <c r="Q69" s="345" t="s">
        <v>30</v>
      </c>
      <c r="R69" s="344" t="s">
        <v>34</v>
      </c>
      <c r="S69" s="345" t="s">
        <v>38</v>
      </c>
      <c r="T69" s="344" t="s">
        <v>42</v>
      </c>
      <c r="U69" s="345" t="s">
        <v>46</v>
      </c>
      <c r="V69" s="344" t="s">
        <v>50</v>
      </c>
      <c r="W69" s="345" t="s">
        <v>54</v>
      </c>
      <c r="X69" s="122">
        <v>2026.0</v>
      </c>
      <c r="Y69" s="346">
        <v>2025.0</v>
      </c>
      <c r="Z69" s="49"/>
      <c r="AA69" s="122">
        <v>2026.0</v>
      </c>
      <c r="AB69" s="3"/>
      <c r="AC69" s="3"/>
      <c r="AD69" s="3"/>
      <c r="AE69" s="3"/>
      <c r="AF69" s="3"/>
    </row>
    <row r="70" ht="15.75" customHeight="1">
      <c r="A70" s="1"/>
      <c r="B70" s="105"/>
      <c r="C70" s="106"/>
      <c r="D70" s="107"/>
      <c r="E70" s="144"/>
      <c r="F70" s="109"/>
      <c r="G70" s="110"/>
      <c r="H70" s="111"/>
      <c r="I70" s="112"/>
      <c r="J70" s="50" t="s">
        <v>61</v>
      </c>
      <c r="K70" s="347"/>
      <c r="L70" s="56" t="s">
        <v>60</v>
      </c>
      <c r="M70" s="56" t="s">
        <v>60</v>
      </c>
      <c r="N70" s="348">
        <v>0.05</v>
      </c>
      <c r="O70" s="348">
        <v>0.06</v>
      </c>
      <c r="P70" s="348">
        <v>0.08</v>
      </c>
      <c r="Q70" s="348">
        <v>0.08</v>
      </c>
      <c r="R70" s="348">
        <v>0.08</v>
      </c>
      <c r="S70" s="348">
        <v>0.11</v>
      </c>
      <c r="T70" s="348">
        <v>0.14</v>
      </c>
      <c r="U70" s="348">
        <v>0.14</v>
      </c>
      <c r="V70" s="348">
        <v>0.14</v>
      </c>
      <c r="W70" s="348">
        <v>0.12</v>
      </c>
      <c r="X70" s="165">
        <f>SUM(L70:W70)</f>
        <v>1</v>
      </c>
      <c r="Y70" s="349" t="s">
        <v>60</v>
      </c>
      <c r="Z70" s="64"/>
      <c r="AA70" s="165">
        <v>1.0</v>
      </c>
      <c r="AB70" s="3"/>
      <c r="AC70" s="3"/>
      <c r="AD70" s="3"/>
      <c r="AE70" s="3"/>
      <c r="AF70" s="3"/>
    </row>
    <row r="71" ht="15.75" customHeight="1">
      <c r="A71" s="1"/>
      <c r="B71" s="105"/>
      <c r="C71" s="106"/>
      <c r="D71" s="107"/>
      <c r="E71" s="144"/>
      <c r="F71" s="109"/>
      <c r="G71" s="110"/>
      <c r="H71" s="111"/>
      <c r="I71" s="112"/>
      <c r="J71" s="50" t="s">
        <v>63</v>
      </c>
      <c r="K71" s="347"/>
      <c r="L71" s="114">
        <v>1433664.0</v>
      </c>
      <c r="M71" s="114">
        <v>1276587.0</v>
      </c>
      <c r="N71" s="66">
        <f t="shared" ref="N71:W71" si="56">($X$71-($L$71+$M$71))*N70</f>
        <v>864487.45</v>
      </c>
      <c r="O71" s="66">
        <f t="shared" si="56"/>
        <v>1037384.94</v>
      </c>
      <c r="P71" s="66">
        <f t="shared" si="56"/>
        <v>1383179.92</v>
      </c>
      <c r="Q71" s="66">
        <f t="shared" si="56"/>
        <v>1383179.92</v>
      </c>
      <c r="R71" s="66">
        <f t="shared" si="56"/>
        <v>1383179.92</v>
      </c>
      <c r="S71" s="66">
        <f t="shared" si="56"/>
        <v>1901872.39</v>
      </c>
      <c r="T71" s="66">
        <f t="shared" si="56"/>
        <v>2420564.86</v>
      </c>
      <c r="U71" s="66">
        <f t="shared" si="56"/>
        <v>2420564.86</v>
      </c>
      <c r="V71" s="66">
        <f t="shared" si="56"/>
        <v>2420564.86</v>
      </c>
      <c r="W71" s="66">
        <f t="shared" si="56"/>
        <v>2074769.88</v>
      </c>
      <c r="X71" s="166">
        <v>2.0E7</v>
      </c>
      <c r="Y71" s="359">
        <v>1.7765623E7</v>
      </c>
      <c r="Z71" s="78">
        <f t="shared" ref="Z71:Z72" si="58">X71/Y71</f>
        <v>1.125769696</v>
      </c>
      <c r="AA71" s="166">
        <v>3.0E7</v>
      </c>
      <c r="AB71" s="3"/>
      <c r="AC71" s="147"/>
      <c r="AD71" s="3"/>
      <c r="AE71" s="3"/>
      <c r="AF71" s="3"/>
    </row>
    <row r="72" ht="15.75" customHeight="1">
      <c r="A72" s="1"/>
      <c r="B72" s="105"/>
      <c r="C72" s="106"/>
      <c r="D72" s="107"/>
      <c r="E72" s="144"/>
      <c r="F72" s="109"/>
      <c r="G72" s="110"/>
      <c r="H72" s="111"/>
      <c r="I72" s="112"/>
      <c r="J72" s="50" t="s">
        <v>64</v>
      </c>
      <c r="K72" s="351">
        <v>100.0</v>
      </c>
      <c r="L72" s="149">
        <v>14050.0</v>
      </c>
      <c r="M72" s="149">
        <v>12707.0</v>
      </c>
      <c r="N72" s="81">
        <f t="shared" ref="N72:W72" si="57">N71/$K$72</f>
        <v>8644.8745</v>
      </c>
      <c r="O72" s="81">
        <f t="shared" si="57"/>
        <v>10373.8494</v>
      </c>
      <c r="P72" s="81">
        <f t="shared" si="57"/>
        <v>13831.7992</v>
      </c>
      <c r="Q72" s="81">
        <f t="shared" si="57"/>
        <v>13831.7992</v>
      </c>
      <c r="R72" s="81">
        <f t="shared" si="57"/>
        <v>13831.7992</v>
      </c>
      <c r="S72" s="81">
        <f t="shared" si="57"/>
        <v>19018.7239</v>
      </c>
      <c r="T72" s="81">
        <f t="shared" si="57"/>
        <v>24205.6486</v>
      </c>
      <c r="U72" s="81">
        <f t="shared" si="57"/>
        <v>24205.6486</v>
      </c>
      <c r="V72" s="81">
        <f t="shared" si="57"/>
        <v>24205.6486</v>
      </c>
      <c r="W72" s="81">
        <f t="shared" si="57"/>
        <v>20747.6988</v>
      </c>
      <c r="X72" s="352">
        <f t="shared" ref="X72:X73" si="59">SUM(L72:W72)</f>
        <v>199654.49</v>
      </c>
      <c r="Y72" s="353">
        <v>181712.0</v>
      </c>
      <c r="Z72" s="78">
        <f t="shared" si="58"/>
        <v>1.09874136</v>
      </c>
      <c r="AA72" s="352">
        <v>299654.49000000005</v>
      </c>
      <c r="AB72" s="3"/>
      <c r="AC72" s="3"/>
      <c r="AD72" s="3"/>
      <c r="AE72" s="3"/>
      <c r="AF72" s="3"/>
    </row>
    <row r="73" ht="15.75" customHeight="1">
      <c r="A73" s="1"/>
      <c r="B73" s="105"/>
      <c r="C73" s="106"/>
      <c r="D73" s="107"/>
      <c r="E73" s="144"/>
      <c r="F73" s="109"/>
      <c r="G73" s="110"/>
      <c r="H73" s="111"/>
      <c r="I73" s="112"/>
      <c r="J73" s="91" t="s">
        <v>66</v>
      </c>
      <c r="K73" s="354">
        <v>0.06</v>
      </c>
      <c r="L73" s="94">
        <v>150000.0</v>
      </c>
      <c r="M73" s="94">
        <v>150000.0</v>
      </c>
      <c r="N73" s="94">
        <v>150000.0</v>
      </c>
      <c r="O73" s="94">
        <v>91000.0</v>
      </c>
      <c r="P73" s="94">
        <v>91000.0</v>
      </c>
      <c r="Q73" s="94">
        <v>91000.0</v>
      </c>
      <c r="R73" s="94">
        <v>91000.0</v>
      </c>
      <c r="S73" s="94">
        <v>91000.0</v>
      </c>
      <c r="T73" s="94">
        <v>91000.0</v>
      </c>
      <c r="U73" s="94">
        <v>91000.0</v>
      </c>
      <c r="V73" s="94">
        <v>91000.0</v>
      </c>
      <c r="W73" s="94">
        <v>91000.0</v>
      </c>
      <c r="X73" s="169">
        <f t="shared" si="59"/>
        <v>1269000</v>
      </c>
      <c r="Y73" s="355"/>
      <c r="Z73" s="104"/>
      <c r="AA73" s="169">
        <v>2057272.5966000003</v>
      </c>
      <c r="AB73" s="3"/>
      <c r="AC73" s="3"/>
      <c r="AD73" s="3"/>
      <c r="AE73" s="3"/>
      <c r="AF73" s="3"/>
    </row>
    <row r="74" ht="15.75" customHeight="1">
      <c r="A74" s="1"/>
      <c r="B74" s="105"/>
      <c r="C74" s="106"/>
      <c r="D74" s="107"/>
      <c r="E74" s="144"/>
      <c r="F74" s="109"/>
      <c r="G74" s="110"/>
      <c r="H74" s="111"/>
      <c r="I74" s="112"/>
      <c r="J74" s="3"/>
      <c r="K74" s="188"/>
      <c r="L74" s="3"/>
      <c r="M74" s="3"/>
      <c r="N74" s="3"/>
      <c r="O74" s="3"/>
      <c r="P74" s="3"/>
      <c r="Q74" s="160"/>
      <c r="R74" s="3"/>
      <c r="S74" s="3"/>
      <c r="T74" s="3"/>
      <c r="U74" s="3"/>
      <c r="V74" s="3"/>
      <c r="W74" s="3"/>
      <c r="X74" s="3"/>
      <c r="Y74" s="3"/>
      <c r="Z74" s="3"/>
      <c r="AA74" s="3"/>
      <c r="AB74" s="3"/>
      <c r="AC74" s="3"/>
      <c r="AD74" s="3"/>
      <c r="AE74" s="3"/>
      <c r="AF74" s="3"/>
    </row>
    <row r="75" ht="15.75" customHeight="1">
      <c r="A75" s="1"/>
      <c r="B75" s="105">
        <v>13.0</v>
      </c>
      <c r="C75" s="181" t="s">
        <v>93</v>
      </c>
      <c r="D75" s="182"/>
      <c r="E75" s="183"/>
      <c r="F75" s="184"/>
      <c r="G75" s="185">
        <v>12323.000000000002</v>
      </c>
      <c r="H75" s="185">
        <v>52.0</v>
      </c>
      <c r="I75" s="186">
        <v>236.98076923076925</v>
      </c>
      <c r="J75" s="34" t="s">
        <v>93</v>
      </c>
      <c r="K75" s="342"/>
      <c r="L75" s="343" t="s">
        <v>10</v>
      </c>
      <c r="M75" s="40" t="s">
        <v>14</v>
      </c>
      <c r="N75" s="344" t="s">
        <v>18</v>
      </c>
      <c r="O75" s="345" t="s">
        <v>22</v>
      </c>
      <c r="P75" s="344" t="s">
        <v>26</v>
      </c>
      <c r="Q75" s="345" t="s">
        <v>30</v>
      </c>
      <c r="R75" s="344" t="s">
        <v>34</v>
      </c>
      <c r="S75" s="345" t="s">
        <v>38</v>
      </c>
      <c r="T75" s="344" t="s">
        <v>42</v>
      </c>
      <c r="U75" s="345" t="s">
        <v>46</v>
      </c>
      <c r="V75" s="344" t="s">
        <v>50</v>
      </c>
      <c r="W75" s="345" t="s">
        <v>54</v>
      </c>
      <c r="X75" s="122">
        <v>2026.0</v>
      </c>
      <c r="Y75" s="346">
        <v>2025.0</v>
      </c>
      <c r="Z75" s="49"/>
      <c r="AA75" s="122">
        <v>2026.0</v>
      </c>
      <c r="AB75" s="3"/>
      <c r="AC75" s="3"/>
      <c r="AD75" s="3"/>
      <c r="AE75" s="3"/>
      <c r="AF75" s="3"/>
    </row>
    <row r="76" ht="15.75" customHeight="1">
      <c r="A76" s="1"/>
      <c r="B76" s="105"/>
      <c r="C76" s="106"/>
      <c r="D76" s="107"/>
      <c r="E76" s="144"/>
      <c r="F76" s="109"/>
      <c r="G76" s="110"/>
      <c r="H76" s="111"/>
      <c r="I76" s="112"/>
      <c r="J76" s="50" t="s">
        <v>61</v>
      </c>
      <c r="K76" s="347"/>
      <c r="L76" s="56" t="s">
        <v>60</v>
      </c>
      <c r="M76" s="56" t="s">
        <v>60</v>
      </c>
      <c r="N76" s="348"/>
      <c r="O76" s="348"/>
      <c r="P76" s="348">
        <v>0.07</v>
      </c>
      <c r="Q76" s="348">
        <v>0.08</v>
      </c>
      <c r="R76" s="348">
        <v>0.09</v>
      </c>
      <c r="S76" s="348">
        <v>0.1</v>
      </c>
      <c r="T76" s="348">
        <v>0.11</v>
      </c>
      <c r="U76" s="348">
        <v>0.13</v>
      </c>
      <c r="V76" s="348">
        <v>0.15</v>
      </c>
      <c r="W76" s="348">
        <v>0.27</v>
      </c>
      <c r="X76" s="165">
        <f>SUM(N76:W76)</f>
        <v>1</v>
      </c>
      <c r="Y76" s="349" t="s">
        <v>60</v>
      </c>
      <c r="Z76" s="64"/>
      <c r="AA76" s="165">
        <v>1.0</v>
      </c>
      <c r="AB76" s="3"/>
      <c r="AC76" s="3"/>
      <c r="AD76" s="3"/>
      <c r="AE76" s="3"/>
      <c r="AF76" s="3"/>
    </row>
    <row r="77" ht="15.75" customHeight="1">
      <c r="A77" s="1"/>
      <c r="B77" s="105"/>
      <c r="C77" s="106"/>
      <c r="D77" s="107"/>
      <c r="E77" s="144"/>
      <c r="F77" s="109"/>
      <c r="G77" s="110"/>
      <c r="H77" s="111"/>
      <c r="I77" s="112"/>
      <c r="J77" s="50" t="s">
        <v>63</v>
      </c>
      <c r="K77" s="347"/>
      <c r="L77" s="114">
        <v>0.0</v>
      </c>
      <c r="M77" s="114">
        <v>0.0</v>
      </c>
      <c r="N77" s="66">
        <f t="shared" ref="N77:W77" si="60">($X$77-($L$77+$M$77))*N76</f>
        <v>0</v>
      </c>
      <c r="O77" s="66">
        <f t="shared" si="60"/>
        <v>0</v>
      </c>
      <c r="P77" s="66">
        <f t="shared" si="60"/>
        <v>2450</v>
      </c>
      <c r="Q77" s="66">
        <f t="shared" si="60"/>
        <v>2800</v>
      </c>
      <c r="R77" s="66">
        <f t="shared" si="60"/>
        <v>3150</v>
      </c>
      <c r="S77" s="66">
        <f t="shared" si="60"/>
        <v>3500</v>
      </c>
      <c r="T77" s="66">
        <f t="shared" si="60"/>
        <v>3850</v>
      </c>
      <c r="U77" s="66">
        <f t="shared" si="60"/>
        <v>4550</v>
      </c>
      <c r="V77" s="66">
        <f t="shared" si="60"/>
        <v>5250</v>
      </c>
      <c r="W77" s="66">
        <f t="shared" si="60"/>
        <v>9450</v>
      </c>
      <c r="X77" s="166">
        <v>35000.0</v>
      </c>
      <c r="Y77" s="350" t="s">
        <v>60</v>
      </c>
      <c r="Z77" s="78" t="str">
        <f t="shared" ref="Z77:Z79" si="62">IFERROR((X77/Y77),"-")</f>
        <v>-</v>
      </c>
      <c r="AA77" s="166">
        <v>35000.0</v>
      </c>
      <c r="AB77" s="3"/>
      <c r="AC77" s="147"/>
      <c r="AD77" s="3"/>
      <c r="AE77" s="3"/>
      <c r="AF77" s="3"/>
    </row>
    <row r="78" ht="15.75" customHeight="1">
      <c r="A78" s="1"/>
      <c r="B78" s="105"/>
      <c r="C78" s="106"/>
      <c r="D78" s="107"/>
      <c r="E78" s="144"/>
      <c r="F78" s="109"/>
      <c r="G78" s="110"/>
      <c r="H78" s="111"/>
      <c r="I78" s="112"/>
      <c r="J78" s="50" t="s">
        <v>64</v>
      </c>
      <c r="K78" s="351">
        <v>115.0</v>
      </c>
      <c r="L78" s="149"/>
      <c r="M78" s="149"/>
      <c r="N78" s="81">
        <f t="shared" ref="N78:W78" si="61">N77/$K$78</f>
        <v>0</v>
      </c>
      <c r="O78" s="81">
        <f t="shared" si="61"/>
        <v>0</v>
      </c>
      <c r="P78" s="81">
        <f t="shared" si="61"/>
        <v>21.30434783</v>
      </c>
      <c r="Q78" s="81">
        <f t="shared" si="61"/>
        <v>24.34782609</v>
      </c>
      <c r="R78" s="81">
        <f t="shared" si="61"/>
        <v>27.39130435</v>
      </c>
      <c r="S78" s="81">
        <f t="shared" si="61"/>
        <v>30.43478261</v>
      </c>
      <c r="T78" s="81">
        <f t="shared" si="61"/>
        <v>33.47826087</v>
      </c>
      <c r="U78" s="81">
        <f t="shared" si="61"/>
        <v>39.56521739</v>
      </c>
      <c r="V78" s="81">
        <f t="shared" si="61"/>
        <v>45.65217391</v>
      </c>
      <c r="W78" s="81">
        <f t="shared" si="61"/>
        <v>82.17391304</v>
      </c>
      <c r="X78" s="352">
        <f t="shared" ref="X78:X79" si="64">SUM(L78:W78)</f>
        <v>304.3478261</v>
      </c>
      <c r="Y78" s="353" t="s">
        <v>60</v>
      </c>
      <c r="Z78" s="78" t="str">
        <f t="shared" si="62"/>
        <v>-</v>
      </c>
      <c r="AA78" s="352">
        <v>304.3478260869565</v>
      </c>
      <c r="AB78" s="3"/>
      <c r="AC78" s="3"/>
      <c r="AD78" s="3"/>
      <c r="AE78" s="3"/>
      <c r="AF78" s="3"/>
    </row>
    <row r="79" ht="15.75" customHeight="1">
      <c r="A79" s="1"/>
      <c r="B79" s="105"/>
      <c r="C79" s="106"/>
      <c r="D79" s="107"/>
      <c r="E79" s="144"/>
      <c r="F79" s="109"/>
      <c r="G79" s="110"/>
      <c r="H79" s="111"/>
      <c r="I79" s="112"/>
      <c r="J79" s="91" t="s">
        <v>66</v>
      </c>
      <c r="K79" s="360">
        <v>199.0</v>
      </c>
      <c r="L79" s="94">
        <f t="shared" ref="L79:W79" si="63">K79*1</f>
        <v>199</v>
      </c>
      <c r="M79" s="94">
        <f t="shared" si="63"/>
        <v>199</v>
      </c>
      <c r="N79" s="94">
        <f t="shared" si="63"/>
        <v>199</v>
      </c>
      <c r="O79" s="94">
        <f t="shared" si="63"/>
        <v>199</v>
      </c>
      <c r="P79" s="94">
        <f t="shared" si="63"/>
        <v>199</v>
      </c>
      <c r="Q79" s="94">
        <f t="shared" si="63"/>
        <v>199</v>
      </c>
      <c r="R79" s="94">
        <f t="shared" si="63"/>
        <v>199</v>
      </c>
      <c r="S79" s="94">
        <f t="shared" si="63"/>
        <v>199</v>
      </c>
      <c r="T79" s="94">
        <f t="shared" si="63"/>
        <v>199</v>
      </c>
      <c r="U79" s="94">
        <f t="shared" si="63"/>
        <v>199</v>
      </c>
      <c r="V79" s="94">
        <f t="shared" si="63"/>
        <v>199</v>
      </c>
      <c r="W79" s="94">
        <f t="shared" si="63"/>
        <v>199</v>
      </c>
      <c r="X79" s="169">
        <f t="shared" si="64"/>
        <v>2388</v>
      </c>
      <c r="Y79" s="355" t="s">
        <v>60</v>
      </c>
      <c r="Z79" s="104" t="str">
        <f t="shared" si="62"/>
        <v>-</v>
      </c>
      <c r="AA79" s="169">
        <v>2388.0</v>
      </c>
      <c r="AB79" s="3"/>
      <c r="AC79" s="3"/>
      <c r="AD79" s="3"/>
      <c r="AE79" s="3"/>
      <c r="AF79" s="3"/>
    </row>
    <row r="80" ht="15.75" customHeight="1">
      <c r="A80" s="1"/>
      <c r="B80" s="105"/>
      <c r="C80" s="106"/>
      <c r="D80" s="107"/>
      <c r="E80" s="144"/>
      <c r="F80" s="109"/>
      <c r="G80" s="110"/>
      <c r="H80" s="111"/>
      <c r="I80" s="112"/>
      <c r="J80" s="8"/>
      <c r="K80" s="9"/>
      <c r="L80" s="172"/>
      <c r="M80" s="172"/>
      <c r="N80" s="172"/>
      <c r="O80" s="172"/>
      <c r="P80" s="172"/>
      <c r="Q80" s="160"/>
      <c r="R80" s="172">
        <v>15.0</v>
      </c>
      <c r="S80" s="172">
        <v>25.0</v>
      </c>
      <c r="T80" s="172"/>
      <c r="U80" s="172"/>
      <c r="V80" s="172"/>
      <c r="W80" s="172"/>
      <c r="X80" s="172"/>
      <c r="Y80" s="172"/>
      <c r="Z80" s="172"/>
      <c r="AA80" s="172"/>
      <c r="AB80" s="136"/>
      <c r="AC80" s="136"/>
      <c r="AD80" s="136"/>
      <c r="AE80" s="3"/>
      <c r="AF80" s="3"/>
    </row>
    <row r="81" ht="15.75" customHeight="1">
      <c r="A81" s="1"/>
      <c r="B81" s="105">
        <v>14.0</v>
      </c>
      <c r="C81" s="181" t="s">
        <v>94</v>
      </c>
      <c r="D81" s="182">
        <f>200000*12</f>
        <v>2400000</v>
      </c>
      <c r="E81" s="183">
        <v>50.0</v>
      </c>
      <c r="F81" s="184">
        <f>E81*D81</f>
        <v>120000000</v>
      </c>
      <c r="G81" s="185" t="s">
        <v>60</v>
      </c>
      <c r="H81" s="185" t="s">
        <v>60</v>
      </c>
      <c r="I81" s="186" t="s">
        <v>60</v>
      </c>
      <c r="J81" s="34" t="s">
        <v>95</v>
      </c>
      <c r="K81" s="342"/>
      <c r="L81" s="343" t="s">
        <v>10</v>
      </c>
      <c r="M81" s="40" t="s">
        <v>14</v>
      </c>
      <c r="N81" s="344" t="s">
        <v>18</v>
      </c>
      <c r="O81" s="345" t="s">
        <v>22</v>
      </c>
      <c r="P81" s="344" t="s">
        <v>26</v>
      </c>
      <c r="Q81" s="345" t="s">
        <v>30</v>
      </c>
      <c r="R81" s="344" t="s">
        <v>34</v>
      </c>
      <c r="S81" s="345" t="s">
        <v>38</v>
      </c>
      <c r="T81" s="344" t="s">
        <v>42</v>
      </c>
      <c r="U81" s="345" t="s">
        <v>46</v>
      </c>
      <c r="V81" s="344" t="s">
        <v>50</v>
      </c>
      <c r="W81" s="345" t="s">
        <v>54</v>
      </c>
      <c r="X81" s="122">
        <v>2026.0</v>
      </c>
      <c r="Y81" s="346">
        <v>2025.0</v>
      </c>
      <c r="Z81" s="49"/>
      <c r="AA81" s="122">
        <v>2026.0</v>
      </c>
      <c r="AB81" s="3"/>
      <c r="AC81" s="3"/>
      <c r="AD81" s="3"/>
      <c r="AE81" s="3"/>
      <c r="AF81" s="3"/>
    </row>
    <row r="82" ht="15.75" customHeight="1">
      <c r="A82" s="1"/>
      <c r="B82" s="105"/>
      <c r="C82" s="106"/>
      <c r="D82" s="107"/>
      <c r="E82" s="144"/>
      <c r="F82" s="109"/>
      <c r="G82" s="110"/>
      <c r="H82" s="111"/>
      <c r="I82" s="112"/>
      <c r="J82" s="50" t="s">
        <v>61</v>
      </c>
      <c r="K82" s="347"/>
      <c r="L82" s="56" t="s">
        <v>60</v>
      </c>
      <c r="M82" s="56" t="s">
        <v>60</v>
      </c>
      <c r="N82" s="348"/>
      <c r="O82" s="348"/>
      <c r="P82" s="348"/>
      <c r="Q82" s="348">
        <v>0.02</v>
      </c>
      <c r="R82" s="348">
        <v>0.03</v>
      </c>
      <c r="S82" s="348">
        <v>0.05</v>
      </c>
      <c r="T82" s="348">
        <v>0.2</v>
      </c>
      <c r="U82" s="348">
        <v>0.2</v>
      </c>
      <c r="V82" s="348">
        <v>0.25</v>
      </c>
      <c r="W82" s="348">
        <v>0.25</v>
      </c>
      <c r="X82" s="165">
        <f>SUM(N82:W82)</f>
        <v>1</v>
      </c>
      <c r="Y82" s="349" t="s">
        <v>60</v>
      </c>
      <c r="Z82" s="64"/>
      <c r="AA82" s="165">
        <v>1.0</v>
      </c>
      <c r="AB82" s="3"/>
      <c r="AC82" s="3"/>
      <c r="AD82" s="3"/>
      <c r="AE82" s="3"/>
      <c r="AF82" s="3"/>
    </row>
    <row r="83" ht="15.75" customHeight="1">
      <c r="A83" s="1"/>
      <c r="B83" s="105"/>
      <c r="C83" s="106"/>
      <c r="D83" s="107"/>
      <c r="E83" s="144"/>
      <c r="F83" s="109"/>
      <c r="G83" s="110"/>
      <c r="H83" s="111"/>
      <c r="I83" s="112"/>
      <c r="J83" s="50" t="s">
        <v>63</v>
      </c>
      <c r="K83" s="347"/>
      <c r="L83" s="114">
        <v>0.0</v>
      </c>
      <c r="M83" s="114">
        <v>0.0</v>
      </c>
      <c r="N83" s="66">
        <f t="shared" ref="N83:W83" si="65">($X$83-($L$83+$M$83))*N82</f>
        <v>0</v>
      </c>
      <c r="O83" s="66">
        <f t="shared" si="65"/>
        <v>0</v>
      </c>
      <c r="P83" s="66">
        <f t="shared" si="65"/>
        <v>0</v>
      </c>
      <c r="Q83" s="66">
        <f t="shared" si="65"/>
        <v>16800</v>
      </c>
      <c r="R83" s="66">
        <f t="shared" si="65"/>
        <v>25200</v>
      </c>
      <c r="S83" s="66">
        <f t="shared" si="65"/>
        <v>42000</v>
      </c>
      <c r="T83" s="66">
        <f t="shared" si="65"/>
        <v>168000</v>
      </c>
      <c r="U83" s="66">
        <f t="shared" si="65"/>
        <v>168000</v>
      </c>
      <c r="V83" s="66">
        <f t="shared" si="65"/>
        <v>210000</v>
      </c>
      <c r="W83" s="66">
        <f t="shared" si="65"/>
        <v>210000</v>
      </c>
      <c r="X83" s="166">
        <v>840000.0</v>
      </c>
      <c r="Y83" s="350">
        <v>0.0</v>
      </c>
      <c r="Z83" s="78" t="str">
        <f t="shared" ref="Z83:Z85" si="67">IFERROR((X83/Y83),"-")</f>
        <v>-</v>
      </c>
      <c r="AA83" s="166">
        <v>700000.0</v>
      </c>
      <c r="AB83" s="3"/>
      <c r="AC83" s="147"/>
      <c r="AD83" s="3"/>
      <c r="AE83" s="3"/>
      <c r="AF83" s="3"/>
    </row>
    <row r="84" ht="15.75" customHeight="1">
      <c r="A84" s="1"/>
      <c r="B84" s="105"/>
      <c r="C84" s="106"/>
      <c r="D84" s="107"/>
      <c r="E84" s="144"/>
      <c r="F84" s="109"/>
      <c r="G84" s="110"/>
      <c r="H84" s="111"/>
      <c r="I84" s="112"/>
      <c r="J84" s="50" t="s">
        <v>64</v>
      </c>
      <c r="K84" s="351">
        <v>50.0</v>
      </c>
      <c r="L84" s="149"/>
      <c r="M84" s="149"/>
      <c r="N84" s="81">
        <f t="shared" ref="N84:W84" si="66">N83/$K$84</f>
        <v>0</v>
      </c>
      <c r="O84" s="81">
        <f t="shared" si="66"/>
        <v>0</v>
      </c>
      <c r="P84" s="81">
        <f t="shared" si="66"/>
        <v>0</v>
      </c>
      <c r="Q84" s="81">
        <f t="shared" si="66"/>
        <v>336</v>
      </c>
      <c r="R84" s="81">
        <f t="shared" si="66"/>
        <v>504</v>
      </c>
      <c r="S84" s="81">
        <f t="shared" si="66"/>
        <v>840</v>
      </c>
      <c r="T84" s="81">
        <f t="shared" si="66"/>
        <v>3360</v>
      </c>
      <c r="U84" s="81">
        <f t="shared" si="66"/>
        <v>3360</v>
      </c>
      <c r="V84" s="81">
        <f t="shared" si="66"/>
        <v>4200</v>
      </c>
      <c r="W84" s="81">
        <f t="shared" si="66"/>
        <v>4200</v>
      </c>
      <c r="X84" s="352">
        <f t="shared" ref="X84:X85" si="69">SUM(L84:W84)</f>
        <v>16800</v>
      </c>
      <c r="Y84" s="353">
        <v>0.0</v>
      </c>
      <c r="Z84" s="78" t="str">
        <f t="shared" si="67"/>
        <v>-</v>
      </c>
      <c r="AA84" s="352">
        <v>14000.0</v>
      </c>
      <c r="AB84" s="3"/>
      <c r="AC84" s="3"/>
      <c r="AD84" s="3"/>
      <c r="AE84" s="3"/>
      <c r="AF84" s="3"/>
    </row>
    <row r="85" ht="15.75" customHeight="1">
      <c r="A85" s="1"/>
      <c r="B85" s="105"/>
      <c r="C85" s="106"/>
      <c r="D85" s="107"/>
      <c r="E85" s="144"/>
      <c r="F85" s="109"/>
      <c r="G85" s="110"/>
      <c r="H85" s="111"/>
      <c r="I85" s="112"/>
      <c r="J85" s="91" t="s">
        <v>66</v>
      </c>
      <c r="K85" s="354">
        <v>0.02</v>
      </c>
      <c r="L85" s="94">
        <f t="shared" ref="L85:W85" si="68">IF(L84=0, 0, (L83/L84) * (
  MIN(L84, 50000) * 0.02 +
  MAX(0, MIN(L84, 100000) - 50000) * 0.015 +
  MAX(0, L84 - 100000) * 0.01
))</f>
        <v>0</v>
      </c>
      <c r="M85" s="94">
        <f t="shared" si="68"/>
        <v>0</v>
      </c>
      <c r="N85" s="94">
        <f t="shared" si="68"/>
        <v>0</v>
      </c>
      <c r="O85" s="94">
        <f t="shared" si="68"/>
        <v>0</v>
      </c>
      <c r="P85" s="94">
        <f t="shared" si="68"/>
        <v>0</v>
      </c>
      <c r="Q85" s="94">
        <f t="shared" si="68"/>
        <v>336</v>
      </c>
      <c r="R85" s="94">
        <f t="shared" si="68"/>
        <v>504</v>
      </c>
      <c r="S85" s="94">
        <f t="shared" si="68"/>
        <v>840</v>
      </c>
      <c r="T85" s="94">
        <f t="shared" si="68"/>
        <v>3360</v>
      </c>
      <c r="U85" s="94">
        <f t="shared" si="68"/>
        <v>3360</v>
      </c>
      <c r="V85" s="94">
        <f t="shared" si="68"/>
        <v>4200</v>
      </c>
      <c r="W85" s="94">
        <f t="shared" si="68"/>
        <v>4200</v>
      </c>
      <c r="X85" s="169">
        <f t="shared" si="69"/>
        <v>16800</v>
      </c>
      <c r="Y85" s="355">
        <v>0.0</v>
      </c>
      <c r="Z85" s="104" t="str">
        <f t="shared" si="67"/>
        <v>-</v>
      </c>
      <c r="AA85" s="169">
        <v>14000.0</v>
      </c>
      <c r="AB85" s="3"/>
      <c r="AC85" s="3"/>
      <c r="AD85" s="3"/>
      <c r="AE85" s="3"/>
      <c r="AF85" s="3"/>
    </row>
    <row r="86" ht="15.75" customHeight="1">
      <c r="A86" s="1"/>
      <c r="B86" s="105"/>
      <c r="C86" s="106"/>
      <c r="D86" s="107"/>
      <c r="E86" s="144"/>
      <c r="F86" s="109"/>
      <c r="G86" s="110"/>
      <c r="H86" s="111"/>
      <c r="I86" s="112"/>
      <c r="J86" s="8"/>
      <c r="K86" s="9"/>
      <c r="L86" s="136"/>
      <c r="M86" s="136"/>
      <c r="N86" s="136"/>
      <c r="O86" s="136"/>
      <c r="P86" s="136"/>
      <c r="Q86" s="160"/>
      <c r="R86" s="136"/>
      <c r="S86" s="136"/>
      <c r="T86" s="136"/>
      <c r="U86" s="136"/>
      <c r="V86" s="136"/>
      <c r="W86" s="136"/>
      <c r="X86" s="136"/>
      <c r="Y86" s="136"/>
      <c r="Z86" s="136"/>
      <c r="AA86" s="136"/>
      <c r="AB86" s="136"/>
      <c r="AC86" s="136"/>
      <c r="AD86" s="136"/>
      <c r="AE86" s="136"/>
      <c r="AF86" s="136"/>
    </row>
    <row r="87" ht="15.75" customHeight="1">
      <c r="A87" s="1"/>
      <c r="B87" s="105">
        <v>15.0</v>
      </c>
      <c r="C87" s="106" t="s">
        <v>96</v>
      </c>
      <c r="D87" s="107">
        <f>3500*4*12</f>
        <v>168000</v>
      </c>
      <c r="E87" s="144">
        <v>40.0</v>
      </c>
      <c r="F87" s="109">
        <f>E87*D87</f>
        <v>6720000</v>
      </c>
      <c r="G87" s="110">
        <v>9704.999999999982</v>
      </c>
      <c r="H87" s="111">
        <v>519.0</v>
      </c>
      <c r="I87" s="112">
        <v>18.699421965317885</v>
      </c>
      <c r="J87" s="34" t="s">
        <v>97</v>
      </c>
      <c r="K87" s="342"/>
      <c r="L87" s="343" t="s">
        <v>10</v>
      </c>
      <c r="M87" s="40" t="s">
        <v>14</v>
      </c>
      <c r="N87" s="344" t="s">
        <v>18</v>
      </c>
      <c r="O87" s="345" t="s">
        <v>22</v>
      </c>
      <c r="P87" s="344" t="s">
        <v>26</v>
      </c>
      <c r="Q87" s="345" t="s">
        <v>30</v>
      </c>
      <c r="R87" s="344" t="s">
        <v>34</v>
      </c>
      <c r="S87" s="345" t="s">
        <v>38</v>
      </c>
      <c r="T87" s="344" t="s">
        <v>42</v>
      </c>
      <c r="U87" s="345" t="s">
        <v>46</v>
      </c>
      <c r="V87" s="344" t="s">
        <v>50</v>
      </c>
      <c r="W87" s="345" t="s">
        <v>54</v>
      </c>
      <c r="X87" s="122">
        <v>2026.0</v>
      </c>
      <c r="Y87" s="346">
        <v>2025.0</v>
      </c>
      <c r="Z87" s="49"/>
      <c r="AA87" s="122">
        <v>2026.0</v>
      </c>
      <c r="AB87" s="3"/>
      <c r="AC87" s="3"/>
      <c r="AD87" s="3"/>
      <c r="AE87" s="3"/>
      <c r="AF87" s="3"/>
    </row>
    <row r="88" ht="15.75" customHeight="1">
      <c r="A88" s="1"/>
      <c r="B88" s="105"/>
      <c r="C88" s="106"/>
      <c r="D88" s="107"/>
      <c r="E88" s="144"/>
      <c r="F88" s="109"/>
      <c r="G88" s="110"/>
      <c r="H88" s="111"/>
      <c r="I88" s="112"/>
      <c r="J88" s="50" t="s">
        <v>61</v>
      </c>
      <c r="K88" s="347"/>
      <c r="L88" s="56"/>
      <c r="M88" s="56"/>
      <c r="N88" s="348">
        <v>0.03</v>
      </c>
      <c r="O88" s="348">
        <v>0.04</v>
      </c>
      <c r="P88" s="348">
        <v>0.07</v>
      </c>
      <c r="Q88" s="348">
        <v>0.09</v>
      </c>
      <c r="R88" s="348">
        <v>0.11</v>
      </c>
      <c r="S88" s="348">
        <v>0.12</v>
      </c>
      <c r="T88" s="348">
        <v>0.12</v>
      </c>
      <c r="U88" s="348">
        <v>0.12</v>
      </c>
      <c r="V88" s="348">
        <v>0.16</v>
      </c>
      <c r="W88" s="348">
        <v>0.14</v>
      </c>
      <c r="X88" s="165">
        <f>SUM(N88:W88)</f>
        <v>1</v>
      </c>
      <c r="Y88" s="349" t="s">
        <v>60</v>
      </c>
      <c r="Z88" s="64"/>
      <c r="AA88" s="165">
        <v>1.0</v>
      </c>
      <c r="AB88" s="3"/>
      <c r="AC88" s="3"/>
      <c r="AD88" s="3"/>
      <c r="AE88" s="3"/>
      <c r="AF88" s="3"/>
    </row>
    <row r="89" ht="15.75" customHeight="1">
      <c r="A89" s="1"/>
      <c r="B89" s="105"/>
      <c r="C89" s="106"/>
      <c r="D89" s="107"/>
      <c r="E89" s="144"/>
      <c r="F89" s="109"/>
      <c r="G89" s="110"/>
      <c r="H89" s="111"/>
      <c r="I89" s="112"/>
      <c r="J89" s="50" t="s">
        <v>63</v>
      </c>
      <c r="K89" s="347"/>
      <c r="L89" s="114">
        <v>5894.0</v>
      </c>
      <c r="M89" s="114">
        <v>3778.0</v>
      </c>
      <c r="N89" s="66">
        <f t="shared" ref="N89:W89" si="70">($X$89-($L$89+$M$89))*N88</f>
        <v>4209.84</v>
      </c>
      <c r="O89" s="66">
        <f t="shared" si="70"/>
        <v>5613.12</v>
      </c>
      <c r="P89" s="66">
        <f t="shared" si="70"/>
        <v>9822.96</v>
      </c>
      <c r="Q89" s="66">
        <f t="shared" si="70"/>
        <v>12629.52</v>
      </c>
      <c r="R89" s="66">
        <f t="shared" si="70"/>
        <v>15436.08</v>
      </c>
      <c r="S89" s="66">
        <f t="shared" si="70"/>
        <v>16839.36</v>
      </c>
      <c r="T89" s="66">
        <f t="shared" si="70"/>
        <v>16839.36</v>
      </c>
      <c r="U89" s="66">
        <f t="shared" si="70"/>
        <v>16839.36</v>
      </c>
      <c r="V89" s="66">
        <f t="shared" si="70"/>
        <v>22452.48</v>
      </c>
      <c r="W89" s="66">
        <f t="shared" si="70"/>
        <v>19645.92</v>
      </c>
      <c r="X89" s="166">
        <v>150000.0</v>
      </c>
      <c r="Y89" s="350">
        <v>9705.0</v>
      </c>
      <c r="Z89" s="78">
        <f t="shared" ref="Z89:Z91" si="72">X89/Y89</f>
        <v>15.45595054</v>
      </c>
      <c r="AA89" s="166">
        <v>150000.0</v>
      </c>
      <c r="AB89" s="3"/>
      <c r="AC89" s="147"/>
      <c r="AD89" s="3"/>
      <c r="AE89" s="3"/>
      <c r="AF89" s="3"/>
    </row>
    <row r="90" ht="15.75" customHeight="1">
      <c r="A90" s="1"/>
      <c r="B90" s="105"/>
      <c r="C90" s="106"/>
      <c r="D90" s="107"/>
      <c r="E90" s="144"/>
      <c r="F90" s="109"/>
      <c r="G90" s="110"/>
      <c r="H90" s="111"/>
      <c r="I90" s="112"/>
      <c r="J90" s="50" t="s">
        <v>64</v>
      </c>
      <c r="K90" s="351">
        <v>30.0</v>
      </c>
      <c r="L90" s="149">
        <v>236.0</v>
      </c>
      <c r="M90" s="149">
        <v>95.0</v>
      </c>
      <c r="N90" s="81">
        <f t="shared" ref="N90:W90" si="71">N89/$K$90</f>
        <v>140.328</v>
      </c>
      <c r="O90" s="81">
        <f t="shared" si="71"/>
        <v>187.104</v>
      </c>
      <c r="P90" s="81">
        <f t="shared" si="71"/>
        <v>327.432</v>
      </c>
      <c r="Q90" s="81">
        <f t="shared" si="71"/>
        <v>420.984</v>
      </c>
      <c r="R90" s="81">
        <f t="shared" si="71"/>
        <v>514.536</v>
      </c>
      <c r="S90" s="81">
        <f t="shared" si="71"/>
        <v>561.312</v>
      </c>
      <c r="T90" s="81">
        <f t="shared" si="71"/>
        <v>561.312</v>
      </c>
      <c r="U90" s="81">
        <f t="shared" si="71"/>
        <v>561.312</v>
      </c>
      <c r="V90" s="81">
        <f t="shared" si="71"/>
        <v>748.416</v>
      </c>
      <c r="W90" s="81">
        <f t="shared" si="71"/>
        <v>654.864</v>
      </c>
      <c r="X90" s="352">
        <f t="shared" ref="X90:X91" si="74">SUM(L90:W90)</f>
        <v>5008.6</v>
      </c>
      <c r="Y90" s="353">
        <v>519.0</v>
      </c>
      <c r="Z90" s="78">
        <f t="shared" si="72"/>
        <v>9.650481696</v>
      </c>
      <c r="AA90" s="352">
        <v>5008.6</v>
      </c>
      <c r="AB90" s="3"/>
      <c r="AC90" s="3"/>
      <c r="AD90" s="3"/>
      <c r="AE90" s="3"/>
      <c r="AF90" s="3"/>
    </row>
    <row r="91" ht="15.75" customHeight="1">
      <c r="A91" s="1"/>
      <c r="B91" s="105"/>
      <c r="C91" s="106"/>
      <c r="D91" s="107"/>
      <c r="E91" s="144"/>
      <c r="F91" s="109"/>
      <c r="G91" s="110"/>
      <c r="H91" s="111"/>
      <c r="I91" s="112"/>
      <c r="J91" s="91" t="s">
        <v>66</v>
      </c>
      <c r="K91" s="354">
        <v>0.049</v>
      </c>
      <c r="L91" s="94">
        <f t="shared" ref="L91:W91" si="73">$K$91*L89</f>
        <v>288.806</v>
      </c>
      <c r="M91" s="94">
        <f t="shared" si="73"/>
        <v>185.122</v>
      </c>
      <c r="N91" s="94">
        <f t="shared" si="73"/>
        <v>206.28216</v>
      </c>
      <c r="O91" s="94">
        <f t="shared" si="73"/>
        <v>275.04288</v>
      </c>
      <c r="P91" s="94">
        <f t="shared" si="73"/>
        <v>481.32504</v>
      </c>
      <c r="Q91" s="94">
        <f t="shared" si="73"/>
        <v>618.84648</v>
      </c>
      <c r="R91" s="94">
        <f t="shared" si="73"/>
        <v>756.36792</v>
      </c>
      <c r="S91" s="94">
        <f t="shared" si="73"/>
        <v>825.12864</v>
      </c>
      <c r="T91" s="94">
        <f t="shared" si="73"/>
        <v>825.12864</v>
      </c>
      <c r="U91" s="94">
        <f t="shared" si="73"/>
        <v>825.12864</v>
      </c>
      <c r="V91" s="94">
        <f t="shared" si="73"/>
        <v>1100.17152</v>
      </c>
      <c r="W91" s="94">
        <f t="shared" si="73"/>
        <v>962.65008</v>
      </c>
      <c r="X91" s="169">
        <f t="shared" si="74"/>
        <v>7350</v>
      </c>
      <c r="Y91" s="355">
        <f>(5 * 399) + MAX(Y89 * 4.9%, 499)</f>
        <v>2494</v>
      </c>
      <c r="Z91" s="104">
        <f t="shared" si="72"/>
        <v>2.947072975</v>
      </c>
      <c r="AA91" s="169">
        <v>7350.000000000001</v>
      </c>
      <c r="AB91" s="3"/>
      <c r="AC91" s="3"/>
      <c r="AD91" s="3"/>
      <c r="AE91" s="3"/>
      <c r="AF91" s="3"/>
    </row>
    <row r="92" ht="15.75" customHeight="1">
      <c r="A92" s="1"/>
      <c r="B92" s="105"/>
      <c r="C92" s="106"/>
      <c r="D92" s="107"/>
      <c r="E92" s="144"/>
      <c r="F92" s="109"/>
      <c r="G92" s="110"/>
      <c r="H92" s="111"/>
      <c r="I92" s="112"/>
      <c r="J92" s="8"/>
      <c r="K92" s="9"/>
      <c r="L92" s="136"/>
      <c r="M92" s="136"/>
      <c r="N92" s="136"/>
      <c r="O92" s="136"/>
      <c r="P92" s="136"/>
      <c r="Q92" s="160"/>
      <c r="R92" s="136"/>
      <c r="S92" s="136"/>
      <c r="T92" s="136"/>
      <c r="U92" s="136"/>
      <c r="V92" s="136"/>
      <c r="W92" s="136"/>
      <c r="X92" s="136"/>
      <c r="Y92" s="136"/>
      <c r="Z92" s="136"/>
      <c r="AA92" s="136"/>
      <c r="AB92" s="3"/>
      <c r="AC92" s="3"/>
      <c r="AD92" s="3"/>
      <c r="AE92" s="3"/>
      <c r="AF92" s="3"/>
    </row>
    <row r="93" ht="15.75" customHeight="1">
      <c r="A93" s="1"/>
      <c r="B93" s="105">
        <v>16.0</v>
      </c>
      <c r="C93" s="106" t="s">
        <v>98</v>
      </c>
      <c r="D93" s="107">
        <f>15000*12</f>
        <v>180000</v>
      </c>
      <c r="E93" s="144">
        <v>32.0</v>
      </c>
      <c r="F93" s="109">
        <f>E93*D93</f>
        <v>5760000</v>
      </c>
      <c r="G93" s="190">
        <v>356599.2800000031</v>
      </c>
      <c r="H93" s="191">
        <v>11282.0</v>
      </c>
      <c r="I93" s="192">
        <v>31.607807126396306</v>
      </c>
      <c r="J93" s="34" t="s">
        <v>99</v>
      </c>
      <c r="K93" s="342"/>
      <c r="L93" s="343" t="s">
        <v>10</v>
      </c>
      <c r="M93" s="40" t="s">
        <v>14</v>
      </c>
      <c r="N93" s="344" t="s">
        <v>18</v>
      </c>
      <c r="O93" s="345" t="s">
        <v>22</v>
      </c>
      <c r="P93" s="344" t="s">
        <v>26</v>
      </c>
      <c r="Q93" s="345" t="s">
        <v>30</v>
      </c>
      <c r="R93" s="344" t="s">
        <v>34</v>
      </c>
      <c r="S93" s="345" t="s">
        <v>38</v>
      </c>
      <c r="T93" s="344" t="s">
        <v>42</v>
      </c>
      <c r="U93" s="345" t="s">
        <v>46</v>
      </c>
      <c r="V93" s="344" t="s">
        <v>50</v>
      </c>
      <c r="W93" s="345" t="s">
        <v>54</v>
      </c>
      <c r="X93" s="122">
        <v>2026.0</v>
      </c>
      <c r="Y93" s="346">
        <v>2025.0</v>
      </c>
      <c r="Z93" s="49"/>
      <c r="AA93" s="122">
        <v>2026.0</v>
      </c>
      <c r="AB93" s="3"/>
      <c r="AC93" s="3"/>
      <c r="AD93" s="3"/>
      <c r="AE93" s="3"/>
      <c r="AF93" s="3"/>
    </row>
    <row r="94" ht="15.75" customHeight="1">
      <c r="A94" s="1"/>
      <c r="B94" s="105"/>
      <c r="C94" s="106"/>
      <c r="D94" s="107"/>
      <c r="E94" s="144"/>
      <c r="F94" s="109"/>
      <c r="G94" s="110"/>
      <c r="H94" s="111"/>
      <c r="I94" s="112"/>
      <c r="J94" s="50" t="s">
        <v>61</v>
      </c>
      <c r="K94" s="347"/>
      <c r="L94" s="56" t="s">
        <v>60</v>
      </c>
      <c r="M94" s="56" t="s">
        <v>60</v>
      </c>
      <c r="N94" s="348">
        <v>0.035</v>
      </c>
      <c r="O94" s="348">
        <v>0.035</v>
      </c>
      <c r="P94" s="348">
        <v>0.05</v>
      </c>
      <c r="Q94" s="348">
        <v>0.07</v>
      </c>
      <c r="R94" s="348">
        <v>0.07</v>
      </c>
      <c r="S94" s="348">
        <v>0.08</v>
      </c>
      <c r="T94" s="348">
        <v>0.1</v>
      </c>
      <c r="U94" s="348">
        <v>0.18</v>
      </c>
      <c r="V94" s="348">
        <v>0.2</v>
      </c>
      <c r="W94" s="348">
        <v>0.18</v>
      </c>
      <c r="X94" s="165">
        <f>SUM(N94:W94)</f>
        <v>1</v>
      </c>
      <c r="Y94" s="349" t="s">
        <v>60</v>
      </c>
      <c r="Z94" s="64"/>
      <c r="AA94" s="165">
        <v>1.0</v>
      </c>
      <c r="AB94" s="3"/>
      <c r="AC94" s="3"/>
      <c r="AD94" s="3"/>
      <c r="AE94" s="3"/>
      <c r="AF94" s="3"/>
    </row>
    <row r="95" ht="15.75" customHeight="1">
      <c r="A95" s="1"/>
      <c r="B95" s="105"/>
      <c r="C95" s="106"/>
      <c r="D95" s="107"/>
      <c r="E95" s="144"/>
      <c r="F95" s="109"/>
      <c r="G95" s="110"/>
      <c r="H95" s="111"/>
      <c r="I95" s="112"/>
      <c r="J95" s="50" t="s">
        <v>63</v>
      </c>
      <c r="K95" s="347"/>
      <c r="L95" s="114">
        <v>19995.0</v>
      </c>
      <c r="M95" s="114">
        <v>19803.0</v>
      </c>
      <c r="N95" s="66">
        <f t="shared" ref="N95:W95" si="75">($X$95-($L$95+$M$95))*N94</f>
        <v>23107.07</v>
      </c>
      <c r="O95" s="66">
        <f t="shared" si="75"/>
        <v>23107.07</v>
      </c>
      <c r="P95" s="66">
        <f t="shared" si="75"/>
        <v>33010.1</v>
      </c>
      <c r="Q95" s="66">
        <f t="shared" si="75"/>
        <v>46214.14</v>
      </c>
      <c r="R95" s="66">
        <f t="shared" si="75"/>
        <v>46214.14</v>
      </c>
      <c r="S95" s="66">
        <f t="shared" si="75"/>
        <v>52816.16</v>
      </c>
      <c r="T95" s="66">
        <f t="shared" si="75"/>
        <v>66020.2</v>
      </c>
      <c r="U95" s="66">
        <f t="shared" si="75"/>
        <v>118836.36</v>
      </c>
      <c r="V95" s="66">
        <f t="shared" si="75"/>
        <v>132040.4</v>
      </c>
      <c r="W95" s="66">
        <f t="shared" si="75"/>
        <v>118836.36</v>
      </c>
      <c r="X95" s="166">
        <v>700000.0</v>
      </c>
      <c r="Y95" s="350">
        <v>356599.28</v>
      </c>
      <c r="Z95" s="78">
        <f t="shared" ref="Z95:Z97" si="77">X95/Y95</f>
        <v>1.962987699</v>
      </c>
      <c r="AA95" s="166">
        <v>700000.0</v>
      </c>
      <c r="AB95" s="3"/>
      <c r="AC95" s="147"/>
      <c r="AD95" s="3"/>
      <c r="AE95" s="3"/>
      <c r="AF95" s="3"/>
    </row>
    <row r="96" ht="15.75" customHeight="1">
      <c r="A96" s="1"/>
      <c r="B96" s="105"/>
      <c r="C96" s="106"/>
      <c r="D96" s="107"/>
      <c r="E96" s="144"/>
      <c r="F96" s="109"/>
      <c r="G96" s="110"/>
      <c r="H96" s="111"/>
      <c r="I96" s="112"/>
      <c r="J96" s="50" t="s">
        <v>64</v>
      </c>
      <c r="K96" s="351">
        <v>30.0</v>
      </c>
      <c r="L96" s="81">
        <f t="shared" ref="L96:W96" si="76">L95/$K$96</f>
        <v>666.5</v>
      </c>
      <c r="M96" s="81">
        <f t="shared" si="76"/>
        <v>660.1</v>
      </c>
      <c r="N96" s="81">
        <f t="shared" si="76"/>
        <v>770.2356667</v>
      </c>
      <c r="O96" s="81">
        <f t="shared" si="76"/>
        <v>770.2356667</v>
      </c>
      <c r="P96" s="81">
        <f t="shared" si="76"/>
        <v>1100.336667</v>
      </c>
      <c r="Q96" s="81">
        <f t="shared" si="76"/>
        <v>1540.471333</v>
      </c>
      <c r="R96" s="81">
        <f t="shared" si="76"/>
        <v>1540.471333</v>
      </c>
      <c r="S96" s="81">
        <f t="shared" si="76"/>
        <v>1760.538667</v>
      </c>
      <c r="T96" s="81">
        <f t="shared" si="76"/>
        <v>2200.673333</v>
      </c>
      <c r="U96" s="81">
        <f t="shared" si="76"/>
        <v>3961.212</v>
      </c>
      <c r="V96" s="81">
        <f t="shared" si="76"/>
        <v>4401.346667</v>
      </c>
      <c r="W96" s="81">
        <f t="shared" si="76"/>
        <v>3961.212</v>
      </c>
      <c r="X96" s="352">
        <f t="shared" ref="X96:X97" si="79">SUM(L96:W96)</f>
        <v>23333.33333</v>
      </c>
      <c r="Y96" s="353">
        <v>11282.0</v>
      </c>
      <c r="Z96" s="78">
        <f t="shared" si="77"/>
        <v>2.068191219</v>
      </c>
      <c r="AA96" s="352">
        <v>23333.333333333332</v>
      </c>
      <c r="AB96" s="3"/>
      <c r="AC96" s="3"/>
      <c r="AD96" s="3"/>
      <c r="AE96" s="3"/>
      <c r="AF96" s="3"/>
    </row>
    <row r="97" ht="15.75" customHeight="1">
      <c r="A97" s="1"/>
      <c r="B97" s="105"/>
      <c r="C97" s="106"/>
      <c r="D97" s="107"/>
      <c r="E97" s="144"/>
      <c r="F97" s="109"/>
      <c r="G97" s="110"/>
      <c r="H97" s="111"/>
      <c r="I97" s="112"/>
      <c r="J97" s="91" t="s">
        <v>66</v>
      </c>
      <c r="K97" s="361">
        <v>0.04</v>
      </c>
      <c r="L97" s="94">
        <f t="shared" ref="L97:W97" si="78">L95*$K$97</f>
        <v>799.8</v>
      </c>
      <c r="M97" s="94">
        <f t="shared" si="78"/>
        <v>792.12</v>
      </c>
      <c r="N97" s="94">
        <f t="shared" si="78"/>
        <v>924.2828</v>
      </c>
      <c r="O97" s="94">
        <f t="shared" si="78"/>
        <v>924.2828</v>
      </c>
      <c r="P97" s="94">
        <f t="shared" si="78"/>
        <v>1320.404</v>
      </c>
      <c r="Q97" s="94">
        <f t="shared" si="78"/>
        <v>1848.5656</v>
      </c>
      <c r="R97" s="94">
        <f t="shared" si="78"/>
        <v>1848.5656</v>
      </c>
      <c r="S97" s="94">
        <f t="shared" si="78"/>
        <v>2112.6464</v>
      </c>
      <c r="T97" s="94">
        <f t="shared" si="78"/>
        <v>2640.808</v>
      </c>
      <c r="U97" s="94">
        <f t="shared" si="78"/>
        <v>4753.4544</v>
      </c>
      <c r="V97" s="94">
        <f t="shared" si="78"/>
        <v>5281.616</v>
      </c>
      <c r="W97" s="94">
        <f t="shared" si="78"/>
        <v>4753.4544</v>
      </c>
      <c r="X97" s="169">
        <f t="shared" si="79"/>
        <v>28000</v>
      </c>
      <c r="Y97" s="355">
        <f>Y95*0.04</f>
        <v>14263.9712</v>
      </c>
      <c r="Z97" s="104">
        <f t="shared" si="77"/>
        <v>1.962987699</v>
      </c>
      <c r="AA97" s="169">
        <v>28000.0</v>
      </c>
      <c r="AB97" s="3"/>
      <c r="AC97" s="3"/>
      <c r="AD97" s="3"/>
      <c r="AE97" s="3"/>
      <c r="AF97" s="3"/>
    </row>
    <row r="98" ht="15.75" customHeight="1">
      <c r="J98" s="15"/>
      <c r="K98" s="188"/>
      <c r="L98" s="15"/>
      <c r="M98" s="15"/>
      <c r="N98" s="15"/>
      <c r="O98" s="15"/>
      <c r="P98" s="15"/>
      <c r="Q98" s="160"/>
      <c r="R98" s="15"/>
      <c r="S98" s="15"/>
      <c r="T98" s="15"/>
      <c r="U98" s="15"/>
      <c r="V98" s="15"/>
      <c r="W98" s="15"/>
      <c r="X98" s="14"/>
      <c r="Y98" s="14"/>
      <c r="Z98" s="15"/>
      <c r="AA98" s="14"/>
      <c r="AB98" s="3"/>
      <c r="AC98" s="3"/>
      <c r="AD98" s="3"/>
      <c r="AE98" s="3"/>
      <c r="AF98" s="3"/>
    </row>
    <row r="99" ht="15.75" customHeight="1">
      <c r="A99" s="1"/>
      <c r="B99" s="105">
        <v>17.0</v>
      </c>
      <c r="C99" s="106" t="s">
        <v>98</v>
      </c>
      <c r="D99" s="107">
        <f>15000*12</f>
        <v>180000</v>
      </c>
      <c r="E99" s="144">
        <v>32.0</v>
      </c>
      <c r="F99" s="109">
        <f>E99*D99</f>
        <v>5760000</v>
      </c>
      <c r="G99" s="190">
        <v>356599.2800000031</v>
      </c>
      <c r="H99" s="191">
        <v>11282.0</v>
      </c>
      <c r="I99" s="192">
        <v>31.607807126396306</v>
      </c>
      <c r="J99" s="34" t="s">
        <v>100</v>
      </c>
      <c r="K99" s="342"/>
      <c r="L99" s="343" t="s">
        <v>10</v>
      </c>
      <c r="M99" s="40" t="s">
        <v>14</v>
      </c>
      <c r="N99" s="344" t="s">
        <v>18</v>
      </c>
      <c r="O99" s="345" t="s">
        <v>22</v>
      </c>
      <c r="P99" s="344" t="s">
        <v>26</v>
      </c>
      <c r="Q99" s="345" t="s">
        <v>30</v>
      </c>
      <c r="R99" s="344" t="s">
        <v>34</v>
      </c>
      <c r="S99" s="345" t="s">
        <v>38</v>
      </c>
      <c r="T99" s="344" t="s">
        <v>42</v>
      </c>
      <c r="U99" s="345" t="s">
        <v>46</v>
      </c>
      <c r="V99" s="344" t="s">
        <v>50</v>
      </c>
      <c r="W99" s="345" t="s">
        <v>54</v>
      </c>
      <c r="X99" s="122">
        <v>2026.0</v>
      </c>
      <c r="Y99" s="346">
        <v>2025.0</v>
      </c>
      <c r="Z99" s="49"/>
      <c r="AA99" s="122">
        <v>2026.0</v>
      </c>
      <c r="AB99" s="3"/>
      <c r="AC99" s="3"/>
      <c r="AD99" s="3"/>
      <c r="AE99" s="3"/>
      <c r="AF99" s="3"/>
    </row>
    <row r="100" ht="15.75" customHeight="1">
      <c r="A100" s="1"/>
      <c r="B100" s="105"/>
      <c r="C100" s="106"/>
      <c r="D100" s="107"/>
      <c r="E100" s="144"/>
      <c r="F100" s="109"/>
      <c r="G100" s="110"/>
      <c r="H100" s="111"/>
      <c r="I100" s="112"/>
      <c r="J100" s="50" t="s">
        <v>61</v>
      </c>
      <c r="K100" s="347"/>
      <c r="L100" s="56" t="s">
        <v>60</v>
      </c>
      <c r="M100" s="56" t="s">
        <v>60</v>
      </c>
      <c r="N100" s="348"/>
      <c r="O100" s="348"/>
      <c r="P100" s="348"/>
      <c r="Q100" s="348">
        <v>0.05</v>
      </c>
      <c r="R100" s="348">
        <v>0.08</v>
      </c>
      <c r="S100" s="348">
        <v>0.1</v>
      </c>
      <c r="T100" s="348">
        <v>0.16</v>
      </c>
      <c r="U100" s="348">
        <v>0.2</v>
      </c>
      <c r="V100" s="348">
        <v>0.21</v>
      </c>
      <c r="W100" s="348">
        <v>0.2</v>
      </c>
      <c r="X100" s="165">
        <f>SUM(N100:W100)</f>
        <v>1</v>
      </c>
      <c r="Y100" s="349" t="s">
        <v>60</v>
      </c>
      <c r="Z100" s="64"/>
      <c r="AA100" s="165">
        <v>1.0</v>
      </c>
      <c r="AB100" s="3"/>
      <c r="AC100" s="3"/>
      <c r="AD100" s="3"/>
      <c r="AE100" s="3"/>
      <c r="AF100" s="3"/>
    </row>
    <row r="101" ht="15.75" customHeight="1">
      <c r="A101" s="1"/>
      <c r="B101" s="105"/>
      <c r="C101" s="106"/>
      <c r="D101" s="107"/>
      <c r="E101" s="144"/>
      <c r="F101" s="109"/>
      <c r="G101" s="110"/>
      <c r="H101" s="111"/>
      <c r="I101" s="112"/>
      <c r="J101" s="50" t="s">
        <v>63</v>
      </c>
      <c r="K101" s="347"/>
      <c r="L101" s="114"/>
      <c r="M101" s="114"/>
      <c r="N101" s="66"/>
      <c r="O101" s="66"/>
      <c r="P101" s="66"/>
      <c r="Q101" s="66">
        <f t="shared" ref="Q101:W101" si="80">($X$101-($L$101+$M$101))*Q100</f>
        <v>1500000</v>
      </c>
      <c r="R101" s="66">
        <f t="shared" si="80"/>
        <v>2400000</v>
      </c>
      <c r="S101" s="66">
        <f t="shared" si="80"/>
        <v>3000000</v>
      </c>
      <c r="T101" s="66">
        <f t="shared" si="80"/>
        <v>4800000</v>
      </c>
      <c r="U101" s="66">
        <f t="shared" si="80"/>
        <v>6000000</v>
      </c>
      <c r="V101" s="66">
        <f t="shared" si="80"/>
        <v>6300000</v>
      </c>
      <c r="W101" s="66">
        <f t="shared" si="80"/>
        <v>6000000</v>
      </c>
      <c r="X101" s="166">
        <v>3.0E7</v>
      </c>
      <c r="Y101" s="350">
        <v>356599.28</v>
      </c>
      <c r="Z101" s="78">
        <f t="shared" ref="Z101:Z103" si="82">X101/Y101</f>
        <v>84.12804423</v>
      </c>
      <c r="AA101" s="166">
        <v>2.4E7</v>
      </c>
      <c r="AB101" s="3"/>
      <c r="AC101" s="147"/>
      <c r="AD101" s="3"/>
      <c r="AE101" s="3"/>
      <c r="AF101" s="3"/>
    </row>
    <row r="102" ht="15.75" customHeight="1">
      <c r="A102" s="1"/>
      <c r="B102" s="105"/>
      <c r="C102" s="106"/>
      <c r="D102" s="107"/>
      <c r="E102" s="144"/>
      <c r="F102" s="109"/>
      <c r="G102" s="110"/>
      <c r="H102" s="111"/>
      <c r="I102" s="112"/>
      <c r="J102" s="50" t="s">
        <v>64</v>
      </c>
      <c r="K102" s="351">
        <v>101.0</v>
      </c>
      <c r="L102" s="149"/>
      <c r="M102" s="149"/>
      <c r="N102" s="81"/>
      <c r="O102" s="81"/>
      <c r="P102" s="81"/>
      <c r="Q102" s="81">
        <f t="shared" ref="Q102:W102" si="81">Q101/$K$102</f>
        <v>14851.48515</v>
      </c>
      <c r="R102" s="81">
        <f t="shared" si="81"/>
        <v>23762.37624</v>
      </c>
      <c r="S102" s="81">
        <f t="shared" si="81"/>
        <v>29702.9703</v>
      </c>
      <c r="T102" s="81">
        <f t="shared" si="81"/>
        <v>47524.75248</v>
      </c>
      <c r="U102" s="81">
        <f t="shared" si="81"/>
        <v>59405.94059</v>
      </c>
      <c r="V102" s="81">
        <f t="shared" si="81"/>
        <v>62376.23762</v>
      </c>
      <c r="W102" s="81">
        <f t="shared" si="81"/>
        <v>59405.94059</v>
      </c>
      <c r="X102" s="352">
        <f t="shared" ref="X102:X103" si="84">SUM(L102:W102)</f>
        <v>297029.703</v>
      </c>
      <c r="Y102" s="353">
        <v>11282.0</v>
      </c>
      <c r="Z102" s="78">
        <f t="shared" si="82"/>
        <v>26.32775243</v>
      </c>
      <c r="AA102" s="352">
        <v>237623.76237623757</v>
      </c>
      <c r="AB102" s="3"/>
      <c r="AC102" s="3"/>
      <c r="AD102" s="3"/>
      <c r="AE102" s="3"/>
      <c r="AF102" s="3"/>
    </row>
    <row r="103" ht="15.75" customHeight="1">
      <c r="A103" s="1"/>
      <c r="B103" s="105"/>
      <c r="C103" s="106"/>
      <c r="D103" s="107"/>
      <c r="E103" s="144"/>
      <c r="F103" s="109"/>
      <c r="G103" s="110"/>
      <c r="H103" s="111"/>
      <c r="I103" s="112"/>
      <c r="J103" s="91" t="s">
        <v>66</v>
      </c>
      <c r="K103" s="361" t="s">
        <v>60</v>
      </c>
      <c r="L103" s="94"/>
      <c r="M103" s="94"/>
      <c r="N103" s="94"/>
      <c r="O103" s="94"/>
      <c r="P103" s="94"/>
      <c r="Q103" s="94">
        <f t="shared" ref="Q103:W103" si="83">IF(Q102=0, 0,
  MIN(Q102, 10000) * 4 +
  MAX(0, MIN(Q102, 20000) - 10000) * 3 +
  MAX(0, MIN(Q102, 40000) - 20000) * 2 +
  MAX(0, MIN(Q102, 80000) - 40000) * 1 +
  MAX(0, MIN(Q102, 100000) - 80000) * 0.5 +
  MAX(0, Q102 - 100000) * 0.25
)</f>
        <v>54554.45545</v>
      </c>
      <c r="R103" s="94">
        <f t="shared" si="83"/>
        <v>77524.75248</v>
      </c>
      <c r="S103" s="94">
        <f t="shared" si="83"/>
        <v>89405.94059</v>
      </c>
      <c r="T103" s="94">
        <f t="shared" si="83"/>
        <v>117524.7525</v>
      </c>
      <c r="U103" s="94">
        <f t="shared" si="83"/>
        <v>129405.9406</v>
      </c>
      <c r="V103" s="94">
        <f t="shared" si="83"/>
        <v>132376.2376</v>
      </c>
      <c r="W103" s="94">
        <f t="shared" si="83"/>
        <v>129405.9406</v>
      </c>
      <c r="X103" s="169">
        <f t="shared" si="84"/>
        <v>730198.0198</v>
      </c>
      <c r="Y103" s="355">
        <f>Y101*0.04</f>
        <v>14263.9712</v>
      </c>
      <c r="Z103" s="104">
        <f t="shared" si="82"/>
        <v>51.19177609</v>
      </c>
      <c r="AA103" s="169">
        <v>651188.1188118812</v>
      </c>
      <c r="AB103" s="3"/>
      <c r="AC103" s="3"/>
      <c r="AD103" s="3"/>
      <c r="AE103" s="3"/>
      <c r="AF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ht="15.75" customHeight="1">
      <c r="A105" s="25"/>
      <c r="B105" s="194">
        <v>17.0</v>
      </c>
      <c r="C105" s="195" t="s">
        <v>98</v>
      </c>
      <c r="D105" s="196">
        <f>15000*12</f>
        <v>180000</v>
      </c>
      <c r="E105" s="197">
        <v>32.0</v>
      </c>
      <c r="F105" s="198">
        <f>E105*D105</f>
        <v>5760000</v>
      </c>
      <c r="G105" s="199">
        <v>356599.2800000031</v>
      </c>
      <c r="H105" s="200">
        <v>11282.0</v>
      </c>
      <c r="I105" s="201">
        <v>31.607807126396306</v>
      </c>
      <c r="J105" s="362" t="s">
        <v>101</v>
      </c>
      <c r="K105" s="363"/>
      <c r="L105" s="364" t="s">
        <v>10</v>
      </c>
      <c r="M105" s="365" t="s">
        <v>14</v>
      </c>
      <c r="N105" s="366" t="s">
        <v>18</v>
      </c>
      <c r="O105" s="367" t="s">
        <v>22</v>
      </c>
      <c r="P105" s="366" t="s">
        <v>26</v>
      </c>
      <c r="Q105" s="367" t="s">
        <v>30</v>
      </c>
      <c r="R105" s="366" t="s">
        <v>34</v>
      </c>
      <c r="S105" s="367" t="s">
        <v>38</v>
      </c>
      <c r="T105" s="366" t="s">
        <v>42</v>
      </c>
      <c r="U105" s="367" t="s">
        <v>46</v>
      </c>
      <c r="V105" s="366" t="s">
        <v>50</v>
      </c>
      <c r="W105" s="367" t="s">
        <v>54</v>
      </c>
      <c r="X105" s="368">
        <v>2026.0</v>
      </c>
      <c r="Y105" s="369">
        <v>2025.0</v>
      </c>
      <c r="Z105" s="370"/>
      <c r="AA105" s="368"/>
      <c r="AB105" s="25"/>
      <c r="AC105" s="25"/>
      <c r="AD105" s="25"/>
      <c r="AE105" s="25"/>
      <c r="AF105" s="25"/>
    </row>
    <row r="106" ht="15.75" customHeight="1">
      <c r="A106" s="25"/>
      <c r="B106" s="203"/>
      <c r="C106" s="195"/>
      <c r="D106" s="204"/>
      <c r="E106" s="205"/>
      <c r="F106" s="206"/>
      <c r="G106" s="207"/>
      <c r="H106" s="208"/>
      <c r="I106" s="209"/>
      <c r="J106" s="371" t="s">
        <v>61</v>
      </c>
      <c r="K106" s="372"/>
      <c r="L106" s="373" t="s">
        <v>60</v>
      </c>
      <c r="M106" s="373" t="s">
        <v>60</v>
      </c>
      <c r="N106" s="374"/>
      <c r="O106" s="374"/>
      <c r="P106" s="374"/>
      <c r="Q106" s="375"/>
      <c r="R106" s="375"/>
      <c r="S106" s="375"/>
      <c r="T106" s="375"/>
      <c r="U106" s="375">
        <v>0.2</v>
      </c>
      <c r="V106" s="375">
        <v>0.3</v>
      </c>
      <c r="W106" s="375">
        <v>0.5</v>
      </c>
      <c r="X106" s="376">
        <f>SUM(N106:W106)</f>
        <v>1</v>
      </c>
      <c r="Y106" s="377" t="s">
        <v>60</v>
      </c>
      <c r="Z106" s="139"/>
      <c r="AA106" s="376"/>
      <c r="AB106" s="25"/>
      <c r="AC106" s="25"/>
      <c r="AD106" s="25"/>
      <c r="AE106" s="25"/>
      <c r="AF106" s="25"/>
    </row>
    <row r="107" ht="15.75" customHeight="1">
      <c r="A107" s="25"/>
      <c r="B107" s="203"/>
      <c r="C107" s="195"/>
      <c r="D107" s="204"/>
      <c r="E107" s="205"/>
      <c r="F107" s="206"/>
      <c r="G107" s="207"/>
      <c r="H107" s="208"/>
      <c r="I107" s="209"/>
      <c r="J107" s="371" t="s">
        <v>63</v>
      </c>
      <c r="K107" s="372"/>
      <c r="L107" s="378"/>
      <c r="M107" s="378"/>
      <c r="N107" s="379"/>
      <c r="O107" s="379"/>
      <c r="P107" s="379"/>
      <c r="Q107" s="379"/>
      <c r="R107" s="379"/>
      <c r="S107" s="379"/>
      <c r="T107" s="379"/>
      <c r="U107" s="379">
        <f t="shared" ref="U107:V107" si="85">U106*X107</f>
        <v>18000</v>
      </c>
      <c r="V107" s="379">
        <f t="shared" si="85"/>
        <v>106979.784</v>
      </c>
      <c r="W107" s="379">
        <f>W106*X107</f>
        <v>45000</v>
      </c>
      <c r="X107" s="380">
        <v>90000.0</v>
      </c>
      <c r="Y107" s="381">
        <v>356599.28</v>
      </c>
      <c r="Z107" s="382">
        <f t="shared" ref="Z107:Z109" si="86">X107/Y107</f>
        <v>0.2523841327</v>
      </c>
      <c r="AA107" s="380"/>
      <c r="AB107" s="25"/>
      <c r="AC107" s="212"/>
      <c r="AD107" s="25"/>
      <c r="AE107" s="25"/>
      <c r="AF107" s="25"/>
    </row>
    <row r="108" ht="16.5" customHeight="1">
      <c r="A108" s="25"/>
      <c r="B108" s="203"/>
      <c r="C108" s="195"/>
      <c r="D108" s="204"/>
      <c r="E108" s="205"/>
      <c r="F108" s="206"/>
      <c r="G108" s="207"/>
      <c r="H108" s="208"/>
      <c r="I108" s="209"/>
      <c r="J108" s="371" t="s">
        <v>64</v>
      </c>
      <c r="K108" s="383">
        <v>120.0</v>
      </c>
      <c r="L108" s="331"/>
      <c r="M108" s="331"/>
      <c r="N108" s="384"/>
      <c r="O108" s="384"/>
      <c r="P108" s="384"/>
      <c r="Q108" s="384"/>
      <c r="R108" s="384"/>
      <c r="S108" s="384"/>
      <c r="T108" s="384"/>
      <c r="U108" s="384">
        <f>U107/'planej.OPS-OTIMISTA_26'!$K$102</f>
        <v>178.2178218</v>
      </c>
      <c r="V108" s="384">
        <f>V107/'planej.OPS-OTIMISTA_26'!$K$102</f>
        <v>1059.205782</v>
      </c>
      <c r="W108" s="384">
        <f>W107/'planej.OPS-OTIMISTA_26'!$K$102</f>
        <v>445.5445545</v>
      </c>
      <c r="X108" s="385">
        <f t="shared" ref="X108:X109" si="88">SUM(L108:W108)</f>
        <v>1682.968158</v>
      </c>
      <c r="Y108" s="386">
        <v>11282.0</v>
      </c>
      <c r="Z108" s="382">
        <f t="shared" si="86"/>
        <v>0.1491728557</v>
      </c>
      <c r="AA108" s="385"/>
      <c r="AB108" s="25"/>
      <c r="AC108" s="25"/>
      <c r="AD108" s="25"/>
      <c r="AE108" s="25"/>
      <c r="AF108" s="25"/>
    </row>
    <row r="109" ht="15.75" customHeight="1">
      <c r="A109" s="25"/>
      <c r="B109" s="203"/>
      <c r="C109" s="195"/>
      <c r="D109" s="204"/>
      <c r="E109" s="205"/>
      <c r="F109" s="206"/>
      <c r="G109" s="207"/>
      <c r="H109" s="208"/>
      <c r="I109" s="209"/>
      <c r="J109" s="387" t="s">
        <v>66</v>
      </c>
      <c r="K109" s="388" t="s">
        <v>60</v>
      </c>
      <c r="L109" s="389"/>
      <c r="M109" s="389"/>
      <c r="N109" s="390"/>
      <c r="O109" s="390"/>
      <c r="P109" s="390"/>
      <c r="Q109" s="390"/>
      <c r="R109" s="390"/>
      <c r="S109" s="390"/>
      <c r="T109" s="390"/>
      <c r="U109" s="390">
        <f t="shared" ref="U109:W109" si="87">IF(U108=0, 0,
  MIN(U108, 10000) * 4 +
  MAX(0, MIN(U108, 20000) - 10000) * 3 +
  MAX(0, MIN(U108, 40000) - 20000) * 2 +
  MAX(0, MIN(U108, 80000) - 40000) * 1 +
  MAX(0, MIN(U108, 100000) - 80000) * 0.5 +
  MAX(0, U108 - 100000) * 0.25
)</f>
        <v>712.8712871</v>
      </c>
      <c r="V109" s="390">
        <f t="shared" si="87"/>
        <v>4236.823129</v>
      </c>
      <c r="W109" s="390">
        <f t="shared" si="87"/>
        <v>1782.178218</v>
      </c>
      <c r="X109" s="391">
        <f t="shared" si="88"/>
        <v>6731.872634</v>
      </c>
      <c r="Y109" s="392">
        <f>Y107*0.04</f>
        <v>14263.9712</v>
      </c>
      <c r="Z109" s="393">
        <f t="shared" si="86"/>
        <v>0.4719493989</v>
      </c>
      <c r="AA109" s="391"/>
      <c r="AB109" s="25"/>
      <c r="AC109" s="25"/>
      <c r="AD109" s="25"/>
      <c r="AE109" s="25"/>
      <c r="AF109" s="25"/>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ht="15.75" customHeight="1">
      <c r="J114" s="15"/>
      <c r="K114" s="188"/>
      <c r="L114" s="114"/>
      <c r="M114" s="15"/>
      <c r="N114" s="15"/>
      <c r="O114" s="15"/>
      <c r="P114" s="15"/>
      <c r="Q114" s="15"/>
      <c r="R114" s="15"/>
      <c r="S114" s="15"/>
      <c r="T114" s="15"/>
      <c r="U114" s="15"/>
      <c r="V114" s="15"/>
      <c r="W114" s="394" t="s">
        <v>102</v>
      </c>
      <c r="X114" s="239" t="s">
        <v>116</v>
      </c>
      <c r="Y114" s="239" t="s">
        <v>117</v>
      </c>
      <c r="Z114" s="241" t="s">
        <v>118</v>
      </c>
      <c r="AB114" s="3"/>
      <c r="AC114" s="3"/>
      <c r="AD114" s="3"/>
    </row>
    <row r="115" ht="15.75" customHeight="1">
      <c r="J115" s="15"/>
      <c r="K115" s="188"/>
      <c r="L115" s="15"/>
      <c r="M115" s="15"/>
      <c r="N115" s="15"/>
      <c r="O115" s="15"/>
      <c r="P115" s="15"/>
      <c r="Q115" s="243"/>
      <c r="R115" s="15"/>
      <c r="S115" s="15"/>
      <c r="T115" s="15"/>
      <c r="U115" s="15"/>
      <c r="V115" s="15"/>
      <c r="W115" s="251" t="s">
        <v>63</v>
      </c>
      <c r="X115" s="395">
        <f>SUMIF($J$5:$J$109, "gmv", X5:X109)</f>
        <v>150225000</v>
      </c>
      <c r="Y115" s="395">
        <f>SUMIF($J$5:$J$109, "gmv", AA5:AA109)</f>
        <v>145963076.2</v>
      </c>
      <c r="Z115" s="396">
        <f t="shared" ref="Z115:Z117" si="89">X115/Y115-1</f>
        <v>0.02919864331</v>
      </c>
      <c r="AB115" s="3"/>
      <c r="AC115" s="3"/>
      <c r="AD115" s="3"/>
    </row>
    <row r="116" ht="15.75" customHeight="1">
      <c r="J116" s="15"/>
      <c r="K116" s="188"/>
      <c r="L116" s="15"/>
      <c r="M116" s="15"/>
      <c r="N116" s="15"/>
      <c r="O116" s="15"/>
      <c r="P116" s="15"/>
      <c r="Q116" s="250"/>
      <c r="R116" s="15"/>
      <c r="S116" s="15"/>
      <c r="T116" s="170"/>
      <c r="U116" s="15"/>
      <c r="V116" s="15"/>
      <c r="W116" s="251" t="s">
        <v>64</v>
      </c>
      <c r="X116" s="397">
        <f>SUMIF($J$6:$J$109, "Pedidos", X6:X109)</f>
        <v>2008188.387</v>
      </c>
      <c r="Y116" s="397">
        <f>SUMIF($J$6:$J$109, "Pedidos", AA6:AA109)</f>
        <v>1941822.852</v>
      </c>
      <c r="Z116" s="398">
        <f t="shared" si="89"/>
        <v>0.03417692553</v>
      </c>
      <c r="AB116" s="3"/>
      <c r="AC116" s="3"/>
      <c r="AD116" s="3"/>
    </row>
    <row r="117" ht="15.75" customHeight="1">
      <c r="J117" s="15"/>
      <c r="K117" s="188"/>
      <c r="L117" s="15"/>
      <c r="M117" s="15"/>
      <c r="N117" s="15"/>
      <c r="O117" s="15"/>
      <c r="P117" s="15"/>
      <c r="Q117" s="250"/>
      <c r="R117" s="15"/>
      <c r="S117" s="15"/>
      <c r="T117" s="15"/>
      <c r="U117" s="15"/>
      <c r="V117" s="15"/>
      <c r="W117" s="258" t="s">
        <v>66</v>
      </c>
      <c r="X117" s="395">
        <f>SUMIF($J$5:$J$109, "Receita Hanzo", X5:X109)</f>
        <v>6181052.846</v>
      </c>
      <c r="Y117" s="395">
        <f>SUMIF($J$5:$J$109, "Receita Hanzo", AA5:AA109)</f>
        <v>6542361.595</v>
      </c>
      <c r="Z117" s="396">
        <f t="shared" si="89"/>
        <v>-0.05522604394</v>
      </c>
      <c r="AB117" s="3"/>
      <c r="AC117" s="3"/>
      <c r="AD117" s="3"/>
    </row>
    <row r="118" ht="15.75" customHeight="1">
      <c r="J118" s="15"/>
      <c r="K118" s="188"/>
      <c r="L118" s="15"/>
      <c r="M118" s="15"/>
      <c r="N118" s="15"/>
      <c r="O118" s="15"/>
      <c r="P118" s="15"/>
      <c r="Q118" s="15"/>
      <c r="R118" s="15"/>
      <c r="S118" s="15"/>
      <c r="T118" s="15"/>
      <c r="U118" s="15"/>
      <c r="V118" s="15"/>
      <c r="W118" s="15"/>
      <c r="X118" s="14"/>
      <c r="Y118" s="14"/>
      <c r="Z118" s="15"/>
      <c r="AA118" s="14"/>
      <c r="AB118" s="3"/>
      <c r="AC118" s="3"/>
      <c r="AD118" s="3"/>
      <c r="AE118" s="3"/>
      <c r="AF118" s="3"/>
    </row>
    <row r="119" ht="15.75" customHeight="1">
      <c r="J119" s="15"/>
      <c r="K119" s="188"/>
      <c r="L119" s="15"/>
      <c r="M119" s="15"/>
      <c r="N119" s="15"/>
      <c r="O119" s="15"/>
      <c r="P119" s="15"/>
      <c r="Q119" s="15"/>
      <c r="R119" s="15"/>
      <c r="S119" s="15"/>
      <c r="T119" s="15"/>
      <c r="U119" s="15"/>
      <c r="V119" s="15"/>
      <c r="W119" s="15"/>
      <c r="X119" s="25"/>
      <c r="Y119" s="14"/>
      <c r="Z119" s="15"/>
      <c r="AA119" s="25"/>
      <c r="AB119" s="3"/>
      <c r="AC119" s="3"/>
      <c r="AD119" s="3"/>
      <c r="AE119" s="3"/>
      <c r="AF119" s="3"/>
    </row>
    <row r="120" ht="15.75" customHeight="1">
      <c r="J120" s="15"/>
      <c r="K120" s="188"/>
      <c r="L120" s="15"/>
      <c r="M120" s="15"/>
      <c r="N120" s="15"/>
      <c r="O120" s="15"/>
      <c r="P120" s="15"/>
      <c r="Q120" s="15"/>
      <c r="R120" s="15"/>
      <c r="S120" s="15"/>
      <c r="T120" s="250"/>
      <c r="U120" s="15"/>
      <c r="V120" s="15"/>
      <c r="W120" s="15"/>
      <c r="X120" s="14"/>
      <c r="Y120" s="14"/>
      <c r="Z120" s="15"/>
      <c r="AA120" s="14"/>
      <c r="AB120" s="3"/>
      <c r="AC120" s="3"/>
      <c r="AD120" s="3"/>
      <c r="AE120" s="3"/>
      <c r="AF120" s="3"/>
    </row>
    <row r="121" ht="15.75" customHeight="1">
      <c r="J121" s="15"/>
      <c r="K121" s="188"/>
      <c r="L121" s="15"/>
      <c r="M121" s="15"/>
      <c r="N121" s="15"/>
      <c r="O121" s="15"/>
      <c r="P121" s="15"/>
      <c r="Q121" s="15"/>
      <c r="R121" s="15"/>
      <c r="S121" s="15"/>
      <c r="T121" s="15"/>
      <c r="U121" s="15"/>
      <c r="V121" s="15"/>
      <c r="W121" s="15"/>
      <c r="X121" s="14"/>
      <c r="Y121" s="14"/>
      <c r="Z121" s="15"/>
      <c r="AA121" s="14"/>
      <c r="AB121" s="3"/>
      <c r="AC121" s="3"/>
      <c r="AD121" s="3"/>
      <c r="AE121" s="3"/>
      <c r="AF121" s="3"/>
    </row>
    <row r="122" ht="15.75" customHeight="1">
      <c r="J122" s="15"/>
      <c r="K122" s="188"/>
      <c r="L122" s="15"/>
      <c r="M122" s="15"/>
      <c r="N122" s="15"/>
      <c r="O122" s="15"/>
      <c r="P122" s="15"/>
      <c r="Q122" s="15"/>
      <c r="R122" s="15"/>
      <c r="S122" s="15"/>
      <c r="T122" s="15"/>
      <c r="U122" s="15"/>
      <c r="V122" s="15"/>
      <c r="W122" s="15"/>
      <c r="X122" s="14"/>
      <c r="Y122" s="14"/>
      <c r="Z122" s="15"/>
      <c r="AA122" s="14"/>
      <c r="AB122" s="3"/>
      <c r="AC122" s="3"/>
      <c r="AD122" s="3"/>
      <c r="AE122" s="3"/>
      <c r="AF122" s="3"/>
    </row>
    <row r="123" ht="15.75" customHeight="1">
      <c r="J123" s="15"/>
      <c r="K123" s="188"/>
      <c r="L123" s="15"/>
      <c r="M123" s="15"/>
      <c r="N123" s="15"/>
      <c r="O123" s="15"/>
      <c r="P123" s="15"/>
      <c r="Q123" s="15"/>
      <c r="R123" s="15"/>
      <c r="S123" s="15"/>
      <c r="T123" s="15"/>
      <c r="U123" s="15"/>
      <c r="V123" s="15"/>
      <c r="W123" s="15"/>
      <c r="X123" s="14"/>
      <c r="Y123" s="14"/>
      <c r="Z123" s="15"/>
      <c r="AA123" s="14"/>
      <c r="AB123" s="3"/>
      <c r="AC123" s="3"/>
      <c r="AD123" s="3"/>
      <c r="AE123" s="3"/>
      <c r="AF123" s="3"/>
    </row>
    <row r="124" ht="15.75" customHeight="1">
      <c r="J124" s="15"/>
      <c r="K124" s="188"/>
      <c r="L124" s="15"/>
      <c r="M124" s="15"/>
      <c r="N124" s="15"/>
      <c r="O124" s="15"/>
      <c r="P124" s="15"/>
      <c r="Q124" s="15"/>
      <c r="R124" s="15"/>
      <c r="S124" s="15"/>
      <c r="T124" s="15"/>
      <c r="U124" s="15"/>
      <c r="V124" s="15"/>
      <c r="W124" s="15"/>
      <c r="X124" s="14"/>
      <c r="Y124" s="14"/>
      <c r="Z124" s="15"/>
      <c r="AA124" s="14"/>
      <c r="AB124" s="3"/>
      <c r="AC124" s="3"/>
      <c r="AD124" s="3"/>
      <c r="AE124" s="3"/>
      <c r="AF124" s="3"/>
    </row>
    <row r="125" ht="15.75" customHeight="1">
      <c r="J125" s="15"/>
      <c r="K125" s="188"/>
      <c r="L125" s="15"/>
      <c r="M125" s="15"/>
      <c r="N125" s="15"/>
      <c r="O125" s="15"/>
      <c r="P125" s="15"/>
      <c r="Q125" s="15"/>
      <c r="R125" s="15"/>
      <c r="S125" s="15"/>
      <c r="T125" s="15"/>
      <c r="U125" s="15"/>
      <c r="V125" s="15"/>
      <c r="W125" s="15"/>
      <c r="X125" s="14"/>
      <c r="Y125" s="14"/>
      <c r="Z125" s="15"/>
      <c r="AA125" s="14"/>
      <c r="AB125" s="3"/>
      <c r="AC125" s="3"/>
      <c r="AD125" s="3"/>
      <c r="AE125" s="3"/>
      <c r="AF125" s="3"/>
    </row>
    <row r="126" ht="15.75" customHeight="1">
      <c r="J126" s="15"/>
      <c r="K126" s="188"/>
      <c r="L126" s="15"/>
      <c r="M126" s="15"/>
      <c r="N126" s="15"/>
      <c r="O126" s="15"/>
      <c r="P126" s="15"/>
      <c r="Q126" s="15"/>
      <c r="R126" s="15"/>
      <c r="S126" s="15"/>
      <c r="T126" s="15"/>
      <c r="U126" s="15"/>
      <c r="V126" s="15"/>
      <c r="W126" s="15"/>
      <c r="X126" s="14"/>
      <c r="Y126" s="14"/>
      <c r="Z126" s="15"/>
      <c r="AA126" s="14"/>
      <c r="AB126" s="3"/>
      <c r="AC126" s="3"/>
      <c r="AD126" s="3"/>
      <c r="AE126" s="3"/>
      <c r="AF126" s="3"/>
    </row>
    <row r="127" ht="15.75" customHeight="1">
      <c r="J127" s="15"/>
      <c r="K127" s="188"/>
      <c r="L127" s="15"/>
      <c r="M127" s="15"/>
      <c r="N127" s="15"/>
      <c r="O127" s="15"/>
      <c r="P127" s="15"/>
      <c r="Q127" s="15"/>
      <c r="R127" s="15"/>
      <c r="S127" s="15"/>
      <c r="T127" s="15"/>
      <c r="U127" s="15"/>
      <c r="V127" s="15"/>
      <c r="W127" s="15"/>
      <c r="X127" s="14"/>
      <c r="Y127" s="14"/>
      <c r="Z127" s="15"/>
      <c r="AA127" s="14"/>
      <c r="AB127" s="3"/>
      <c r="AC127" s="3"/>
      <c r="AD127" s="3"/>
      <c r="AE127" s="3"/>
      <c r="AF127" s="3"/>
    </row>
    <row r="128" ht="15.75" customHeight="1">
      <c r="J128" s="15"/>
      <c r="K128" s="188"/>
      <c r="L128" s="15"/>
      <c r="M128" s="15"/>
      <c r="N128" s="15"/>
      <c r="O128" s="15"/>
      <c r="P128" s="15"/>
      <c r="Q128" s="15"/>
      <c r="R128" s="15"/>
      <c r="S128" s="15"/>
      <c r="T128" s="15"/>
      <c r="U128" s="15"/>
      <c r="V128" s="15"/>
      <c r="W128" s="15"/>
      <c r="X128" s="14"/>
      <c r="Y128" s="14"/>
      <c r="Z128" s="15"/>
      <c r="AA128" s="14"/>
      <c r="AB128" s="3"/>
      <c r="AC128" s="3"/>
      <c r="AD128" s="3"/>
      <c r="AE128" s="3"/>
      <c r="AF128" s="3"/>
    </row>
    <row r="129" ht="15.75" customHeight="1">
      <c r="J129" s="15"/>
      <c r="K129" s="188"/>
      <c r="L129" s="15"/>
      <c r="M129" s="15"/>
      <c r="N129" s="15"/>
      <c r="O129" s="15"/>
      <c r="P129" s="15"/>
      <c r="Q129" s="15"/>
      <c r="R129" s="15"/>
      <c r="S129" s="15"/>
      <c r="T129" s="15"/>
      <c r="U129" s="15"/>
      <c r="V129" s="15"/>
      <c r="W129" s="15"/>
      <c r="X129" s="14"/>
      <c r="Y129" s="14"/>
      <c r="Z129" s="15"/>
      <c r="AA129" s="14"/>
      <c r="AB129" s="3"/>
      <c r="AC129" s="3"/>
      <c r="AD129" s="3"/>
      <c r="AE129" s="3"/>
      <c r="AF129" s="3"/>
    </row>
    <row r="130" ht="15.75" customHeight="1">
      <c r="J130" s="15"/>
      <c r="K130" s="188"/>
      <c r="L130" s="15"/>
      <c r="M130" s="15"/>
      <c r="N130" s="15"/>
      <c r="O130" s="15"/>
      <c r="P130" s="15"/>
      <c r="Q130" s="15"/>
      <c r="R130" s="15"/>
      <c r="S130" s="15"/>
      <c r="T130" s="15"/>
      <c r="U130" s="15"/>
      <c r="V130" s="15"/>
      <c r="W130" s="15"/>
      <c r="X130" s="14"/>
      <c r="Y130" s="14"/>
      <c r="Z130" s="15"/>
      <c r="AA130" s="14"/>
      <c r="AB130" s="3"/>
      <c r="AC130" s="3"/>
      <c r="AD130" s="3"/>
      <c r="AE130" s="3"/>
      <c r="AF130" s="3"/>
    </row>
    <row r="131" ht="15.75" customHeight="1">
      <c r="J131" s="15"/>
      <c r="K131" s="188"/>
      <c r="L131" s="15"/>
      <c r="M131" s="15"/>
      <c r="N131" s="15"/>
      <c r="O131" s="15"/>
      <c r="P131" s="15"/>
      <c r="Q131" s="15"/>
      <c r="R131" s="15"/>
      <c r="S131" s="15"/>
      <c r="T131" s="15"/>
      <c r="U131" s="15"/>
      <c r="V131" s="15"/>
      <c r="W131" s="15"/>
      <c r="X131" s="14"/>
      <c r="Y131" s="14"/>
      <c r="Z131" s="15"/>
      <c r="AA131" s="14"/>
      <c r="AB131" s="3"/>
      <c r="AC131" s="3"/>
      <c r="AD131" s="3"/>
      <c r="AE131" s="3"/>
      <c r="AF131" s="3"/>
    </row>
    <row r="132" ht="15.75" customHeight="1">
      <c r="J132" s="15"/>
      <c r="K132" s="188"/>
      <c r="L132" s="15"/>
      <c r="M132" s="15"/>
      <c r="N132" s="15"/>
      <c r="O132" s="15"/>
      <c r="P132" s="15"/>
      <c r="Q132" s="15"/>
      <c r="R132" s="15"/>
      <c r="S132" s="15"/>
      <c r="T132" s="15"/>
      <c r="U132" s="15"/>
      <c r="V132" s="15"/>
      <c r="W132" s="15"/>
      <c r="X132" s="14"/>
      <c r="Y132" s="14"/>
      <c r="Z132" s="15"/>
      <c r="AA132" s="14"/>
      <c r="AB132" s="3"/>
      <c r="AC132" s="3"/>
      <c r="AD132" s="3"/>
      <c r="AE132" s="3"/>
      <c r="AF132" s="3"/>
    </row>
    <row r="133" ht="15.75" customHeight="1">
      <c r="J133" s="15"/>
      <c r="K133" s="188"/>
      <c r="L133" s="15"/>
      <c r="M133" s="15"/>
      <c r="N133" s="15"/>
      <c r="O133" s="15"/>
      <c r="P133" s="15"/>
      <c r="Q133" s="15"/>
      <c r="R133" s="15"/>
      <c r="S133" s="15"/>
      <c r="T133" s="15"/>
      <c r="U133" s="15"/>
      <c r="V133" s="15"/>
      <c r="W133" s="15"/>
      <c r="X133" s="14"/>
      <c r="Y133" s="14"/>
      <c r="Z133" s="15"/>
      <c r="AA133" s="14"/>
      <c r="AB133" s="3"/>
      <c r="AC133" s="3"/>
      <c r="AD133" s="3"/>
      <c r="AE133" s="3"/>
      <c r="AF133" s="3"/>
    </row>
    <row r="134" ht="15.75" customHeight="1">
      <c r="J134" s="15"/>
      <c r="K134" s="188"/>
      <c r="L134" s="15"/>
      <c r="M134" s="15"/>
      <c r="N134" s="15"/>
      <c r="O134" s="15"/>
      <c r="P134" s="15"/>
      <c r="Q134" s="15"/>
      <c r="R134" s="15"/>
      <c r="S134" s="15"/>
      <c r="T134" s="15"/>
      <c r="U134" s="15"/>
      <c r="V134" s="15"/>
      <c r="W134" s="15"/>
      <c r="X134" s="14"/>
      <c r="Y134" s="14"/>
      <c r="Z134" s="15"/>
      <c r="AA134" s="14"/>
      <c r="AB134" s="3"/>
      <c r="AC134" s="3"/>
      <c r="AD134" s="3"/>
      <c r="AE134" s="3"/>
      <c r="AF134" s="3"/>
    </row>
    <row r="135" ht="15.75" customHeight="1">
      <c r="J135" s="15"/>
      <c r="K135" s="188"/>
      <c r="L135" s="15"/>
      <c r="M135" s="15"/>
      <c r="N135" s="15"/>
      <c r="O135" s="15"/>
      <c r="P135" s="15"/>
      <c r="Q135" s="15"/>
      <c r="R135" s="15"/>
      <c r="S135" s="15"/>
      <c r="T135" s="15"/>
      <c r="U135" s="15"/>
      <c r="V135" s="15"/>
      <c r="W135" s="15"/>
      <c r="X135" s="14"/>
      <c r="Y135" s="14"/>
      <c r="Z135" s="15"/>
      <c r="AA135" s="14"/>
      <c r="AB135" s="3"/>
      <c r="AC135" s="3"/>
      <c r="AD135" s="3"/>
      <c r="AE135" s="3"/>
      <c r="AF135" s="3"/>
    </row>
    <row r="136" ht="15.75" customHeight="1">
      <c r="J136" s="15"/>
      <c r="K136" s="188"/>
      <c r="L136" s="15"/>
      <c r="M136" s="15"/>
      <c r="N136" s="15"/>
      <c r="O136" s="15"/>
      <c r="P136" s="15"/>
      <c r="Q136" s="15"/>
      <c r="R136" s="15"/>
      <c r="S136" s="15"/>
      <c r="T136" s="15"/>
      <c r="U136" s="15"/>
      <c r="V136" s="15"/>
      <c r="W136" s="15"/>
      <c r="X136" s="14"/>
      <c r="Y136" s="14"/>
      <c r="Z136" s="15"/>
      <c r="AA136" s="14"/>
      <c r="AB136" s="3"/>
      <c r="AC136" s="3"/>
      <c r="AD136" s="3"/>
      <c r="AE136" s="3"/>
      <c r="AF136" s="3"/>
    </row>
    <row r="137" ht="15.75" customHeight="1">
      <c r="J137" s="15"/>
      <c r="K137" s="188"/>
      <c r="L137" s="15"/>
      <c r="M137" s="15"/>
      <c r="N137" s="15"/>
      <c r="O137" s="15"/>
      <c r="P137" s="15"/>
      <c r="Q137" s="15"/>
      <c r="R137" s="15"/>
      <c r="S137" s="15"/>
      <c r="T137" s="15"/>
      <c r="U137" s="15"/>
      <c r="V137" s="15"/>
      <c r="W137" s="15"/>
      <c r="X137" s="14"/>
      <c r="Y137" s="14"/>
      <c r="Z137" s="15"/>
      <c r="AA137" s="14"/>
      <c r="AB137" s="3"/>
      <c r="AC137" s="3"/>
      <c r="AD137" s="3"/>
      <c r="AE137" s="3"/>
      <c r="AF137" s="3"/>
    </row>
    <row r="138" ht="15.75" customHeight="1">
      <c r="J138" s="15"/>
      <c r="K138" s="188"/>
      <c r="L138" s="15"/>
      <c r="M138" s="15"/>
      <c r="N138" s="15"/>
      <c r="O138" s="15"/>
      <c r="P138" s="15"/>
      <c r="Q138" s="15"/>
      <c r="R138" s="15"/>
      <c r="S138" s="15"/>
      <c r="T138" s="15"/>
      <c r="U138" s="15"/>
      <c r="V138" s="15"/>
      <c r="W138" s="15"/>
      <c r="X138" s="14"/>
      <c r="Y138" s="14"/>
      <c r="Z138" s="15"/>
      <c r="AA138" s="14"/>
      <c r="AB138" s="3"/>
      <c r="AC138" s="3"/>
      <c r="AD138" s="3"/>
      <c r="AE138" s="3"/>
      <c r="AF138" s="3"/>
    </row>
    <row r="139" ht="15.75" customHeight="1">
      <c r="J139" s="15"/>
      <c r="K139" s="188"/>
      <c r="L139" s="15"/>
      <c r="M139" s="15"/>
      <c r="N139" s="15"/>
      <c r="O139" s="15"/>
      <c r="P139" s="15"/>
      <c r="Q139" s="15"/>
      <c r="R139" s="15"/>
      <c r="S139" s="15"/>
      <c r="T139" s="15"/>
      <c r="U139" s="15"/>
      <c r="V139" s="15"/>
      <c r="W139" s="15"/>
      <c r="X139" s="14"/>
      <c r="Y139" s="14"/>
      <c r="Z139" s="15"/>
      <c r="AA139" s="14"/>
      <c r="AB139" s="3"/>
      <c r="AC139" s="3"/>
      <c r="AD139" s="3"/>
      <c r="AE139" s="3"/>
      <c r="AF139" s="3"/>
    </row>
    <row r="140" ht="15.75" customHeight="1">
      <c r="J140" s="15"/>
      <c r="K140" s="188"/>
      <c r="L140" s="15"/>
      <c r="M140" s="15"/>
      <c r="N140" s="15"/>
      <c r="O140" s="15"/>
      <c r="P140" s="15"/>
      <c r="Q140" s="15"/>
      <c r="R140" s="15"/>
      <c r="S140" s="15"/>
      <c r="T140" s="15"/>
      <c r="U140" s="15"/>
      <c r="V140" s="15"/>
      <c r="W140" s="15"/>
      <c r="X140" s="14"/>
      <c r="Y140" s="14"/>
      <c r="Z140" s="15"/>
      <c r="AA140" s="14"/>
      <c r="AB140" s="3"/>
      <c r="AC140" s="3"/>
      <c r="AD140" s="3"/>
      <c r="AE140" s="3"/>
      <c r="AF140" s="3"/>
    </row>
    <row r="141" ht="15.75" customHeight="1">
      <c r="J141" s="15"/>
      <c r="K141" s="188"/>
      <c r="L141" s="15"/>
      <c r="M141" s="15"/>
      <c r="N141" s="15"/>
      <c r="O141" s="15"/>
      <c r="P141" s="15"/>
      <c r="Q141" s="15"/>
      <c r="R141" s="15"/>
      <c r="S141" s="15"/>
      <c r="T141" s="15"/>
      <c r="U141" s="15"/>
      <c r="V141" s="15"/>
      <c r="W141" s="15"/>
      <c r="X141" s="14"/>
      <c r="Y141" s="14"/>
      <c r="Z141" s="15"/>
      <c r="AA141" s="14"/>
      <c r="AB141" s="3"/>
      <c r="AC141" s="3"/>
      <c r="AD141" s="3"/>
      <c r="AE141" s="3"/>
      <c r="AF141" s="3"/>
    </row>
    <row r="142" ht="15.75" customHeight="1">
      <c r="J142" s="15"/>
      <c r="K142" s="188"/>
      <c r="L142" s="15"/>
      <c r="M142" s="15"/>
      <c r="N142" s="15"/>
      <c r="O142" s="15"/>
      <c r="P142" s="15"/>
      <c r="Q142" s="15"/>
      <c r="R142" s="15"/>
      <c r="S142" s="15"/>
      <c r="T142" s="15"/>
      <c r="U142" s="15"/>
      <c r="V142" s="15"/>
      <c r="W142" s="15"/>
      <c r="X142" s="14"/>
      <c r="Y142" s="14"/>
      <c r="Z142" s="15"/>
      <c r="AA142" s="14"/>
      <c r="AB142" s="3"/>
      <c r="AC142" s="3"/>
      <c r="AD142" s="3"/>
      <c r="AE142" s="3"/>
      <c r="AF142" s="3"/>
    </row>
    <row r="143" ht="15.75" customHeight="1">
      <c r="J143" s="15"/>
      <c r="K143" s="188"/>
      <c r="L143" s="15"/>
      <c r="M143" s="15"/>
      <c r="N143" s="15"/>
      <c r="O143" s="15"/>
      <c r="P143" s="15"/>
      <c r="Q143" s="15"/>
      <c r="R143" s="15"/>
      <c r="S143" s="15"/>
      <c r="T143" s="15"/>
      <c r="U143" s="15"/>
      <c r="V143" s="15"/>
      <c r="W143" s="15"/>
      <c r="X143" s="14"/>
      <c r="Y143" s="14"/>
      <c r="Z143" s="15"/>
      <c r="AA143" s="14"/>
      <c r="AB143" s="3"/>
      <c r="AC143" s="3"/>
      <c r="AD143" s="3"/>
      <c r="AE143" s="3"/>
      <c r="AF143" s="3"/>
    </row>
    <row r="144" ht="15.75" customHeight="1">
      <c r="J144" s="15"/>
      <c r="K144" s="188"/>
      <c r="L144" s="15"/>
      <c r="M144" s="15"/>
      <c r="N144" s="15"/>
      <c r="O144" s="15"/>
      <c r="P144" s="15"/>
      <c r="Q144" s="15"/>
      <c r="R144" s="15"/>
      <c r="S144" s="15"/>
      <c r="T144" s="15"/>
      <c r="U144" s="15"/>
      <c r="V144" s="15"/>
      <c r="W144" s="15"/>
      <c r="X144" s="14"/>
      <c r="Y144" s="14"/>
      <c r="Z144" s="15"/>
      <c r="AA144" s="14"/>
      <c r="AB144" s="3"/>
      <c r="AC144" s="3"/>
      <c r="AD144" s="3"/>
      <c r="AE144" s="3"/>
      <c r="AF144" s="3"/>
    </row>
    <row r="145" ht="15.75" customHeight="1">
      <c r="J145" s="15"/>
      <c r="K145" s="188"/>
      <c r="L145" s="15"/>
      <c r="M145" s="15"/>
      <c r="N145" s="15"/>
      <c r="O145" s="15"/>
      <c r="P145" s="15"/>
      <c r="Q145" s="15"/>
      <c r="R145" s="15"/>
      <c r="S145" s="15"/>
      <c r="T145" s="15"/>
      <c r="U145" s="15"/>
      <c r="V145" s="15"/>
      <c r="W145" s="15"/>
      <c r="X145" s="14"/>
      <c r="Y145" s="14"/>
      <c r="Z145" s="15"/>
      <c r="AA145" s="14"/>
      <c r="AB145" s="3"/>
      <c r="AC145" s="3"/>
      <c r="AD145" s="3"/>
      <c r="AE145" s="3"/>
      <c r="AF145" s="3"/>
    </row>
    <row r="146" ht="15.75" customHeight="1">
      <c r="J146" s="15"/>
      <c r="K146" s="188"/>
      <c r="L146" s="15"/>
      <c r="M146" s="15"/>
      <c r="N146" s="15"/>
      <c r="O146" s="15"/>
      <c r="P146" s="15"/>
      <c r="Q146" s="15"/>
      <c r="R146" s="15"/>
      <c r="S146" s="15"/>
      <c r="T146" s="15"/>
      <c r="U146" s="15"/>
      <c r="V146" s="15"/>
      <c r="W146" s="15"/>
      <c r="X146" s="14"/>
      <c r="Y146" s="14"/>
      <c r="Z146" s="15"/>
      <c r="AA146" s="14"/>
      <c r="AB146" s="3"/>
      <c r="AC146" s="3"/>
      <c r="AD146" s="3"/>
      <c r="AE146" s="3"/>
      <c r="AF146" s="3"/>
    </row>
    <row r="147" ht="15.75" customHeight="1">
      <c r="J147" s="15"/>
      <c r="K147" s="188"/>
      <c r="L147" s="15"/>
      <c r="M147" s="15"/>
      <c r="N147" s="15"/>
      <c r="O147" s="15"/>
      <c r="P147" s="15"/>
      <c r="Q147" s="15"/>
      <c r="R147" s="15"/>
      <c r="S147" s="15"/>
      <c r="T147" s="15"/>
      <c r="U147" s="15"/>
      <c r="V147" s="15"/>
      <c r="W147" s="15"/>
      <c r="X147" s="14"/>
      <c r="Y147" s="14"/>
      <c r="Z147" s="15"/>
      <c r="AA147" s="14"/>
      <c r="AB147" s="3"/>
      <c r="AC147" s="3"/>
      <c r="AD147" s="3"/>
      <c r="AE147" s="3"/>
      <c r="AF147" s="3"/>
    </row>
    <row r="148" ht="15.75" customHeight="1">
      <c r="J148" s="15"/>
      <c r="K148" s="188"/>
      <c r="L148" s="15"/>
      <c r="M148" s="15"/>
      <c r="N148" s="15"/>
      <c r="O148" s="15"/>
      <c r="P148" s="15"/>
      <c r="Q148" s="15"/>
      <c r="R148" s="15"/>
      <c r="S148" s="15"/>
      <c r="T148" s="15"/>
      <c r="U148" s="15"/>
      <c r="V148" s="15"/>
      <c r="W148" s="15"/>
      <c r="X148" s="14"/>
      <c r="Y148" s="14"/>
      <c r="Z148" s="15"/>
      <c r="AA148" s="14"/>
      <c r="AB148" s="3"/>
      <c r="AC148" s="3"/>
      <c r="AD148" s="3"/>
      <c r="AE148" s="3"/>
      <c r="AF148" s="3"/>
    </row>
    <row r="149" ht="15.75" customHeight="1">
      <c r="J149" s="15"/>
      <c r="K149" s="188"/>
      <c r="L149" s="15"/>
      <c r="M149" s="15"/>
      <c r="N149" s="15"/>
      <c r="O149" s="15"/>
      <c r="P149" s="15"/>
      <c r="Q149" s="15"/>
      <c r="R149" s="15"/>
      <c r="S149" s="15"/>
      <c r="T149" s="15"/>
      <c r="U149" s="15"/>
      <c r="V149" s="15"/>
      <c r="W149" s="15"/>
      <c r="X149" s="14"/>
      <c r="Y149" s="14"/>
      <c r="Z149" s="15"/>
      <c r="AA149" s="14"/>
      <c r="AB149" s="3"/>
      <c r="AC149" s="3"/>
      <c r="AD149" s="3"/>
      <c r="AE149" s="3"/>
      <c r="AF149" s="3"/>
    </row>
    <row r="150" ht="15.75" customHeight="1">
      <c r="J150" s="15"/>
      <c r="K150" s="188"/>
      <c r="L150" s="15"/>
      <c r="M150" s="15"/>
      <c r="N150" s="15"/>
      <c r="O150" s="15"/>
      <c r="P150" s="15"/>
      <c r="Q150" s="15"/>
      <c r="R150" s="15"/>
      <c r="S150" s="15"/>
      <c r="T150" s="15"/>
      <c r="U150" s="15"/>
      <c r="V150" s="15"/>
      <c r="W150" s="15"/>
      <c r="X150" s="14"/>
      <c r="Y150" s="14"/>
      <c r="Z150" s="15"/>
      <c r="AA150" s="14"/>
      <c r="AB150" s="3"/>
      <c r="AC150" s="3"/>
      <c r="AD150" s="3"/>
      <c r="AE150" s="3"/>
      <c r="AF150" s="3"/>
    </row>
    <row r="151" ht="15.75" customHeight="1">
      <c r="J151" s="15"/>
      <c r="K151" s="188"/>
      <c r="L151" s="15"/>
      <c r="M151" s="15"/>
      <c r="N151" s="15"/>
      <c r="O151" s="15"/>
      <c r="P151" s="15"/>
      <c r="Q151" s="15"/>
      <c r="R151" s="15"/>
      <c r="S151" s="15"/>
      <c r="T151" s="15"/>
      <c r="U151" s="15"/>
      <c r="V151" s="15"/>
      <c r="W151" s="15"/>
      <c r="X151" s="14"/>
      <c r="Y151" s="14"/>
      <c r="Z151" s="15"/>
      <c r="AA151" s="14"/>
      <c r="AB151" s="3"/>
      <c r="AC151" s="3"/>
      <c r="AD151" s="3"/>
      <c r="AE151" s="3"/>
      <c r="AF151" s="3"/>
    </row>
    <row r="152" ht="15.75" customHeight="1">
      <c r="J152" s="15"/>
      <c r="K152" s="188"/>
      <c r="L152" s="15"/>
      <c r="M152" s="15"/>
      <c r="N152" s="15"/>
      <c r="O152" s="15"/>
      <c r="P152" s="15"/>
      <c r="Q152" s="15"/>
      <c r="R152" s="15"/>
      <c r="S152" s="15"/>
      <c r="T152" s="15"/>
      <c r="U152" s="15"/>
      <c r="V152" s="15"/>
      <c r="W152" s="15"/>
      <c r="X152" s="14"/>
      <c r="Y152" s="14"/>
      <c r="Z152" s="15"/>
      <c r="AA152" s="14"/>
      <c r="AB152" s="3"/>
      <c r="AC152" s="3"/>
      <c r="AD152" s="3"/>
      <c r="AE152" s="3"/>
      <c r="AF152" s="3"/>
    </row>
    <row r="153" ht="15.75" customHeight="1">
      <c r="J153" s="15"/>
      <c r="K153" s="188"/>
      <c r="L153" s="15"/>
      <c r="M153" s="15"/>
      <c r="N153" s="15"/>
      <c r="O153" s="15"/>
      <c r="P153" s="15"/>
      <c r="Q153" s="15"/>
      <c r="R153" s="15"/>
      <c r="S153" s="15"/>
      <c r="T153" s="15"/>
      <c r="U153" s="15"/>
      <c r="V153" s="15"/>
      <c r="W153" s="15"/>
      <c r="X153" s="14"/>
      <c r="Y153" s="14"/>
      <c r="Z153" s="15"/>
      <c r="AA153" s="14"/>
      <c r="AB153" s="3"/>
      <c r="AC153" s="3"/>
      <c r="AD153" s="3"/>
      <c r="AE153" s="3"/>
      <c r="AF153" s="3"/>
    </row>
    <row r="154" ht="15.75" customHeight="1">
      <c r="J154" s="15"/>
      <c r="K154" s="188"/>
      <c r="L154" s="15"/>
      <c r="M154" s="15"/>
      <c r="N154" s="15"/>
      <c r="O154" s="15"/>
      <c r="P154" s="15"/>
      <c r="Q154" s="15"/>
      <c r="R154" s="15"/>
      <c r="S154" s="15"/>
      <c r="T154" s="15"/>
      <c r="U154" s="15"/>
      <c r="V154" s="15"/>
      <c r="W154" s="15"/>
      <c r="X154" s="14"/>
      <c r="Y154" s="14"/>
      <c r="Z154" s="15"/>
      <c r="AA154" s="14"/>
      <c r="AB154" s="3"/>
      <c r="AC154" s="3"/>
      <c r="AD154" s="3"/>
      <c r="AE154" s="3"/>
      <c r="AF154" s="3"/>
    </row>
    <row r="155" ht="15.75" customHeight="1">
      <c r="J155" s="15"/>
      <c r="K155" s="188"/>
      <c r="L155" s="15"/>
      <c r="M155" s="15"/>
      <c r="N155" s="15"/>
      <c r="O155" s="15"/>
      <c r="P155" s="15"/>
      <c r="Q155" s="15"/>
      <c r="R155" s="15"/>
      <c r="S155" s="15"/>
      <c r="T155" s="15"/>
      <c r="U155" s="15"/>
      <c r="V155" s="15"/>
      <c r="W155" s="15"/>
      <c r="X155" s="14"/>
      <c r="Y155" s="14"/>
      <c r="Z155" s="15"/>
      <c r="AA155" s="14"/>
      <c r="AB155" s="3"/>
      <c r="AC155" s="3"/>
      <c r="AD155" s="3"/>
      <c r="AE155" s="3"/>
      <c r="AF155" s="3"/>
    </row>
    <row r="156" ht="15.75" customHeight="1">
      <c r="J156" s="15"/>
      <c r="K156" s="188"/>
      <c r="L156" s="15"/>
      <c r="M156" s="15"/>
      <c r="N156" s="15"/>
      <c r="O156" s="15"/>
      <c r="P156" s="15"/>
      <c r="Q156" s="15"/>
      <c r="R156" s="15"/>
      <c r="S156" s="15"/>
      <c r="T156" s="15"/>
      <c r="U156" s="15"/>
      <c r="V156" s="15"/>
      <c r="W156" s="15"/>
      <c r="X156" s="14"/>
      <c r="Y156" s="14"/>
      <c r="Z156" s="15"/>
      <c r="AA156" s="14"/>
      <c r="AB156" s="3"/>
      <c r="AC156" s="3"/>
      <c r="AD156" s="3"/>
      <c r="AE156" s="3"/>
      <c r="AF156" s="3"/>
    </row>
    <row r="157" ht="15.75" customHeight="1">
      <c r="J157" s="15"/>
      <c r="K157" s="188"/>
      <c r="L157" s="15"/>
      <c r="M157" s="15"/>
      <c r="N157" s="15"/>
      <c r="O157" s="15"/>
      <c r="P157" s="15"/>
      <c r="Q157" s="15"/>
      <c r="R157" s="15"/>
      <c r="S157" s="15"/>
      <c r="T157" s="15"/>
      <c r="U157" s="15"/>
      <c r="V157" s="15"/>
      <c r="W157" s="15"/>
      <c r="X157" s="14"/>
      <c r="Y157" s="14"/>
      <c r="Z157" s="15"/>
      <c r="AA157" s="14"/>
      <c r="AB157" s="3"/>
      <c r="AC157" s="3"/>
      <c r="AD157" s="3"/>
      <c r="AE157" s="3"/>
      <c r="AF157" s="3"/>
    </row>
    <row r="158" ht="15.75" customHeight="1">
      <c r="J158" s="15"/>
      <c r="K158" s="188"/>
      <c r="L158" s="15"/>
      <c r="M158" s="15"/>
      <c r="N158" s="15"/>
      <c r="O158" s="15"/>
      <c r="P158" s="15"/>
      <c r="Q158" s="15"/>
      <c r="R158" s="15"/>
      <c r="S158" s="15"/>
      <c r="T158" s="15"/>
      <c r="U158" s="15"/>
      <c r="V158" s="15"/>
      <c r="W158" s="15"/>
      <c r="X158" s="14"/>
      <c r="Y158" s="14"/>
      <c r="Z158" s="15"/>
      <c r="AA158" s="14"/>
      <c r="AB158" s="3"/>
      <c r="AC158" s="3"/>
      <c r="AD158" s="3"/>
      <c r="AE158" s="3"/>
      <c r="AF158" s="3"/>
    </row>
    <row r="159" ht="15.75" customHeight="1">
      <c r="J159" s="15"/>
      <c r="K159" s="188"/>
      <c r="L159" s="15"/>
      <c r="M159" s="15"/>
      <c r="N159" s="15"/>
      <c r="O159" s="15"/>
      <c r="P159" s="15"/>
      <c r="Q159" s="15"/>
      <c r="R159" s="15"/>
      <c r="S159" s="15"/>
      <c r="T159" s="15"/>
      <c r="U159" s="15"/>
      <c r="V159" s="15"/>
      <c r="W159" s="15"/>
      <c r="X159" s="14"/>
      <c r="Y159" s="14"/>
      <c r="Z159" s="15"/>
      <c r="AA159" s="14"/>
      <c r="AB159" s="3"/>
      <c r="AC159" s="3"/>
      <c r="AD159" s="3"/>
      <c r="AE159" s="3"/>
      <c r="AF159" s="3"/>
    </row>
    <row r="160" ht="15.75" customHeight="1">
      <c r="J160" s="15"/>
      <c r="K160" s="188"/>
      <c r="L160" s="15"/>
      <c r="M160" s="15"/>
      <c r="N160" s="15"/>
      <c r="O160" s="15"/>
      <c r="P160" s="15"/>
      <c r="Q160" s="15"/>
      <c r="R160" s="15"/>
      <c r="S160" s="15"/>
      <c r="T160" s="15"/>
      <c r="U160" s="15"/>
      <c r="V160" s="15"/>
      <c r="W160" s="15"/>
      <c r="X160" s="14"/>
      <c r="Y160" s="14"/>
      <c r="Z160" s="15"/>
      <c r="AA160" s="14"/>
      <c r="AB160" s="3"/>
      <c r="AC160" s="3"/>
      <c r="AD160" s="3"/>
      <c r="AE160" s="3"/>
      <c r="AF160" s="3"/>
    </row>
    <row r="161" ht="15.75" customHeight="1">
      <c r="J161" s="15"/>
      <c r="K161" s="188"/>
      <c r="L161" s="15"/>
      <c r="M161" s="15"/>
      <c r="N161" s="15"/>
      <c r="O161" s="15"/>
      <c r="P161" s="15"/>
      <c r="Q161" s="15"/>
      <c r="R161" s="15"/>
      <c r="S161" s="15"/>
      <c r="T161" s="15"/>
      <c r="U161" s="15"/>
      <c r="V161" s="15"/>
      <c r="W161" s="15"/>
      <c r="X161" s="14"/>
      <c r="Y161" s="14"/>
      <c r="Z161" s="15"/>
      <c r="AA161" s="14"/>
      <c r="AB161" s="3"/>
      <c r="AC161" s="3"/>
      <c r="AD161" s="3"/>
      <c r="AE161" s="3"/>
      <c r="AF161" s="3"/>
    </row>
    <row r="162" ht="15.75" customHeight="1">
      <c r="J162" s="15"/>
      <c r="K162" s="188"/>
      <c r="L162" s="15"/>
      <c r="M162" s="15"/>
      <c r="N162" s="15"/>
      <c r="O162" s="15"/>
      <c r="P162" s="15"/>
      <c r="Q162" s="15"/>
      <c r="R162" s="15"/>
      <c r="S162" s="15"/>
      <c r="T162" s="15"/>
      <c r="U162" s="15"/>
      <c r="V162" s="15"/>
      <c r="W162" s="15"/>
      <c r="X162" s="14"/>
      <c r="Y162" s="14"/>
      <c r="Z162" s="15"/>
      <c r="AA162" s="14"/>
      <c r="AB162" s="3"/>
      <c r="AC162" s="3"/>
      <c r="AD162" s="3"/>
      <c r="AE162" s="3"/>
      <c r="AF162" s="3"/>
    </row>
    <row r="163" ht="15.75" customHeight="1">
      <c r="J163" s="15"/>
      <c r="K163" s="188"/>
      <c r="L163" s="15"/>
      <c r="M163" s="15"/>
      <c r="N163" s="15"/>
      <c r="O163" s="15"/>
      <c r="P163" s="15"/>
      <c r="Q163" s="15"/>
      <c r="R163" s="15"/>
      <c r="S163" s="15"/>
      <c r="T163" s="15"/>
      <c r="U163" s="15"/>
      <c r="V163" s="15"/>
      <c r="W163" s="15"/>
      <c r="X163" s="14"/>
      <c r="Y163" s="14"/>
      <c r="Z163" s="15"/>
      <c r="AA163" s="14"/>
      <c r="AB163" s="3"/>
      <c r="AC163" s="3"/>
      <c r="AD163" s="3"/>
      <c r="AE163" s="3"/>
      <c r="AF163" s="3"/>
    </row>
    <row r="164" ht="15.75" customHeight="1">
      <c r="J164" s="15"/>
      <c r="K164" s="188"/>
      <c r="L164" s="15"/>
      <c r="M164" s="15"/>
      <c r="N164" s="15"/>
      <c r="O164" s="15"/>
      <c r="P164" s="15"/>
      <c r="Q164" s="15"/>
      <c r="R164" s="15"/>
      <c r="S164" s="15"/>
      <c r="T164" s="15"/>
      <c r="U164" s="15"/>
      <c r="V164" s="15"/>
      <c r="W164" s="15"/>
      <c r="X164" s="14"/>
      <c r="Y164" s="14"/>
      <c r="Z164" s="15"/>
      <c r="AA164" s="14"/>
      <c r="AB164" s="3"/>
      <c r="AC164" s="3"/>
      <c r="AD164" s="3"/>
      <c r="AE164" s="3"/>
      <c r="AF164" s="3"/>
    </row>
    <row r="165" ht="15.75" customHeight="1">
      <c r="J165" s="15"/>
      <c r="K165" s="188"/>
      <c r="L165" s="15"/>
      <c r="M165" s="15"/>
      <c r="N165" s="15"/>
      <c r="O165" s="15"/>
      <c r="P165" s="15"/>
      <c r="Q165" s="15"/>
      <c r="R165" s="15"/>
      <c r="S165" s="15"/>
      <c r="T165" s="15"/>
      <c r="U165" s="15"/>
      <c r="V165" s="15"/>
      <c r="W165" s="15"/>
      <c r="X165" s="14"/>
      <c r="Y165" s="14"/>
      <c r="Z165" s="15"/>
      <c r="AA165" s="14"/>
      <c r="AB165" s="3"/>
      <c r="AC165" s="3"/>
      <c r="AD165" s="3"/>
      <c r="AE165" s="3"/>
      <c r="AF165" s="3"/>
    </row>
    <row r="166" ht="15.75" customHeight="1">
      <c r="J166" s="15"/>
      <c r="K166" s="188"/>
      <c r="L166" s="15"/>
      <c r="M166" s="15"/>
      <c r="N166" s="15"/>
      <c r="O166" s="15"/>
      <c r="P166" s="15"/>
      <c r="Q166" s="15"/>
      <c r="R166" s="15"/>
      <c r="S166" s="15"/>
      <c r="T166" s="15"/>
      <c r="U166" s="15"/>
      <c r="V166" s="15"/>
      <c r="W166" s="15"/>
      <c r="X166" s="14"/>
      <c r="Y166" s="14"/>
      <c r="Z166" s="15"/>
      <c r="AA166" s="14"/>
      <c r="AB166" s="3"/>
      <c r="AC166" s="3"/>
      <c r="AD166" s="3"/>
      <c r="AE166" s="3"/>
      <c r="AF166" s="3"/>
    </row>
    <row r="167" ht="15.75" customHeight="1">
      <c r="J167" s="15"/>
      <c r="K167" s="188"/>
      <c r="L167" s="15"/>
      <c r="M167" s="15"/>
      <c r="N167" s="15"/>
      <c r="O167" s="15"/>
      <c r="P167" s="15"/>
      <c r="Q167" s="15"/>
      <c r="R167" s="15"/>
      <c r="S167" s="15"/>
      <c r="T167" s="15"/>
      <c r="U167" s="15"/>
      <c r="V167" s="15"/>
      <c r="W167" s="15"/>
      <c r="X167" s="14"/>
      <c r="Y167" s="14"/>
      <c r="Z167" s="15"/>
      <c r="AA167" s="14"/>
      <c r="AB167" s="3"/>
      <c r="AC167" s="3"/>
      <c r="AD167" s="3"/>
      <c r="AE167" s="3"/>
      <c r="AF167" s="3"/>
    </row>
    <row r="168" ht="15.75" customHeight="1">
      <c r="J168" s="15"/>
      <c r="K168" s="188"/>
      <c r="L168" s="15"/>
      <c r="M168" s="15"/>
      <c r="N168" s="15"/>
      <c r="O168" s="15"/>
      <c r="P168" s="15"/>
      <c r="Q168" s="15"/>
      <c r="R168" s="15"/>
      <c r="S168" s="15"/>
      <c r="T168" s="15"/>
      <c r="U168" s="15"/>
      <c r="V168" s="15"/>
      <c r="W168" s="15"/>
      <c r="X168" s="14"/>
      <c r="Y168" s="14"/>
      <c r="Z168" s="15"/>
      <c r="AA168" s="14"/>
      <c r="AB168" s="3"/>
      <c r="AC168" s="3"/>
      <c r="AD168" s="3"/>
      <c r="AE168" s="3"/>
      <c r="AF168" s="3"/>
    </row>
    <row r="169" ht="15.75" customHeight="1">
      <c r="J169" s="15"/>
      <c r="K169" s="188"/>
      <c r="L169" s="15"/>
      <c r="M169" s="15"/>
      <c r="N169" s="15"/>
      <c r="O169" s="15"/>
      <c r="P169" s="15"/>
      <c r="Q169" s="15"/>
      <c r="R169" s="15"/>
      <c r="S169" s="15"/>
      <c r="T169" s="15"/>
      <c r="U169" s="15"/>
      <c r="V169" s="15"/>
      <c r="W169" s="15"/>
      <c r="X169" s="14"/>
      <c r="Y169" s="14"/>
      <c r="Z169" s="15"/>
      <c r="AA169" s="14"/>
      <c r="AB169" s="3"/>
      <c r="AC169" s="3"/>
      <c r="AD169" s="3"/>
      <c r="AE169" s="3"/>
      <c r="AF169" s="3"/>
    </row>
    <row r="170" ht="15.75" customHeight="1">
      <c r="J170" s="15"/>
      <c r="K170" s="188"/>
      <c r="L170" s="15"/>
      <c r="M170" s="15"/>
      <c r="N170" s="15"/>
      <c r="O170" s="15"/>
      <c r="P170" s="15"/>
      <c r="Q170" s="15"/>
      <c r="R170" s="15"/>
      <c r="S170" s="15"/>
      <c r="T170" s="15"/>
      <c r="U170" s="15"/>
      <c r="V170" s="15"/>
      <c r="W170" s="15"/>
      <c r="X170" s="14"/>
      <c r="Y170" s="14"/>
      <c r="Z170" s="15"/>
      <c r="AA170" s="14"/>
      <c r="AB170" s="3"/>
      <c r="AC170" s="3"/>
      <c r="AD170" s="3"/>
      <c r="AE170" s="3"/>
      <c r="AF170" s="3"/>
    </row>
    <row r="171" ht="15.75" customHeight="1">
      <c r="J171" s="15"/>
      <c r="K171" s="188"/>
      <c r="L171" s="15"/>
      <c r="M171" s="15"/>
      <c r="N171" s="15"/>
      <c r="O171" s="15"/>
      <c r="P171" s="15"/>
      <c r="Q171" s="15"/>
      <c r="R171" s="15"/>
      <c r="S171" s="15"/>
      <c r="T171" s="15"/>
      <c r="U171" s="15"/>
      <c r="V171" s="15"/>
      <c r="W171" s="15"/>
      <c r="X171" s="14"/>
      <c r="Y171" s="14"/>
      <c r="Z171" s="15"/>
      <c r="AA171" s="14"/>
      <c r="AB171" s="3"/>
      <c r="AC171" s="3"/>
      <c r="AD171" s="3"/>
      <c r="AE171" s="3"/>
      <c r="AF171" s="3"/>
    </row>
    <row r="172" ht="15.75" customHeight="1">
      <c r="J172" s="15"/>
      <c r="K172" s="188"/>
      <c r="L172" s="15"/>
      <c r="M172" s="15"/>
      <c r="N172" s="15"/>
      <c r="O172" s="15"/>
      <c r="P172" s="15"/>
      <c r="Q172" s="15"/>
      <c r="R172" s="15"/>
      <c r="S172" s="15"/>
      <c r="T172" s="15"/>
      <c r="U172" s="15"/>
      <c r="V172" s="15"/>
      <c r="W172" s="15"/>
      <c r="X172" s="14"/>
      <c r="Y172" s="14"/>
      <c r="Z172" s="15"/>
      <c r="AA172" s="14"/>
      <c r="AB172" s="3"/>
      <c r="AC172" s="3"/>
      <c r="AD172" s="3"/>
      <c r="AE172" s="3"/>
      <c r="AF172" s="3"/>
    </row>
    <row r="173" ht="15.75" customHeight="1">
      <c r="J173" s="15"/>
      <c r="K173" s="188"/>
      <c r="L173" s="15"/>
      <c r="M173" s="15"/>
      <c r="N173" s="15"/>
      <c r="O173" s="15"/>
      <c r="P173" s="15"/>
      <c r="Q173" s="15"/>
      <c r="R173" s="15"/>
      <c r="S173" s="15"/>
      <c r="T173" s="15"/>
      <c r="U173" s="15"/>
      <c r="V173" s="15"/>
      <c r="W173" s="15"/>
      <c r="X173" s="14"/>
      <c r="Y173" s="14"/>
      <c r="Z173" s="15"/>
      <c r="AA173" s="14"/>
      <c r="AB173" s="3"/>
      <c r="AC173" s="3"/>
      <c r="AD173" s="3"/>
      <c r="AE173" s="3"/>
      <c r="AF173" s="3"/>
    </row>
    <row r="174" ht="15.75" customHeight="1">
      <c r="J174" s="15"/>
      <c r="K174" s="188"/>
      <c r="L174" s="15"/>
      <c r="M174" s="15"/>
      <c r="N174" s="15"/>
      <c r="O174" s="15"/>
      <c r="P174" s="15"/>
      <c r="Q174" s="15"/>
      <c r="R174" s="15"/>
      <c r="S174" s="15"/>
      <c r="T174" s="15"/>
      <c r="U174" s="15"/>
      <c r="V174" s="15"/>
      <c r="W174" s="15"/>
      <c r="X174" s="14"/>
      <c r="Y174" s="14"/>
      <c r="Z174" s="15"/>
      <c r="AA174" s="14"/>
      <c r="AB174" s="3"/>
      <c r="AC174" s="3"/>
      <c r="AD174" s="3"/>
      <c r="AE174" s="3"/>
      <c r="AF174" s="3"/>
    </row>
    <row r="175" ht="15.75" customHeight="1">
      <c r="J175" s="15"/>
      <c r="K175" s="188"/>
      <c r="L175" s="15"/>
      <c r="M175" s="15"/>
      <c r="N175" s="15"/>
      <c r="O175" s="15"/>
      <c r="P175" s="15"/>
      <c r="Q175" s="15"/>
      <c r="R175" s="15"/>
      <c r="S175" s="15"/>
      <c r="T175" s="15"/>
      <c r="U175" s="15"/>
      <c r="V175" s="15"/>
      <c r="W175" s="15"/>
      <c r="X175" s="14"/>
      <c r="Y175" s="14"/>
      <c r="Z175" s="15"/>
      <c r="AA175" s="14"/>
      <c r="AB175" s="3"/>
      <c r="AC175" s="3"/>
      <c r="AD175" s="3"/>
      <c r="AE175" s="3"/>
      <c r="AF175" s="3"/>
    </row>
    <row r="176" ht="15.75" customHeight="1">
      <c r="J176" s="15"/>
      <c r="K176" s="188"/>
      <c r="L176" s="15"/>
      <c r="M176" s="15"/>
      <c r="N176" s="15"/>
      <c r="O176" s="15"/>
      <c r="P176" s="15"/>
      <c r="Q176" s="15"/>
      <c r="R176" s="15"/>
      <c r="S176" s="15"/>
      <c r="T176" s="15"/>
      <c r="U176" s="15"/>
      <c r="V176" s="15"/>
      <c r="W176" s="15"/>
      <c r="X176" s="14"/>
      <c r="Y176" s="14"/>
      <c r="Z176" s="15"/>
      <c r="AA176" s="14"/>
      <c r="AB176" s="3"/>
      <c r="AC176" s="3"/>
      <c r="AD176" s="3"/>
      <c r="AE176" s="3"/>
      <c r="AF176" s="3"/>
    </row>
    <row r="177" ht="15.75" customHeight="1">
      <c r="J177" s="15"/>
      <c r="K177" s="188"/>
      <c r="L177" s="15"/>
      <c r="M177" s="15"/>
      <c r="N177" s="15"/>
      <c r="O177" s="15"/>
      <c r="P177" s="15"/>
      <c r="Q177" s="15"/>
      <c r="R177" s="15"/>
      <c r="S177" s="15"/>
      <c r="T177" s="15"/>
      <c r="U177" s="15"/>
      <c r="V177" s="15"/>
      <c r="W177" s="15"/>
      <c r="X177" s="14"/>
      <c r="Y177" s="14"/>
      <c r="Z177" s="15"/>
      <c r="AA177" s="14"/>
      <c r="AB177" s="3"/>
      <c r="AC177" s="3"/>
      <c r="AD177" s="3"/>
      <c r="AE177" s="3"/>
      <c r="AF177" s="3"/>
    </row>
    <row r="178" ht="15.75" customHeight="1">
      <c r="J178" s="15"/>
      <c r="K178" s="188"/>
      <c r="L178" s="15"/>
      <c r="M178" s="15"/>
      <c r="N178" s="15"/>
      <c r="O178" s="15"/>
      <c r="P178" s="15"/>
      <c r="Q178" s="15"/>
      <c r="R178" s="15"/>
      <c r="S178" s="15"/>
      <c r="T178" s="15"/>
      <c r="U178" s="15"/>
      <c r="V178" s="15"/>
      <c r="W178" s="15"/>
      <c r="X178" s="14"/>
      <c r="Y178" s="14"/>
      <c r="Z178" s="15"/>
      <c r="AA178" s="14"/>
      <c r="AB178" s="3"/>
      <c r="AC178" s="3"/>
      <c r="AD178" s="3"/>
      <c r="AE178" s="3"/>
      <c r="AF178" s="3"/>
    </row>
    <row r="179" ht="15.75" customHeight="1">
      <c r="J179" s="15"/>
      <c r="K179" s="188"/>
      <c r="L179" s="15"/>
      <c r="M179" s="15"/>
      <c r="N179" s="15"/>
      <c r="O179" s="15"/>
      <c r="P179" s="15"/>
      <c r="Q179" s="15"/>
      <c r="R179" s="15"/>
      <c r="S179" s="15"/>
      <c r="T179" s="15"/>
      <c r="U179" s="15"/>
      <c r="V179" s="15"/>
      <c r="W179" s="15"/>
      <c r="X179" s="14"/>
      <c r="Y179" s="14"/>
      <c r="Z179" s="15"/>
      <c r="AA179" s="14"/>
      <c r="AB179" s="3"/>
      <c r="AC179" s="3"/>
      <c r="AD179" s="3"/>
      <c r="AE179" s="3"/>
      <c r="AF179" s="3"/>
    </row>
    <row r="180" ht="15.75" customHeight="1">
      <c r="J180" s="15"/>
      <c r="K180" s="188"/>
      <c r="L180" s="15"/>
      <c r="M180" s="15"/>
      <c r="N180" s="15"/>
      <c r="O180" s="15"/>
      <c r="P180" s="15"/>
      <c r="Q180" s="15"/>
      <c r="R180" s="15"/>
      <c r="S180" s="15"/>
      <c r="T180" s="15"/>
      <c r="U180" s="15"/>
      <c r="V180" s="15"/>
      <c r="W180" s="15"/>
      <c r="X180" s="14"/>
      <c r="Y180" s="14"/>
      <c r="Z180" s="15"/>
      <c r="AA180" s="14"/>
      <c r="AB180" s="3"/>
      <c r="AC180" s="3"/>
      <c r="AD180" s="3"/>
      <c r="AE180" s="3"/>
      <c r="AF180" s="3"/>
    </row>
    <row r="181" ht="15.75" customHeight="1">
      <c r="J181" s="15"/>
      <c r="K181" s="188"/>
      <c r="L181" s="15"/>
      <c r="M181" s="15"/>
      <c r="N181" s="15"/>
      <c r="O181" s="15"/>
      <c r="P181" s="15"/>
      <c r="Q181" s="15"/>
      <c r="R181" s="15"/>
      <c r="S181" s="15"/>
      <c r="T181" s="15"/>
      <c r="U181" s="15"/>
      <c r="V181" s="15"/>
      <c r="W181" s="15"/>
      <c r="X181" s="14"/>
      <c r="Y181" s="14"/>
      <c r="Z181" s="15"/>
      <c r="AA181" s="14"/>
      <c r="AB181" s="3"/>
      <c r="AC181" s="3"/>
      <c r="AD181" s="3"/>
      <c r="AE181" s="3"/>
      <c r="AF181" s="3"/>
    </row>
    <row r="182" ht="15.75" customHeight="1">
      <c r="J182" s="15"/>
      <c r="K182" s="188"/>
      <c r="L182" s="15"/>
      <c r="M182" s="15"/>
      <c r="N182" s="15"/>
      <c r="O182" s="15"/>
      <c r="P182" s="15"/>
      <c r="Q182" s="15"/>
      <c r="R182" s="15"/>
      <c r="S182" s="15"/>
      <c r="T182" s="15"/>
      <c r="U182" s="15"/>
      <c r="V182" s="15"/>
      <c r="W182" s="15"/>
      <c r="X182" s="14"/>
      <c r="Y182" s="14"/>
      <c r="Z182" s="15"/>
      <c r="AA182" s="14"/>
      <c r="AB182" s="3"/>
      <c r="AC182" s="3"/>
      <c r="AD182" s="3"/>
      <c r="AE182" s="3"/>
      <c r="AF182" s="3"/>
    </row>
    <row r="183" ht="15.75" customHeight="1">
      <c r="J183" s="15"/>
      <c r="K183" s="188"/>
      <c r="L183" s="15"/>
      <c r="M183" s="15"/>
      <c r="N183" s="15"/>
      <c r="O183" s="15"/>
      <c r="P183" s="15"/>
      <c r="Q183" s="15"/>
      <c r="R183" s="15"/>
      <c r="S183" s="15"/>
      <c r="T183" s="15"/>
      <c r="U183" s="15"/>
      <c r="V183" s="15"/>
      <c r="W183" s="15"/>
      <c r="X183" s="14"/>
      <c r="Y183" s="14"/>
      <c r="Z183" s="15"/>
      <c r="AA183" s="14"/>
      <c r="AB183" s="3"/>
      <c r="AC183" s="3"/>
      <c r="AD183" s="3"/>
      <c r="AE183" s="3"/>
      <c r="AF183" s="3"/>
    </row>
    <row r="184" ht="15.75" customHeight="1">
      <c r="J184" s="15"/>
      <c r="K184" s="188"/>
      <c r="L184" s="15"/>
      <c r="M184" s="15"/>
      <c r="N184" s="15"/>
      <c r="O184" s="15"/>
      <c r="P184" s="15"/>
      <c r="Q184" s="15"/>
      <c r="R184" s="15"/>
      <c r="S184" s="15"/>
      <c r="T184" s="15"/>
      <c r="U184" s="15"/>
      <c r="V184" s="15"/>
      <c r="W184" s="15"/>
      <c r="X184" s="14"/>
      <c r="Y184" s="14"/>
      <c r="Z184" s="15"/>
      <c r="AA184" s="14"/>
      <c r="AB184" s="3"/>
      <c r="AC184" s="3"/>
      <c r="AD184" s="3"/>
      <c r="AE184" s="3"/>
      <c r="AF184" s="3"/>
    </row>
    <row r="185" ht="15.75" customHeight="1">
      <c r="J185" s="15"/>
      <c r="K185" s="188"/>
      <c r="L185" s="15"/>
      <c r="M185" s="15"/>
      <c r="N185" s="15"/>
      <c r="O185" s="15"/>
      <c r="P185" s="15"/>
      <c r="Q185" s="15"/>
      <c r="R185" s="15"/>
      <c r="S185" s="15"/>
      <c r="T185" s="15"/>
      <c r="U185" s="15"/>
      <c r="V185" s="15"/>
      <c r="W185" s="15"/>
      <c r="X185" s="14"/>
      <c r="Y185" s="14"/>
      <c r="Z185" s="15"/>
      <c r="AA185" s="14"/>
      <c r="AB185" s="3"/>
      <c r="AC185" s="3"/>
      <c r="AD185" s="3"/>
      <c r="AE185" s="3"/>
      <c r="AF185" s="3"/>
    </row>
    <row r="186" ht="15.75" customHeight="1">
      <c r="J186" s="15"/>
      <c r="K186" s="188"/>
      <c r="L186" s="15"/>
      <c r="M186" s="15"/>
      <c r="N186" s="15"/>
      <c r="O186" s="15"/>
      <c r="P186" s="15"/>
      <c r="Q186" s="15"/>
      <c r="R186" s="15"/>
      <c r="S186" s="15"/>
      <c r="T186" s="15"/>
      <c r="U186" s="15"/>
      <c r="V186" s="15"/>
      <c r="W186" s="15"/>
      <c r="X186" s="14"/>
      <c r="Y186" s="14"/>
      <c r="Z186" s="15"/>
      <c r="AA186" s="14"/>
      <c r="AB186" s="3"/>
      <c r="AC186" s="3"/>
      <c r="AD186" s="3"/>
      <c r="AE186" s="3"/>
      <c r="AF186" s="3"/>
    </row>
    <row r="187" ht="15.75" customHeight="1">
      <c r="J187" s="15"/>
      <c r="K187" s="188"/>
      <c r="L187" s="15"/>
      <c r="M187" s="15"/>
      <c r="N187" s="15"/>
      <c r="O187" s="15"/>
      <c r="P187" s="15"/>
      <c r="Q187" s="15"/>
      <c r="R187" s="15"/>
      <c r="S187" s="15"/>
      <c r="T187" s="15"/>
      <c r="U187" s="15"/>
      <c r="V187" s="15"/>
      <c r="W187" s="15"/>
      <c r="X187" s="14"/>
      <c r="Y187" s="14"/>
      <c r="Z187" s="15"/>
      <c r="AA187" s="14"/>
      <c r="AB187" s="3"/>
      <c r="AC187" s="3"/>
      <c r="AD187" s="3"/>
      <c r="AE187" s="3"/>
      <c r="AF187" s="3"/>
    </row>
    <row r="188" ht="15.75" customHeight="1">
      <c r="J188" s="15"/>
      <c r="K188" s="188"/>
      <c r="L188" s="15"/>
      <c r="M188" s="15"/>
      <c r="N188" s="15"/>
      <c r="O188" s="15"/>
      <c r="P188" s="15"/>
      <c r="Q188" s="15"/>
      <c r="R188" s="15"/>
      <c r="S188" s="15"/>
      <c r="T188" s="15"/>
      <c r="U188" s="15"/>
      <c r="V188" s="15"/>
      <c r="W188" s="15"/>
      <c r="X188" s="14"/>
      <c r="Y188" s="14"/>
      <c r="Z188" s="15"/>
      <c r="AA188" s="14"/>
      <c r="AB188" s="3"/>
      <c r="AC188" s="3"/>
      <c r="AD188" s="3"/>
      <c r="AE188" s="3"/>
      <c r="AF188" s="3"/>
    </row>
    <row r="189" ht="15.75" customHeight="1">
      <c r="J189" s="15"/>
      <c r="K189" s="188"/>
      <c r="L189" s="15"/>
      <c r="M189" s="15"/>
      <c r="N189" s="15"/>
      <c r="O189" s="15"/>
      <c r="P189" s="15"/>
      <c r="Q189" s="15"/>
      <c r="R189" s="15"/>
      <c r="S189" s="15"/>
      <c r="T189" s="15"/>
      <c r="U189" s="15"/>
      <c r="V189" s="15"/>
      <c r="W189" s="15"/>
      <c r="X189" s="14"/>
      <c r="Y189" s="14"/>
      <c r="Z189" s="15"/>
      <c r="AA189" s="14"/>
      <c r="AB189" s="3"/>
      <c r="AC189" s="3"/>
      <c r="AD189" s="3"/>
      <c r="AE189" s="3"/>
      <c r="AF189" s="3"/>
    </row>
    <row r="190" ht="15.75" customHeight="1">
      <c r="J190" s="15"/>
      <c r="K190" s="188"/>
      <c r="L190" s="15"/>
      <c r="M190" s="15"/>
      <c r="N190" s="15"/>
      <c r="O190" s="15"/>
      <c r="P190" s="15"/>
      <c r="Q190" s="15"/>
      <c r="R190" s="15"/>
      <c r="S190" s="15"/>
      <c r="T190" s="15"/>
      <c r="U190" s="15"/>
      <c r="V190" s="15"/>
      <c r="W190" s="15"/>
      <c r="X190" s="14"/>
      <c r="Y190" s="14"/>
      <c r="Z190" s="15"/>
      <c r="AA190" s="14"/>
      <c r="AB190" s="3"/>
      <c r="AC190" s="3"/>
      <c r="AD190" s="3"/>
      <c r="AE190" s="3"/>
      <c r="AF190" s="3"/>
    </row>
    <row r="191" ht="15.75" customHeight="1">
      <c r="J191" s="15"/>
      <c r="K191" s="188"/>
      <c r="L191" s="15"/>
      <c r="M191" s="15"/>
      <c r="N191" s="15"/>
      <c r="O191" s="15"/>
      <c r="P191" s="15"/>
      <c r="Q191" s="15"/>
      <c r="R191" s="15"/>
      <c r="S191" s="15"/>
      <c r="T191" s="15"/>
      <c r="U191" s="15"/>
      <c r="V191" s="15"/>
      <c r="W191" s="15"/>
      <c r="X191" s="14"/>
      <c r="Y191" s="14"/>
      <c r="Z191" s="15"/>
      <c r="AA191" s="14"/>
      <c r="AB191" s="3"/>
      <c r="AC191" s="3"/>
      <c r="AD191" s="3"/>
      <c r="AE191" s="3"/>
      <c r="AF191" s="3"/>
    </row>
    <row r="192" ht="15.75" customHeight="1">
      <c r="J192" s="15"/>
      <c r="K192" s="188"/>
      <c r="L192" s="15"/>
      <c r="M192" s="15"/>
      <c r="N192" s="15"/>
      <c r="O192" s="15"/>
      <c r="P192" s="15"/>
      <c r="Q192" s="15"/>
      <c r="R192" s="15"/>
      <c r="S192" s="15"/>
      <c r="T192" s="15"/>
      <c r="U192" s="15"/>
      <c r="V192" s="15"/>
      <c r="W192" s="15"/>
      <c r="X192" s="14"/>
      <c r="Y192" s="14"/>
      <c r="Z192" s="15"/>
      <c r="AA192" s="14"/>
      <c r="AB192" s="3"/>
      <c r="AC192" s="3"/>
      <c r="AD192" s="3"/>
      <c r="AE192" s="3"/>
      <c r="AF192" s="3"/>
    </row>
    <row r="193" ht="15.75" customHeight="1">
      <c r="J193" s="15"/>
      <c r="K193" s="188"/>
      <c r="L193" s="15"/>
      <c r="M193" s="15"/>
      <c r="N193" s="15"/>
      <c r="O193" s="15"/>
      <c r="P193" s="15"/>
      <c r="Q193" s="15"/>
      <c r="R193" s="15"/>
      <c r="S193" s="15"/>
      <c r="T193" s="15"/>
      <c r="U193" s="15"/>
      <c r="V193" s="15"/>
      <c r="W193" s="15"/>
      <c r="X193" s="14"/>
      <c r="Y193" s="14"/>
      <c r="Z193" s="15"/>
      <c r="AA193" s="14"/>
      <c r="AB193" s="3"/>
      <c r="AC193" s="3"/>
      <c r="AD193" s="3"/>
      <c r="AE193" s="3"/>
      <c r="AF193" s="3"/>
    </row>
    <row r="194" ht="15.75" customHeight="1">
      <c r="J194" s="15"/>
      <c r="K194" s="188"/>
      <c r="L194" s="15"/>
      <c r="M194" s="15"/>
      <c r="N194" s="15"/>
      <c r="O194" s="15"/>
      <c r="P194" s="15"/>
      <c r="Q194" s="15"/>
      <c r="R194" s="15"/>
      <c r="S194" s="15"/>
      <c r="T194" s="15"/>
      <c r="U194" s="15"/>
      <c r="V194" s="15"/>
      <c r="W194" s="15"/>
      <c r="X194" s="14"/>
      <c r="Y194" s="14"/>
      <c r="Z194" s="15"/>
      <c r="AA194" s="14"/>
      <c r="AB194" s="3"/>
      <c r="AC194" s="3"/>
      <c r="AD194" s="3"/>
      <c r="AE194" s="3"/>
      <c r="AF194" s="3"/>
    </row>
    <row r="195" ht="15.75" customHeight="1">
      <c r="J195" s="15"/>
      <c r="K195" s="188"/>
      <c r="L195" s="15"/>
      <c r="M195" s="15"/>
      <c r="N195" s="15"/>
      <c r="O195" s="15"/>
      <c r="P195" s="15"/>
      <c r="Q195" s="15"/>
      <c r="R195" s="15"/>
      <c r="S195" s="15"/>
      <c r="T195" s="15"/>
      <c r="U195" s="15"/>
      <c r="V195" s="15"/>
      <c r="W195" s="15"/>
      <c r="X195" s="14"/>
      <c r="Y195" s="14"/>
      <c r="Z195" s="15"/>
      <c r="AA195" s="14"/>
      <c r="AB195" s="3"/>
      <c r="AC195" s="3"/>
      <c r="AD195" s="3"/>
      <c r="AE195" s="3"/>
      <c r="AF195" s="3"/>
    </row>
    <row r="196" ht="15.75" customHeight="1">
      <c r="J196" s="15"/>
      <c r="K196" s="188"/>
      <c r="L196" s="15"/>
      <c r="M196" s="15"/>
      <c r="N196" s="15"/>
      <c r="O196" s="15"/>
      <c r="P196" s="15"/>
      <c r="Q196" s="15"/>
      <c r="R196" s="15"/>
      <c r="S196" s="15"/>
      <c r="T196" s="15"/>
      <c r="U196" s="15"/>
      <c r="V196" s="15"/>
      <c r="W196" s="15"/>
      <c r="X196" s="14"/>
      <c r="Y196" s="14"/>
      <c r="Z196" s="15"/>
      <c r="AA196" s="14"/>
      <c r="AB196" s="3"/>
      <c r="AC196" s="3"/>
      <c r="AD196" s="3"/>
      <c r="AE196" s="3"/>
      <c r="AF196" s="3"/>
    </row>
    <row r="197" ht="15.75" customHeight="1">
      <c r="J197" s="15"/>
      <c r="K197" s="188"/>
      <c r="L197" s="15"/>
      <c r="M197" s="15"/>
      <c r="N197" s="15"/>
      <c r="O197" s="15"/>
      <c r="P197" s="15"/>
      <c r="Q197" s="15"/>
      <c r="R197" s="15"/>
      <c r="S197" s="15"/>
      <c r="T197" s="15"/>
      <c r="U197" s="15"/>
      <c r="V197" s="15"/>
      <c r="W197" s="15"/>
      <c r="X197" s="14"/>
      <c r="Y197" s="14"/>
      <c r="Z197" s="15"/>
      <c r="AA197" s="14"/>
      <c r="AB197" s="3"/>
      <c r="AC197" s="3"/>
      <c r="AD197" s="3"/>
      <c r="AE197" s="3"/>
      <c r="AF197" s="3"/>
    </row>
    <row r="198" ht="15.75" customHeight="1">
      <c r="J198" s="15"/>
      <c r="K198" s="188"/>
      <c r="L198" s="15"/>
      <c r="M198" s="15"/>
      <c r="N198" s="15"/>
      <c r="O198" s="15"/>
      <c r="P198" s="15"/>
      <c r="Q198" s="15"/>
      <c r="R198" s="15"/>
      <c r="S198" s="15"/>
      <c r="T198" s="15"/>
      <c r="U198" s="15"/>
      <c r="V198" s="15"/>
      <c r="W198" s="15"/>
      <c r="X198" s="14"/>
      <c r="Y198" s="14"/>
      <c r="Z198" s="15"/>
      <c r="AA198" s="14"/>
      <c r="AB198" s="3"/>
      <c r="AC198" s="3"/>
      <c r="AD198" s="3"/>
      <c r="AE198" s="3"/>
      <c r="AF198" s="3"/>
    </row>
    <row r="199" ht="15.75" customHeight="1">
      <c r="J199" s="15"/>
      <c r="K199" s="188"/>
      <c r="L199" s="15"/>
      <c r="M199" s="15"/>
      <c r="N199" s="15"/>
      <c r="O199" s="15"/>
      <c r="P199" s="15"/>
      <c r="Q199" s="15"/>
      <c r="R199" s="15"/>
      <c r="S199" s="15"/>
      <c r="T199" s="15"/>
      <c r="U199" s="15"/>
      <c r="V199" s="15"/>
      <c r="W199" s="15"/>
      <c r="X199" s="14"/>
      <c r="Y199" s="14"/>
      <c r="Z199" s="15"/>
      <c r="AA199" s="14"/>
      <c r="AB199" s="3"/>
      <c r="AC199" s="3"/>
      <c r="AD199" s="3"/>
      <c r="AE199" s="3"/>
      <c r="AF199" s="3"/>
    </row>
    <row r="200" ht="15.75" customHeight="1">
      <c r="J200" s="15"/>
      <c r="K200" s="188"/>
      <c r="L200" s="15"/>
      <c r="M200" s="15"/>
      <c r="N200" s="15"/>
      <c r="O200" s="15"/>
      <c r="P200" s="15"/>
      <c r="Q200" s="15"/>
      <c r="R200" s="15"/>
      <c r="S200" s="15"/>
      <c r="T200" s="15"/>
      <c r="U200" s="15"/>
      <c r="V200" s="15"/>
      <c r="W200" s="15"/>
      <c r="X200" s="14"/>
      <c r="Y200" s="14"/>
      <c r="Z200" s="15"/>
      <c r="AA200" s="14"/>
      <c r="AB200" s="3"/>
      <c r="AC200" s="3"/>
      <c r="AD200" s="3"/>
      <c r="AE200" s="3"/>
      <c r="AF200" s="3"/>
    </row>
    <row r="201" ht="15.75" customHeight="1">
      <c r="J201" s="15"/>
      <c r="K201" s="188"/>
      <c r="L201" s="15"/>
      <c r="M201" s="15"/>
      <c r="N201" s="15"/>
      <c r="O201" s="15"/>
      <c r="P201" s="15"/>
      <c r="Q201" s="15"/>
      <c r="R201" s="15"/>
      <c r="S201" s="15"/>
      <c r="T201" s="15"/>
      <c r="U201" s="15"/>
      <c r="V201" s="15"/>
      <c r="W201" s="15"/>
      <c r="X201" s="14"/>
      <c r="Y201" s="14"/>
      <c r="Z201" s="15"/>
      <c r="AA201" s="14"/>
      <c r="AB201" s="3"/>
      <c r="AC201" s="3"/>
      <c r="AD201" s="3"/>
      <c r="AE201" s="3"/>
      <c r="AF201" s="3"/>
    </row>
    <row r="202" ht="15.75" customHeight="1">
      <c r="J202" s="15"/>
      <c r="K202" s="188"/>
      <c r="L202" s="15"/>
      <c r="M202" s="15"/>
      <c r="N202" s="15"/>
      <c r="O202" s="15"/>
      <c r="P202" s="15"/>
      <c r="Q202" s="15"/>
      <c r="R202" s="15"/>
      <c r="S202" s="15"/>
      <c r="T202" s="15"/>
      <c r="U202" s="15"/>
      <c r="V202" s="15"/>
      <c r="W202" s="15"/>
      <c r="X202" s="14"/>
      <c r="Y202" s="14"/>
      <c r="Z202" s="15"/>
      <c r="AA202" s="14"/>
      <c r="AB202" s="3"/>
      <c r="AC202" s="3"/>
      <c r="AD202" s="3"/>
      <c r="AE202" s="3"/>
      <c r="AF202" s="3"/>
    </row>
    <row r="203" ht="15.75" customHeight="1">
      <c r="J203" s="15"/>
      <c r="K203" s="188"/>
      <c r="L203" s="15"/>
      <c r="M203" s="15"/>
      <c r="N203" s="15"/>
      <c r="O203" s="15"/>
      <c r="P203" s="15"/>
      <c r="Q203" s="15"/>
      <c r="R203" s="15"/>
      <c r="S203" s="15"/>
      <c r="T203" s="15"/>
      <c r="U203" s="15"/>
      <c r="V203" s="15"/>
      <c r="W203" s="15"/>
      <c r="X203" s="14"/>
      <c r="Y203" s="14"/>
      <c r="Z203" s="15"/>
      <c r="AA203" s="14"/>
      <c r="AB203" s="3"/>
      <c r="AC203" s="3"/>
      <c r="AD203" s="3"/>
      <c r="AE203" s="3"/>
      <c r="AF203" s="3"/>
    </row>
    <row r="204" ht="15.75" customHeight="1">
      <c r="J204" s="15"/>
      <c r="K204" s="188"/>
      <c r="L204" s="15"/>
      <c r="M204" s="15"/>
      <c r="N204" s="15"/>
      <c r="O204" s="15"/>
      <c r="P204" s="15"/>
      <c r="Q204" s="15"/>
      <c r="R204" s="15"/>
      <c r="S204" s="15"/>
      <c r="T204" s="15"/>
      <c r="U204" s="15"/>
      <c r="V204" s="15"/>
      <c r="W204" s="15"/>
      <c r="X204" s="14"/>
      <c r="Y204" s="14"/>
      <c r="Z204" s="15"/>
      <c r="AA204" s="14"/>
      <c r="AB204" s="3"/>
      <c r="AC204" s="3"/>
      <c r="AD204" s="3"/>
      <c r="AE204" s="3"/>
      <c r="AF204" s="3"/>
    </row>
    <row r="205" ht="15.75" customHeight="1">
      <c r="J205" s="15"/>
      <c r="K205" s="188"/>
      <c r="L205" s="15"/>
      <c r="M205" s="15"/>
      <c r="N205" s="15"/>
      <c r="O205" s="15"/>
      <c r="P205" s="15"/>
      <c r="Q205" s="15"/>
      <c r="R205" s="15"/>
      <c r="S205" s="15"/>
      <c r="T205" s="15"/>
      <c r="U205" s="15"/>
      <c r="V205" s="15"/>
      <c r="W205" s="15"/>
      <c r="X205" s="14"/>
      <c r="Y205" s="14"/>
      <c r="Z205" s="15"/>
      <c r="AA205" s="14"/>
      <c r="AB205" s="3"/>
      <c r="AC205" s="3"/>
      <c r="AD205" s="3"/>
      <c r="AE205" s="3"/>
      <c r="AF205" s="3"/>
    </row>
    <row r="206" ht="15.75" customHeight="1">
      <c r="J206" s="15"/>
      <c r="K206" s="188"/>
      <c r="L206" s="15"/>
      <c r="M206" s="15"/>
      <c r="N206" s="15"/>
      <c r="O206" s="15"/>
      <c r="P206" s="15"/>
      <c r="Q206" s="15"/>
      <c r="R206" s="15"/>
      <c r="S206" s="15"/>
      <c r="T206" s="15"/>
      <c r="U206" s="15"/>
      <c r="V206" s="15"/>
      <c r="W206" s="15"/>
      <c r="X206" s="14"/>
      <c r="Y206" s="14"/>
      <c r="Z206" s="15"/>
      <c r="AA206" s="14"/>
      <c r="AB206" s="3"/>
      <c r="AC206" s="3"/>
      <c r="AD206" s="3"/>
      <c r="AE206" s="3"/>
      <c r="AF206" s="3"/>
    </row>
    <row r="207" ht="15.75" customHeight="1">
      <c r="J207" s="15"/>
      <c r="K207" s="188"/>
      <c r="L207" s="15"/>
      <c r="M207" s="15"/>
      <c r="N207" s="15"/>
      <c r="O207" s="15"/>
      <c r="P207" s="15"/>
      <c r="Q207" s="15"/>
      <c r="R207" s="15"/>
      <c r="S207" s="15"/>
      <c r="T207" s="15"/>
      <c r="U207" s="15"/>
      <c r="V207" s="15"/>
      <c r="W207" s="15"/>
      <c r="X207" s="14"/>
      <c r="Y207" s="14"/>
      <c r="Z207" s="15"/>
      <c r="AA207" s="14"/>
      <c r="AB207" s="3"/>
      <c r="AC207" s="3"/>
      <c r="AD207" s="3"/>
      <c r="AE207" s="3"/>
      <c r="AF207" s="3"/>
    </row>
    <row r="208" ht="15.75" customHeight="1">
      <c r="J208" s="15"/>
      <c r="K208" s="188"/>
      <c r="L208" s="15"/>
      <c r="M208" s="15"/>
      <c r="N208" s="15"/>
      <c r="O208" s="15"/>
      <c r="P208" s="15"/>
      <c r="Q208" s="15"/>
      <c r="R208" s="15"/>
      <c r="S208" s="15"/>
      <c r="T208" s="15"/>
      <c r="U208" s="15"/>
      <c r="V208" s="15"/>
      <c r="W208" s="15"/>
      <c r="X208" s="14"/>
      <c r="Y208" s="14"/>
      <c r="Z208" s="15"/>
      <c r="AA208" s="14"/>
      <c r="AB208" s="3"/>
      <c r="AC208" s="3"/>
      <c r="AD208" s="3"/>
      <c r="AE208" s="3"/>
      <c r="AF208" s="3"/>
    </row>
    <row r="209" ht="15.75" customHeight="1">
      <c r="J209" s="15"/>
      <c r="K209" s="188"/>
      <c r="L209" s="15"/>
      <c r="M209" s="15"/>
      <c r="N209" s="15"/>
      <c r="O209" s="15"/>
      <c r="P209" s="15"/>
      <c r="Q209" s="15"/>
      <c r="R209" s="15"/>
      <c r="S209" s="15"/>
      <c r="T209" s="15"/>
      <c r="U209" s="15"/>
      <c r="V209" s="15"/>
      <c r="W209" s="15"/>
      <c r="X209" s="14"/>
      <c r="Y209" s="14"/>
      <c r="Z209" s="15"/>
      <c r="AA209" s="14"/>
      <c r="AB209" s="3"/>
      <c r="AC209" s="3"/>
      <c r="AD209" s="3"/>
      <c r="AE209" s="3"/>
      <c r="AF209" s="3"/>
    </row>
    <row r="210" ht="15.75" customHeight="1">
      <c r="J210" s="15"/>
      <c r="K210" s="188"/>
      <c r="L210" s="15"/>
      <c r="M210" s="15"/>
      <c r="N210" s="15"/>
      <c r="O210" s="15"/>
      <c r="P210" s="15"/>
      <c r="Q210" s="15"/>
      <c r="R210" s="15"/>
      <c r="S210" s="15"/>
      <c r="T210" s="15"/>
      <c r="U210" s="15"/>
      <c r="V210" s="15"/>
      <c r="W210" s="15"/>
      <c r="X210" s="14"/>
      <c r="Y210" s="14"/>
      <c r="Z210" s="15"/>
      <c r="AA210" s="14"/>
      <c r="AB210" s="3"/>
      <c r="AC210" s="3"/>
      <c r="AD210" s="3"/>
      <c r="AE210" s="3"/>
      <c r="AF210" s="3"/>
    </row>
    <row r="211" ht="15.75" customHeight="1">
      <c r="J211" s="15"/>
      <c r="K211" s="188"/>
      <c r="L211" s="15"/>
      <c r="M211" s="15"/>
      <c r="N211" s="15"/>
      <c r="O211" s="15"/>
      <c r="P211" s="15"/>
      <c r="Q211" s="15"/>
      <c r="R211" s="15"/>
      <c r="S211" s="15"/>
      <c r="T211" s="15"/>
      <c r="U211" s="15"/>
      <c r="V211" s="15"/>
      <c r="W211" s="15"/>
      <c r="X211" s="14"/>
      <c r="Y211" s="14"/>
      <c r="Z211" s="15"/>
      <c r="AA211" s="14"/>
      <c r="AB211" s="3"/>
      <c r="AC211" s="3"/>
      <c r="AD211" s="3"/>
      <c r="AE211" s="3"/>
      <c r="AF211" s="3"/>
    </row>
    <row r="212" ht="15.75" customHeight="1">
      <c r="J212" s="15"/>
      <c r="K212" s="188"/>
      <c r="L212" s="15"/>
      <c r="M212" s="15"/>
      <c r="N212" s="15"/>
      <c r="O212" s="15"/>
      <c r="P212" s="15"/>
      <c r="Q212" s="15"/>
      <c r="R212" s="15"/>
      <c r="S212" s="15"/>
      <c r="T212" s="15"/>
      <c r="U212" s="15"/>
      <c r="V212" s="15"/>
      <c r="W212" s="15"/>
      <c r="X212" s="14"/>
      <c r="Y212" s="14"/>
      <c r="Z212" s="15"/>
      <c r="AA212" s="14"/>
      <c r="AB212" s="3"/>
      <c r="AC212" s="3"/>
      <c r="AD212" s="3"/>
      <c r="AE212" s="3"/>
      <c r="AF212" s="3"/>
    </row>
    <row r="213" ht="15.75" customHeight="1">
      <c r="J213" s="15"/>
      <c r="K213" s="188"/>
      <c r="L213" s="15"/>
      <c r="M213" s="15"/>
      <c r="N213" s="15"/>
      <c r="O213" s="15"/>
      <c r="P213" s="15"/>
      <c r="Q213" s="15"/>
      <c r="R213" s="15"/>
      <c r="S213" s="15"/>
      <c r="T213" s="15"/>
      <c r="U213" s="15"/>
      <c r="V213" s="15"/>
      <c r="W213" s="15"/>
      <c r="X213" s="14"/>
      <c r="Y213" s="14"/>
      <c r="Z213" s="15"/>
      <c r="AA213" s="14"/>
      <c r="AB213" s="3"/>
      <c r="AC213" s="3"/>
      <c r="AD213" s="3"/>
      <c r="AE213" s="3"/>
      <c r="AF213" s="3"/>
    </row>
    <row r="214" ht="15.75" customHeight="1">
      <c r="J214" s="15"/>
      <c r="K214" s="188"/>
      <c r="L214" s="15"/>
      <c r="M214" s="15"/>
      <c r="N214" s="15"/>
      <c r="O214" s="15"/>
      <c r="P214" s="15"/>
      <c r="Q214" s="15"/>
      <c r="R214" s="15"/>
      <c r="S214" s="15"/>
      <c r="T214" s="15"/>
      <c r="U214" s="15"/>
      <c r="V214" s="15"/>
      <c r="W214" s="15"/>
      <c r="X214" s="14"/>
      <c r="Y214" s="14"/>
      <c r="Z214" s="15"/>
      <c r="AA214" s="14"/>
      <c r="AB214" s="3"/>
      <c r="AC214" s="3"/>
      <c r="AD214" s="3"/>
      <c r="AE214" s="3"/>
      <c r="AF214" s="3"/>
    </row>
    <row r="215" ht="15.75" customHeight="1">
      <c r="J215" s="15"/>
      <c r="K215" s="188"/>
      <c r="L215" s="15"/>
      <c r="M215" s="15"/>
      <c r="N215" s="15"/>
      <c r="O215" s="15"/>
      <c r="P215" s="15"/>
      <c r="Q215" s="15"/>
      <c r="R215" s="15"/>
      <c r="S215" s="15"/>
      <c r="T215" s="15"/>
      <c r="U215" s="15"/>
      <c r="V215" s="15"/>
      <c r="W215" s="15"/>
      <c r="X215" s="14"/>
      <c r="Y215" s="14"/>
      <c r="Z215" s="15"/>
      <c r="AA215" s="14"/>
      <c r="AB215" s="3"/>
      <c r="AC215" s="3"/>
      <c r="AD215" s="3"/>
      <c r="AE215" s="3"/>
      <c r="AF215" s="3"/>
    </row>
    <row r="216" ht="15.75" customHeight="1">
      <c r="J216" s="15"/>
      <c r="K216" s="188"/>
      <c r="L216" s="15"/>
      <c r="M216" s="15"/>
      <c r="N216" s="15"/>
      <c r="O216" s="15"/>
      <c r="P216" s="15"/>
      <c r="Q216" s="15"/>
      <c r="R216" s="15"/>
      <c r="S216" s="15"/>
      <c r="T216" s="15"/>
      <c r="U216" s="15"/>
      <c r="V216" s="15"/>
      <c r="W216" s="15"/>
      <c r="X216" s="14"/>
      <c r="Y216" s="14"/>
      <c r="Z216" s="15"/>
      <c r="AA216" s="14"/>
      <c r="AB216" s="3"/>
      <c r="AC216" s="3"/>
      <c r="AD216" s="3"/>
      <c r="AE216" s="3"/>
      <c r="AF216" s="3"/>
    </row>
    <row r="217" ht="15.75" customHeight="1">
      <c r="J217" s="15"/>
      <c r="K217" s="188"/>
      <c r="L217" s="15"/>
      <c r="M217" s="15"/>
      <c r="N217" s="15"/>
      <c r="O217" s="15"/>
      <c r="P217" s="15"/>
      <c r="Q217" s="15"/>
      <c r="R217" s="15"/>
      <c r="S217" s="15"/>
      <c r="T217" s="15"/>
      <c r="U217" s="15"/>
      <c r="V217" s="15"/>
      <c r="W217" s="15"/>
      <c r="X217" s="14"/>
      <c r="Y217" s="14"/>
      <c r="Z217" s="15"/>
      <c r="AA217" s="14"/>
      <c r="AB217" s="3"/>
      <c r="AC217" s="3"/>
      <c r="AD217" s="3"/>
      <c r="AE217" s="3"/>
      <c r="AF217" s="3"/>
    </row>
    <row r="218" ht="15.75" customHeight="1">
      <c r="J218" s="15"/>
      <c r="K218" s="188"/>
      <c r="L218" s="15"/>
      <c r="M218" s="15"/>
      <c r="N218" s="15"/>
      <c r="O218" s="15"/>
      <c r="P218" s="15"/>
      <c r="Q218" s="15"/>
      <c r="R218" s="15"/>
      <c r="S218" s="15"/>
      <c r="T218" s="15"/>
      <c r="U218" s="15"/>
      <c r="V218" s="15"/>
      <c r="W218" s="15"/>
      <c r="X218" s="14"/>
      <c r="Y218" s="14"/>
      <c r="Z218" s="15"/>
      <c r="AA218" s="14"/>
      <c r="AB218" s="3"/>
      <c r="AC218" s="3"/>
      <c r="AD218" s="3"/>
      <c r="AE218" s="3"/>
      <c r="AF218" s="3"/>
    </row>
    <row r="219" ht="15.75" customHeight="1">
      <c r="J219" s="15"/>
      <c r="K219" s="188"/>
      <c r="L219" s="15"/>
      <c r="M219" s="15"/>
      <c r="N219" s="15"/>
      <c r="O219" s="15"/>
      <c r="P219" s="15"/>
      <c r="Q219" s="15"/>
      <c r="R219" s="15"/>
      <c r="S219" s="15"/>
      <c r="T219" s="15"/>
      <c r="U219" s="15"/>
      <c r="V219" s="15"/>
      <c r="W219" s="15"/>
      <c r="X219" s="14"/>
      <c r="Y219" s="14"/>
      <c r="Z219" s="15"/>
      <c r="AA219" s="14"/>
      <c r="AB219" s="3"/>
      <c r="AC219" s="3"/>
      <c r="AD219" s="3"/>
      <c r="AE219" s="3"/>
      <c r="AF219" s="3"/>
    </row>
    <row r="220" ht="15.75" customHeight="1">
      <c r="J220" s="15"/>
      <c r="K220" s="188"/>
      <c r="L220" s="15"/>
      <c r="M220" s="15"/>
      <c r="N220" s="15"/>
      <c r="O220" s="15"/>
      <c r="P220" s="15"/>
      <c r="Q220" s="15"/>
      <c r="R220" s="15"/>
      <c r="S220" s="15"/>
      <c r="T220" s="15"/>
      <c r="U220" s="15"/>
      <c r="V220" s="15"/>
      <c r="W220" s="15"/>
      <c r="X220" s="14"/>
      <c r="Y220" s="14"/>
      <c r="Z220" s="15"/>
      <c r="AA220" s="14"/>
      <c r="AB220" s="3"/>
      <c r="AC220" s="3"/>
      <c r="AD220" s="3"/>
      <c r="AE220" s="3"/>
      <c r="AF220" s="3"/>
    </row>
    <row r="221" ht="15.75" customHeight="1">
      <c r="J221" s="15"/>
      <c r="K221" s="188"/>
      <c r="L221" s="15"/>
      <c r="M221" s="15"/>
      <c r="N221" s="15"/>
      <c r="O221" s="15"/>
      <c r="P221" s="15"/>
      <c r="Q221" s="15"/>
      <c r="R221" s="15"/>
      <c r="S221" s="15"/>
      <c r="T221" s="15"/>
      <c r="U221" s="15"/>
      <c r="V221" s="15"/>
      <c r="W221" s="15"/>
      <c r="X221" s="14"/>
      <c r="Y221" s="14"/>
      <c r="Z221" s="15"/>
      <c r="AA221" s="14"/>
      <c r="AB221" s="3"/>
      <c r="AC221" s="3"/>
      <c r="AD221" s="3"/>
      <c r="AE221" s="3"/>
      <c r="AF221" s="3"/>
    </row>
    <row r="222" ht="15.75" customHeight="1">
      <c r="J222" s="15"/>
      <c r="K222" s="188"/>
      <c r="L222" s="15"/>
      <c r="M222" s="15"/>
      <c r="N222" s="15"/>
      <c r="O222" s="15"/>
      <c r="P222" s="15"/>
      <c r="Q222" s="15"/>
      <c r="R222" s="15"/>
      <c r="S222" s="15"/>
      <c r="T222" s="15"/>
      <c r="U222" s="15"/>
      <c r="V222" s="15"/>
      <c r="W222" s="15"/>
      <c r="X222" s="14"/>
      <c r="Y222" s="14"/>
      <c r="Z222" s="15"/>
      <c r="AA222" s="14"/>
      <c r="AB222" s="3"/>
      <c r="AC222" s="3"/>
      <c r="AD222" s="3"/>
      <c r="AE222" s="3"/>
      <c r="AF222" s="3"/>
    </row>
    <row r="223" ht="15.75" customHeight="1">
      <c r="J223" s="15"/>
      <c r="K223" s="188"/>
      <c r="L223" s="15"/>
      <c r="M223" s="15"/>
      <c r="N223" s="15"/>
      <c r="O223" s="15"/>
      <c r="P223" s="15"/>
      <c r="Q223" s="15"/>
      <c r="R223" s="15"/>
      <c r="S223" s="15"/>
      <c r="T223" s="15"/>
      <c r="U223" s="15"/>
      <c r="V223" s="15"/>
      <c r="W223" s="15"/>
      <c r="X223" s="14"/>
      <c r="Y223" s="14"/>
      <c r="Z223" s="15"/>
      <c r="AA223" s="14"/>
      <c r="AB223" s="3"/>
      <c r="AC223" s="3"/>
      <c r="AD223" s="3"/>
      <c r="AE223" s="3"/>
      <c r="AF223" s="3"/>
    </row>
    <row r="224" ht="15.75" customHeight="1">
      <c r="J224" s="15"/>
      <c r="K224" s="188"/>
      <c r="L224" s="15"/>
      <c r="M224" s="15"/>
      <c r="N224" s="15"/>
      <c r="O224" s="15"/>
      <c r="P224" s="15"/>
      <c r="Q224" s="15"/>
      <c r="R224" s="15"/>
      <c r="S224" s="15"/>
      <c r="T224" s="15"/>
      <c r="U224" s="15"/>
      <c r="V224" s="15"/>
      <c r="W224" s="15"/>
      <c r="X224" s="14"/>
      <c r="Y224" s="14"/>
      <c r="Z224" s="15"/>
      <c r="AA224" s="14"/>
      <c r="AB224" s="3"/>
      <c r="AC224" s="3"/>
      <c r="AD224" s="3"/>
      <c r="AE224" s="3"/>
      <c r="AF224" s="3"/>
    </row>
    <row r="225" ht="15.75" customHeight="1">
      <c r="J225" s="15"/>
      <c r="K225" s="188"/>
      <c r="L225" s="15"/>
      <c r="M225" s="15"/>
      <c r="N225" s="15"/>
      <c r="O225" s="15"/>
      <c r="P225" s="15"/>
      <c r="Q225" s="15"/>
      <c r="R225" s="15"/>
      <c r="S225" s="15"/>
      <c r="T225" s="15"/>
      <c r="U225" s="15"/>
      <c r="V225" s="15"/>
      <c r="W225" s="15"/>
      <c r="X225" s="14"/>
      <c r="Y225" s="14"/>
      <c r="Z225" s="15"/>
      <c r="AA225" s="14"/>
      <c r="AB225" s="3"/>
      <c r="AC225" s="3"/>
      <c r="AD225" s="3"/>
      <c r="AE225" s="3"/>
      <c r="AF225" s="3"/>
    </row>
    <row r="226" ht="15.75" customHeight="1">
      <c r="J226" s="15"/>
      <c r="K226" s="188"/>
      <c r="L226" s="15"/>
      <c r="M226" s="15"/>
      <c r="N226" s="15"/>
      <c r="O226" s="15"/>
      <c r="P226" s="15"/>
      <c r="Q226" s="15"/>
      <c r="R226" s="15"/>
      <c r="S226" s="15"/>
      <c r="T226" s="15"/>
      <c r="U226" s="15"/>
      <c r="V226" s="15"/>
      <c r="W226" s="15"/>
      <c r="X226" s="14"/>
      <c r="Y226" s="14"/>
      <c r="Z226" s="15"/>
      <c r="AA226" s="14"/>
      <c r="AB226" s="3"/>
      <c r="AC226" s="3"/>
      <c r="AD226" s="3"/>
      <c r="AE226" s="3"/>
      <c r="AF226" s="3"/>
    </row>
    <row r="227" ht="15.75" customHeight="1">
      <c r="J227" s="15"/>
      <c r="K227" s="188"/>
      <c r="L227" s="15"/>
      <c r="M227" s="15"/>
      <c r="N227" s="15"/>
      <c r="O227" s="15"/>
      <c r="P227" s="15"/>
      <c r="Q227" s="15"/>
      <c r="R227" s="15"/>
      <c r="S227" s="15"/>
      <c r="T227" s="15"/>
      <c r="U227" s="15"/>
      <c r="V227" s="15"/>
      <c r="W227" s="15"/>
      <c r="X227" s="14"/>
      <c r="Y227" s="14"/>
      <c r="Z227" s="15"/>
      <c r="AA227" s="14"/>
      <c r="AB227" s="3"/>
      <c r="AC227" s="3"/>
      <c r="AD227" s="3"/>
      <c r="AE227" s="3"/>
      <c r="AF227" s="3"/>
    </row>
    <row r="228" ht="15.75" customHeight="1">
      <c r="J228" s="15"/>
      <c r="K228" s="188"/>
      <c r="L228" s="15"/>
      <c r="M228" s="15"/>
      <c r="N228" s="15"/>
      <c r="O228" s="15"/>
      <c r="P228" s="15"/>
      <c r="Q228" s="15"/>
      <c r="R228" s="15"/>
      <c r="S228" s="15"/>
      <c r="T228" s="15"/>
      <c r="U228" s="15"/>
      <c r="V228" s="15"/>
      <c r="W228" s="15"/>
      <c r="X228" s="14"/>
      <c r="Y228" s="14"/>
      <c r="Z228" s="15"/>
      <c r="AA228" s="14"/>
      <c r="AB228" s="3"/>
      <c r="AC228" s="3"/>
      <c r="AD228" s="3"/>
      <c r="AE228" s="3"/>
      <c r="AF228" s="3"/>
    </row>
    <row r="229" ht="15.75" customHeight="1">
      <c r="J229" s="15"/>
      <c r="K229" s="188"/>
      <c r="L229" s="15"/>
      <c r="M229" s="15"/>
      <c r="N229" s="15"/>
      <c r="O229" s="15"/>
      <c r="P229" s="15"/>
      <c r="Q229" s="15"/>
      <c r="R229" s="15"/>
      <c r="S229" s="15"/>
      <c r="T229" s="15"/>
      <c r="U229" s="15"/>
      <c r="V229" s="15"/>
      <c r="W229" s="15"/>
      <c r="X229" s="14"/>
      <c r="Y229" s="14"/>
      <c r="Z229" s="15"/>
      <c r="AA229" s="14"/>
      <c r="AB229" s="3"/>
      <c r="AC229" s="3"/>
      <c r="AD229" s="3"/>
      <c r="AE229" s="3"/>
      <c r="AF229" s="3"/>
    </row>
    <row r="230" ht="15.75" customHeight="1">
      <c r="J230" s="15"/>
      <c r="K230" s="188"/>
      <c r="L230" s="15"/>
      <c r="M230" s="15"/>
      <c r="N230" s="15"/>
      <c r="O230" s="15"/>
      <c r="P230" s="15"/>
      <c r="Q230" s="15"/>
      <c r="R230" s="15"/>
      <c r="S230" s="15"/>
      <c r="T230" s="15"/>
      <c r="U230" s="15"/>
      <c r="V230" s="15"/>
      <c r="W230" s="15"/>
      <c r="X230" s="14"/>
      <c r="Y230" s="14"/>
      <c r="Z230" s="15"/>
      <c r="AA230" s="14"/>
      <c r="AB230" s="3"/>
      <c r="AC230" s="3"/>
      <c r="AD230" s="3"/>
      <c r="AE230" s="3"/>
      <c r="AF230" s="3"/>
    </row>
    <row r="231" ht="15.75" customHeight="1">
      <c r="J231" s="15"/>
      <c r="K231" s="188"/>
      <c r="L231" s="15"/>
      <c r="M231" s="15"/>
      <c r="N231" s="15"/>
      <c r="O231" s="15"/>
      <c r="P231" s="15"/>
      <c r="Q231" s="15"/>
      <c r="R231" s="15"/>
      <c r="S231" s="15"/>
      <c r="T231" s="15"/>
      <c r="U231" s="15"/>
      <c r="V231" s="15"/>
      <c r="W231" s="15"/>
      <c r="X231" s="14"/>
      <c r="Y231" s="14"/>
      <c r="Z231" s="15"/>
      <c r="AA231" s="14"/>
      <c r="AB231" s="3"/>
      <c r="AC231" s="3"/>
      <c r="AD231" s="3"/>
      <c r="AE231" s="3"/>
      <c r="AF231" s="3"/>
    </row>
    <row r="232" ht="15.75" customHeight="1">
      <c r="J232" s="15"/>
      <c r="K232" s="188"/>
      <c r="L232" s="15"/>
      <c r="M232" s="15"/>
      <c r="N232" s="15"/>
      <c r="O232" s="15"/>
      <c r="P232" s="15"/>
      <c r="Q232" s="15"/>
      <c r="R232" s="15"/>
      <c r="S232" s="15"/>
      <c r="T232" s="15"/>
      <c r="U232" s="15"/>
      <c r="V232" s="15"/>
      <c r="W232" s="15"/>
      <c r="X232" s="14"/>
      <c r="Y232" s="14"/>
      <c r="Z232" s="15"/>
      <c r="AA232" s="14"/>
      <c r="AB232" s="3"/>
      <c r="AC232" s="3"/>
      <c r="AD232" s="3"/>
      <c r="AE232" s="3"/>
      <c r="AF232" s="3"/>
    </row>
    <row r="233" ht="15.75" customHeight="1">
      <c r="J233" s="15"/>
      <c r="K233" s="188"/>
      <c r="L233" s="15"/>
      <c r="M233" s="15"/>
      <c r="N233" s="15"/>
      <c r="O233" s="15"/>
      <c r="P233" s="15"/>
      <c r="Q233" s="15"/>
      <c r="R233" s="15"/>
      <c r="S233" s="15"/>
      <c r="T233" s="15"/>
      <c r="U233" s="15"/>
      <c r="V233" s="15"/>
      <c r="W233" s="15"/>
      <c r="X233" s="14"/>
      <c r="Y233" s="14"/>
      <c r="Z233" s="15"/>
      <c r="AA233" s="14"/>
      <c r="AB233" s="3"/>
      <c r="AC233" s="3"/>
      <c r="AD233" s="3"/>
      <c r="AE233" s="3"/>
      <c r="AF233" s="3"/>
    </row>
    <row r="234" ht="15.75" customHeight="1">
      <c r="J234" s="15"/>
      <c r="K234" s="188"/>
      <c r="L234" s="15"/>
      <c r="M234" s="15"/>
      <c r="N234" s="15"/>
      <c r="O234" s="15"/>
      <c r="P234" s="15"/>
      <c r="Q234" s="15"/>
      <c r="R234" s="15"/>
      <c r="S234" s="15"/>
      <c r="T234" s="15"/>
      <c r="U234" s="15"/>
      <c r="V234" s="15"/>
      <c r="W234" s="15"/>
      <c r="X234" s="14"/>
      <c r="Y234" s="14"/>
      <c r="Z234" s="15"/>
      <c r="AA234" s="14"/>
      <c r="AB234" s="3"/>
      <c r="AC234" s="3"/>
      <c r="AD234" s="3"/>
      <c r="AE234" s="3"/>
      <c r="AF234" s="3"/>
    </row>
    <row r="235" ht="15.75" customHeight="1">
      <c r="J235" s="15"/>
      <c r="K235" s="188"/>
      <c r="L235" s="15"/>
      <c r="M235" s="15"/>
      <c r="N235" s="15"/>
      <c r="O235" s="15"/>
      <c r="P235" s="15"/>
      <c r="Q235" s="15"/>
      <c r="R235" s="15"/>
      <c r="S235" s="15"/>
      <c r="T235" s="15"/>
      <c r="U235" s="15"/>
      <c r="V235" s="15"/>
      <c r="W235" s="15"/>
      <c r="X235" s="14"/>
      <c r="Y235" s="14"/>
      <c r="Z235" s="15"/>
      <c r="AA235" s="14"/>
      <c r="AB235" s="3"/>
      <c r="AC235" s="3"/>
      <c r="AD235" s="3"/>
      <c r="AE235" s="3"/>
      <c r="AF235" s="3"/>
    </row>
    <row r="236" ht="15.75" customHeight="1">
      <c r="J236" s="15"/>
      <c r="K236" s="188"/>
      <c r="L236" s="15"/>
      <c r="M236" s="15"/>
      <c r="N236" s="15"/>
      <c r="O236" s="15"/>
      <c r="P236" s="15"/>
      <c r="Q236" s="15"/>
      <c r="R236" s="15"/>
      <c r="S236" s="15"/>
      <c r="T236" s="15"/>
      <c r="U236" s="15"/>
      <c r="V236" s="15"/>
      <c r="W236" s="15"/>
      <c r="X236" s="14"/>
      <c r="Y236" s="14"/>
      <c r="Z236" s="15"/>
      <c r="AA236" s="14"/>
      <c r="AB236" s="3"/>
      <c r="AC236" s="3"/>
      <c r="AD236" s="3"/>
      <c r="AE236" s="3"/>
      <c r="AF236" s="3"/>
    </row>
    <row r="237" ht="15.75" customHeight="1">
      <c r="J237" s="15"/>
      <c r="K237" s="188"/>
      <c r="L237" s="15"/>
      <c r="M237" s="15"/>
      <c r="N237" s="15"/>
      <c r="O237" s="15"/>
      <c r="P237" s="15"/>
      <c r="Q237" s="15"/>
      <c r="R237" s="15"/>
      <c r="S237" s="15"/>
      <c r="T237" s="15"/>
      <c r="U237" s="15"/>
      <c r="V237" s="15"/>
      <c r="W237" s="15"/>
      <c r="X237" s="14"/>
      <c r="Y237" s="14"/>
      <c r="Z237" s="15"/>
      <c r="AA237" s="14"/>
      <c r="AB237" s="3"/>
      <c r="AC237" s="3"/>
      <c r="AD237" s="3"/>
      <c r="AE237" s="3"/>
      <c r="AF237" s="3"/>
    </row>
    <row r="238" ht="15.75" customHeight="1">
      <c r="J238" s="15"/>
      <c r="K238" s="188"/>
      <c r="L238" s="15"/>
      <c r="M238" s="15"/>
      <c r="N238" s="15"/>
      <c r="O238" s="15"/>
      <c r="P238" s="15"/>
      <c r="Q238" s="15"/>
      <c r="R238" s="15"/>
      <c r="S238" s="15"/>
      <c r="T238" s="15"/>
      <c r="U238" s="15"/>
      <c r="V238" s="15"/>
      <c r="W238" s="15"/>
      <c r="X238" s="14"/>
      <c r="Y238" s="14"/>
      <c r="Z238" s="15"/>
      <c r="AA238" s="14"/>
      <c r="AB238" s="3"/>
      <c r="AC238" s="3"/>
      <c r="AD238" s="3"/>
      <c r="AE238" s="3"/>
      <c r="AF238" s="3"/>
    </row>
    <row r="239" ht="15.75" customHeight="1">
      <c r="J239" s="15"/>
      <c r="K239" s="188"/>
      <c r="L239" s="15"/>
      <c r="M239" s="15"/>
      <c r="N239" s="15"/>
      <c r="O239" s="15"/>
      <c r="P239" s="15"/>
      <c r="Q239" s="15"/>
      <c r="R239" s="15"/>
      <c r="S239" s="15"/>
      <c r="T239" s="15"/>
      <c r="U239" s="15"/>
      <c r="V239" s="15"/>
      <c r="W239" s="15"/>
      <c r="X239" s="14"/>
      <c r="Y239" s="14"/>
      <c r="Z239" s="15"/>
      <c r="AA239" s="14"/>
      <c r="AB239" s="3"/>
      <c r="AC239" s="3"/>
      <c r="AD239" s="3"/>
      <c r="AE239" s="3"/>
      <c r="AF239" s="3"/>
    </row>
    <row r="240" ht="15.75" customHeight="1">
      <c r="J240" s="15"/>
      <c r="K240" s="188"/>
      <c r="L240" s="15"/>
      <c r="M240" s="15"/>
      <c r="N240" s="15"/>
      <c r="O240" s="15"/>
      <c r="P240" s="15"/>
      <c r="Q240" s="15"/>
      <c r="R240" s="15"/>
      <c r="S240" s="15"/>
      <c r="T240" s="15"/>
      <c r="U240" s="15"/>
      <c r="V240" s="15"/>
      <c r="W240" s="15"/>
      <c r="X240" s="14"/>
      <c r="Y240" s="14"/>
      <c r="Z240" s="15"/>
      <c r="AA240" s="14"/>
      <c r="AB240" s="3"/>
      <c r="AC240" s="3"/>
      <c r="AD240" s="3"/>
      <c r="AE240" s="3"/>
      <c r="AF240" s="3"/>
    </row>
    <row r="241" ht="15.75" customHeight="1">
      <c r="J241" s="15"/>
      <c r="K241" s="188"/>
      <c r="L241" s="15"/>
      <c r="M241" s="15"/>
      <c r="N241" s="15"/>
      <c r="O241" s="15"/>
      <c r="P241" s="15"/>
      <c r="Q241" s="15"/>
      <c r="R241" s="15"/>
      <c r="S241" s="15"/>
      <c r="T241" s="15"/>
      <c r="U241" s="15"/>
      <c r="V241" s="15"/>
      <c r="W241" s="15"/>
      <c r="X241" s="14"/>
      <c r="Y241" s="14"/>
      <c r="Z241" s="15"/>
      <c r="AA241" s="14"/>
      <c r="AB241" s="3"/>
      <c r="AC241" s="3"/>
      <c r="AD241" s="3"/>
      <c r="AE241" s="3"/>
      <c r="AF241" s="3"/>
    </row>
    <row r="242" ht="15.75" customHeight="1">
      <c r="J242" s="15"/>
      <c r="K242" s="188"/>
      <c r="L242" s="15"/>
      <c r="M242" s="15"/>
      <c r="N242" s="15"/>
      <c r="O242" s="15"/>
      <c r="P242" s="15"/>
      <c r="Q242" s="15"/>
      <c r="R242" s="15"/>
      <c r="S242" s="15"/>
      <c r="T242" s="15"/>
      <c r="U242" s="15"/>
      <c r="V242" s="15"/>
      <c r="W242" s="15"/>
      <c r="X242" s="14"/>
      <c r="Y242" s="14"/>
      <c r="Z242" s="15"/>
      <c r="AA242" s="14"/>
      <c r="AB242" s="3"/>
      <c r="AC242" s="3"/>
      <c r="AD242" s="3"/>
      <c r="AE242" s="3"/>
      <c r="AF242" s="3"/>
    </row>
    <row r="243" ht="15.75" customHeight="1">
      <c r="J243" s="15"/>
      <c r="K243" s="188"/>
      <c r="L243" s="15"/>
      <c r="M243" s="15"/>
      <c r="N243" s="15"/>
      <c r="O243" s="15"/>
      <c r="P243" s="15"/>
      <c r="Q243" s="15"/>
      <c r="R243" s="15"/>
      <c r="S243" s="15"/>
      <c r="T243" s="15"/>
      <c r="U243" s="15"/>
      <c r="V243" s="15"/>
      <c r="W243" s="15"/>
      <c r="X243" s="14"/>
      <c r="Y243" s="14"/>
      <c r="Z243" s="15"/>
      <c r="AA243" s="14"/>
      <c r="AB243" s="3"/>
      <c r="AC243" s="3"/>
      <c r="AD243" s="3"/>
      <c r="AE243" s="3"/>
      <c r="AF243" s="3"/>
    </row>
    <row r="244" ht="15.75" customHeight="1">
      <c r="J244" s="15"/>
      <c r="K244" s="188"/>
      <c r="L244" s="15"/>
      <c r="M244" s="15"/>
      <c r="N244" s="15"/>
      <c r="O244" s="15"/>
      <c r="P244" s="15"/>
      <c r="Q244" s="15"/>
      <c r="R244" s="15"/>
      <c r="S244" s="15"/>
      <c r="T244" s="15"/>
      <c r="U244" s="15"/>
      <c r="V244" s="15"/>
      <c r="W244" s="15"/>
      <c r="X244" s="14"/>
      <c r="Y244" s="14"/>
      <c r="Z244" s="15"/>
      <c r="AA244" s="14"/>
      <c r="AB244" s="3"/>
      <c r="AC244" s="3"/>
      <c r="AD244" s="3"/>
      <c r="AE244" s="3"/>
      <c r="AF244" s="3"/>
    </row>
    <row r="245" ht="15.75" customHeight="1">
      <c r="J245" s="15"/>
      <c r="K245" s="188"/>
      <c r="L245" s="15"/>
      <c r="M245" s="15"/>
      <c r="N245" s="15"/>
      <c r="O245" s="15"/>
      <c r="P245" s="15"/>
      <c r="Q245" s="15"/>
      <c r="R245" s="15"/>
      <c r="S245" s="15"/>
      <c r="T245" s="15"/>
      <c r="U245" s="15"/>
      <c r="V245" s="15"/>
      <c r="W245" s="15"/>
      <c r="X245" s="14"/>
      <c r="Y245" s="14"/>
      <c r="Z245" s="15"/>
      <c r="AA245" s="14"/>
      <c r="AB245" s="3"/>
      <c r="AC245" s="3"/>
      <c r="AD245" s="3"/>
      <c r="AE245" s="3"/>
      <c r="AF245" s="3"/>
    </row>
    <row r="246" ht="15.75" customHeight="1">
      <c r="J246" s="15"/>
      <c r="K246" s="188"/>
      <c r="L246" s="15"/>
      <c r="M246" s="15"/>
      <c r="N246" s="15"/>
      <c r="O246" s="15"/>
      <c r="P246" s="15"/>
      <c r="Q246" s="15"/>
      <c r="R246" s="15"/>
      <c r="S246" s="15"/>
      <c r="T246" s="15"/>
      <c r="U246" s="15"/>
      <c r="V246" s="15"/>
      <c r="W246" s="15"/>
      <c r="X246" s="14"/>
      <c r="Y246" s="14"/>
      <c r="Z246" s="15"/>
      <c r="AA246" s="14"/>
      <c r="AB246" s="3"/>
      <c r="AC246" s="3"/>
      <c r="AD246" s="3"/>
      <c r="AE246" s="3"/>
      <c r="AF246" s="3"/>
    </row>
    <row r="247" ht="15.75" customHeight="1">
      <c r="J247" s="15"/>
      <c r="K247" s="188"/>
      <c r="L247" s="15"/>
      <c r="M247" s="15"/>
      <c r="N247" s="15"/>
      <c r="O247" s="15"/>
      <c r="P247" s="15"/>
      <c r="Q247" s="15"/>
      <c r="R247" s="15"/>
      <c r="S247" s="15"/>
      <c r="T247" s="15"/>
      <c r="U247" s="15"/>
      <c r="V247" s="15"/>
      <c r="W247" s="15"/>
      <c r="X247" s="14"/>
      <c r="Y247" s="14"/>
      <c r="Z247" s="15"/>
      <c r="AA247" s="14"/>
      <c r="AB247" s="3"/>
      <c r="AC247" s="3"/>
      <c r="AD247" s="3"/>
      <c r="AE247" s="3"/>
      <c r="AF247" s="3"/>
    </row>
    <row r="248" ht="15.75" customHeight="1">
      <c r="J248" s="15"/>
      <c r="K248" s="188"/>
      <c r="L248" s="15"/>
      <c r="M248" s="15"/>
      <c r="N248" s="15"/>
      <c r="O248" s="15"/>
      <c r="P248" s="15"/>
      <c r="Q248" s="15"/>
      <c r="R248" s="15"/>
      <c r="S248" s="15"/>
      <c r="T248" s="15"/>
      <c r="U248" s="15"/>
      <c r="V248" s="15"/>
      <c r="W248" s="15"/>
      <c r="X248" s="14"/>
      <c r="Y248" s="14"/>
      <c r="Z248" s="15"/>
      <c r="AA248" s="14"/>
      <c r="AB248" s="3"/>
      <c r="AC248" s="3"/>
      <c r="AD248" s="3"/>
      <c r="AE248" s="3"/>
      <c r="AF248" s="3"/>
    </row>
    <row r="249" ht="15.75" customHeight="1">
      <c r="J249" s="15"/>
      <c r="K249" s="188"/>
      <c r="L249" s="15"/>
      <c r="M249" s="15"/>
      <c r="N249" s="15"/>
      <c r="O249" s="15"/>
      <c r="P249" s="15"/>
      <c r="Q249" s="15"/>
      <c r="R249" s="15"/>
      <c r="S249" s="15"/>
      <c r="T249" s="15"/>
      <c r="U249" s="15"/>
      <c r="V249" s="15"/>
      <c r="W249" s="15"/>
      <c r="X249" s="14"/>
      <c r="Y249" s="14"/>
      <c r="Z249" s="15"/>
      <c r="AA249" s="14"/>
      <c r="AB249" s="3"/>
      <c r="AC249" s="3"/>
      <c r="AD249" s="3"/>
      <c r="AE249" s="3"/>
      <c r="AF249" s="3"/>
    </row>
    <row r="250" ht="15.75" customHeight="1">
      <c r="J250" s="15"/>
      <c r="K250" s="188"/>
      <c r="L250" s="15"/>
      <c r="M250" s="15"/>
      <c r="N250" s="15"/>
      <c r="O250" s="15"/>
      <c r="P250" s="15"/>
      <c r="Q250" s="15"/>
      <c r="R250" s="15"/>
      <c r="S250" s="15"/>
      <c r="T250" s="15"/>
      <c r="U250" s="15"/>
      <c r="V250" s="15"/>
      <c r="W250" s="15"/>
      <c r="X250" s="14"/>
      <c r="Y250" s="14"/>
      <c r="Z250" s="15"/>
      <c r="AA250" s="14"/>
      <c r="AB250" s="3"/>
      <c r="AC250" s="3"/>
      <c r="AD250" s="3"/>
      <c r="AE250" s="3"/>
      <c r="AF250" s="3"/>
    </row>
    <row r="251" ht="15.75" customHeight="1">
      <c r="J251" s="15"/>
      <c r="K251" s="188"/>
      <c r="L251" s="15"/>
      <c r="M251" s="15"/>
      <c r="N251" s="15"/>
      <c r="O251" s="15"/>
      <c r="P251" s="15"/>
      <c r="Q251" s="15"/>
      <c r="R251" s="15"/>
      <c r="S251" s="15"/>
      <c r="T251" s="15"/>
      <c r="U251" s="15"/>
      <c r="V251" s="15"/>
      <c r="W251" s="15"/>
      <c r="X251" s="14"/>
      <c r="Y251" s="14"/>
      <c r="Z251" s="15"/>
      <c r="AA251" s="14"/>
      <c r="AB251" s="3"/>
      <c r="AC251" s="3"/>
      <c r="AD251" s="3"/>
      <c r="AE251" s="3"/>
      <c r="AF251" s="3"/>
    </row>
    <row r="252" ht="15.75" customHeight="1">
      <c r="J252" s="15"/>
      <c r="K252" s="188"/>
      <c r="L252" s="15"/>
      <c r="M252" s="15"/>
      <c r="N252" s="15"/>
      <c r="O252" s="15"/>
      <c r="P252" s="15"/>
      <c r="Q252" s="15"/>
      <c r="R252" s="15"/>
      <c r="S252" s="15"/>
      <c r="T252" s="15"/>
      <c r="U252" s="15"/>
      <c r="V252" s="15"/>
      <c r="W252" s="15"/>
      <c r="X252" s="14"/>
      <c r="Y252" s="14"/>
      <c r="Z252" s="15"/>
      <c r="AA252" s="14"/>
      <c r="AB252" s="3"/>
      <c r="AC252" s="3"/>
      <c r="AD252" s="3"/>
      <c r="AE252" s="3"/>
      <c r="AF252" s="3"/>
    </row>
    <row r="253" ht="15.75" customHeight="1">
      <c r="J253" s="15"/>
      <c r="K253" s="188"/>
      <c r="L253" s="15"/>
      <c r="M253" s="15"/>
      <c r="N253" s="15"/>
      <c r="O253" s="15"/>
      <c r="P253" s="15"/>
      <c r="Q253" s="15"/>
      <c r="R253" s="15"/>
      <c r="S253" s="15"/>
      <c r="T253" s="15"/>
      <c r="U253" s="15"/>
      <c r="V253" s="15"/>
      <c r="W253" s="15"/>
      <c r="X253" s="14"/>
      <c r="Y253" s="14"/>
      <c r="Z253" s="15"/>
      <c r="AA253" s="14"/>
      <c r="AB253" s="3"/>
      <c r="AC253" s="3"/>
      <c r="AD253" s="3"/>
      <c r="AE253" s="3"/>
      <c r="AF253" s="3"/>
    </row>
    <row r="254" ht="15.75" customHeight="1">
      <c r="J254" s="15"/>
      <c r="K254" s="188"/>
      <c r="L254" s="15"/>
      <c r="M254" s="15"/>
      <c r="N254" s="15"/>
      <c r="O254" s="15"/>
      <c r="P254" s="15"/>
      <c r="Q254" s="15"/>
      <c r="R254" s="15"/>
      <c r="S254" s="15"/>
      <c r="T254" s="15"/>
      <c r="U254" s="15"/>
      <c r="V254" s="15"/>
      <c r="W254" s="15"/>
      <c r="X254" s="14"/>
      <c r="Y254" s="14"/>
      <c r="Z254" s="15"/>
      <c r="AA254" s="14"/>
      <c r="AB254" s="3"/>
      <c r="AC254" s="3"/>
      <c r="AD254" s="3"/>
      <c r="AE254" s="3"/>
      <c r="AF254" s="3"/>
    </row>
    <row r="255" ht="15.75" customHeight="1">
      <c r="J255" s="15"/>
      <c r="K255" s="188"/>
      <c r="L255" s="15"/>
      <c r="M255" s="15"/>
      <c r="N255" s="15"/>
      <c r="O255" s="15"/>
      <c r="P255" s="15"/>
      <c r="Q255" s="15"/>
      <c r="R255" s="15"/>
      <c r="S255" s="15"/>
      <c r="T255" s="15"/>
      <c r="U255" s="15"/>
      <c r="V255" s="15"/>
      <c r="W255" s="15"/>
      <c r="X255" s="14"/>
      <c r="Y255" s="14"/>
      <c r="Z255" s="15"/>
      <c r="AA255" s="14"/>
      <c r="AB255" s="3"/>
      <c r="AC255" s="3"/>
      <c r="AD255" s="3"/>
      <c r="AE255" s="3"/>
      <c r="AF255" s="3"/>
    </row>
    <row r="256" ht="15.75" customHeight="1">
      <c r="J256" s="15"/>
      <c r="K256" s="188"/>
      <c r="L256" s="15"/>
      <c r="M256" s="15"/>
      <c r="N256" s="15"/>
      <c r="O256" s="15"/>
      <c r="P256" s="15"/>
      <c r="Q256" s="15"/>
      <c r="R256" s="15"/>
      <c r="S256" s="15"/>
      <c r="T256" s="15"/>
      <c r="U256" s="15"/>
      <c r="V256" s="15"/>
      <c r="W256" s="15"/>
      <c r="X256" s="14"/>
      <c r="Y256" s="14"/>
      <c r="Z256" s="15"/>
      <c r="AA256" s="14"/>
      <c r="AB256" s="3"/>
      <c r="AC256" s="3"/>
      <c r="AD256" s="3"/>
      <c r="AE256" s="3"/>
      <c r="AF256" s="3"/>
    </row>
    <row r="257" ht="15.75" customHeight="1">
      <c r="J257" s="15"/>
      <c r="K257" s="188"/>
      <c r="L257" s="15"/>
      <c r="M257" s="15"/>
      <c r="N257" s="15"/>
      <c r="O257" s="15"/>
      <c r="P257" s="15"/>
      <c r="Q257" s="15"/>
      <c r="R257" s="15"/>
      <c r="S257" s="15"/>
      <c r="T257" s="15"/>
      <c r="U257" s="15"/>
      <c r="V257" s="15"/>
      <c r="W257" s="15"/>
      <c r="X257" s="14"/>
      <c r="Y257" s="14"/>
      <c r="Z257" s="15"/>
      <c r="AA257" s="14"/>
      <c r="AB257" s="3"/>
      <c r="AC257" s="3"/>
      <c r="AD257" s="3"/>
      <c r="AE257" s="3"/>
      <c r="AF257" s="3"/>
    </row>
    <row r="258" ht="15.75" customHeight="1">
      <c r="J258" s="15"/>
      <c r="K258" s="188"/>
      <c r="L258" s="15"/>
      <c r="M258" s="15"/>
      <c r="N258" s="15"/>
      <c r="O258" s="15"/>
      <c r="P258" s="15"/>
      <c r="Q258" s="15"/>
      <c r="R258" s="15"/>
      <c r="S258" s="15"/>
      <c r="T258" s="15"/>
      <c r="U258" s="15"/>
      <c r="V258" s="15"/>
      <c r="W258" s="15"/>
      <c r="X258" s="14"/>
      <c r="Y258" s="14"/>
      <c r="Z258" s="15"/>
      <c r="AA258" s="14"/>
      <c r="AB258" s="3"/>
      <c r="AC258" s="3"/>
      <c r="AD258" s="3"/>
      <c r="AE258" s="3"/>
      <c r="AF258" s="3"/>
    </row>
    <row r="259" ht="15.75" customHeight="1">
      <c r="J259" s="15"/>
      <c r="K259" s="188"/>
      <c r="L259" s="15"/>
      <c r="M259" s="15"/>
      <c r="N259" s="15"/>
      <c r="O259" s="15"/>
      <c r="P259" s="15"/>
      <c r="Q259" s="15"/>
      <c r="R259" s="15"/>
      <c r="S259" s="15"/>
      <c r="T259" s="15"/>
      <c r="U259" s="15"/>
      <c r="V259" s="15"/>
      <c r="W259" s="15"/>
      <c r="X259" s="14"/>
      <c r="Y259" s="14"/>
      <c r="Z259" s="15"/>
      <c r="AA259" s="14"/>
      <c r="AB259" s="3"/>
      <c r="AC259" s="3"/>
      <c r="AD259" s="3"/>
      <c r="AE259" s="3"/>
      <c r="AF259" s="3"/>
    </row>
    <row r="260" ht="15.75" customHeight="1">
      <c r="J260" s="15"/>
      <c r="K260" s="188"/>
      <c r="L260" s="15"/>
      <c r="M260" s="15"/>
      <c r="N260" s="15"/>
      <c r="O260" s="15"/>
      <c r="P260" s="15"/>
      <c r="Q260" s="15"/>
      <c r="R260" s="15"/>
      <c r="S260" s="15"/>
      <c r="T260" s="15"/>
      <c r="U260" s="15"/>
      <c r="V260" s="15"/>
      <c r="W260" s="15"/>
      <c r="X260" s="14"/>
      <c r="Y260" s="14"/>
      <c r="Z260" s="15"/>
      <c r="AA260" s="14"/>
      <c r="AB260" s="3"/>
      <c r="AC260" s="3"/>
      <c r="AD260" s="3"/>
      <c r="AE260" s="3"/>
      <c r="AF260" s="3"/>
    </row>
    <row r="261" ht="15.75" customHeight="1">
      <c r="J261" s="15"/>
      <c r="K261" s="188"/>
      <c r="L261" s="15"/>
      <c r="M261" s="15"/>
      <c r="N261" s="15"/>
      <c r="O261" s="15"/>
      <c r="P261" s="15"/>
      <c r="Q261" s="15"/>
      <c r="R261" s="15"/>
      <c r="S261" s="15"/>
      <c r="T261" s="15"/>
      <c r="U261" s="15"/>
      <c r="V261" s="15"/>
      <c r="W261" s="15"/>
      <c r="X261" s="14"/>
      <c r="Y261" s="14"/>
      <c r="Z261" s="15"/>
      <c r="AA261" s="14"/>
      <c r="AB261" s="3"/>
      <c r="AC261" s="3"/>
      <c r="AD261" s="3"/>
      <c r="AE261" s="3"/>
      <c r="AF261" s="3"/>
    </row>
    <row r="262" ht="15.75" customHeight="1">
      <c r="J262" s="15"/>
      <c r="K262" s="188"/>
      <c r="L262" s="15"/>
      <c r="M262" s="15"/>
      <c r="N262" s="15"/>
      <c r="O262" s="15"/>
      <c r="P262" s="15"/>
      <c r="Q262" s="15"/>
      <c r="R262" s="15"/>
      <c r="S262" s="15"/>
      <c r="T262" s="15"/>
      <c r="U262" s="15"/>
      <c r="V262" s="15"/>
      <c r="W262" s="15"/>
      <c r="X262" s="14"/>
      <c r="Y262" s="14"/>
      <c r="Z262" s="15"/>
      <c r="AA262" s="14"/>
      <c r="AB262" s="3"/>
      <c r="AC262" s="3"/>
      <c r="AD262" s="3"/>
      <c r="AE262" s="3"/>
      <c r="AF262" s="3"/>
    </row>
    <row r="263" ht="15.75" customHeight="1">
      <c r="J263" s="15"/>
      <c r="K263" s="188"/>
      <c r="L263" s="15"/>
      <c r="M263" s="15"/>
      <c r="N263" s="15"/>
      <c r="O263" s="15"/>
      <c r="P263" s="15"/>
      <c r="Q263" s="15"/>
      <c r="R263" s="15"/>
      <c r="S263" s="15"/>
      <c r="T263" s="15"/>
      <c r="U263" s="15"/>
      <c r="V263" s="15"/>
      <c r="W263" s="15"/>
      <c r="X263" s="14"/>
      <c r="Y263" s="14"/>
      <c r="Z263" s="15"/>
      <c r="AA263" s="14"/>
      <c r="AB263" s="3"/>
      <c r="AC263" s="3"/>
      <c r="AD263" s="3"/>
      <c r="AE263" s="3"/>
      <c r="AF263" s="3"/>
    </row>
    <row r="264" ht="15.75" customHeight="1">
      <c r="J264" s="15"/>
      <c r="K264" s="188"/>
      <c r="L264" s="15"/>
      <c r="M264" s="15"/>
      <c r="N264" s="15"/>
      <c r="O264" s="15"/>
      <c r="P264" s="15"/>
      <c r="Q264" s="15"/>
      <c r="R264" s="15"/>
      <c r="S264" s="15"/>
      <c r="T264" s="15"/>
      <c r="U264" s="15"/>
      <c r="V264" s="15"/>
      <c r="W264" s="15"/>
      <c r="X264" s="14"/>
      <c r="Y264" s="14"/>
      <c r="Z264" s="15"/>
      <c r="AA264" s="14"/>
      <c r="AB264" s="3"/>
      <c r="AC264" s="3"/>
      <c r="AD264" s="3"/>
      <c r="AE264" s="3"/>
      <c r="AF264" s="3"/>
    </row>
    <row r="265" ht="15.75" customHeight="1">
      <c r="J265" s="15"/>
      <c r="K265" s="188"/>
      <c r="L265" s="15"/>
      <c r="M265" s="15"/>
      <c r="N265" s="15"/>
      <c r="O265" s="15"/>
      <c r="P265" s="15"/>
      <c r="Q265" s="15"/>
      <c r="R265" s="15"/>
      <c r="S265" s="15"/>
      <c r="T265" s="15"/>
      <c r="U265" s="15"/>
      <c r="V265" s="15"/>
      <c r="W265" s="15"/>
      <c r="X265" s="14"/>
      <c r="Y265" s="14"/>
      <c r="Z265" s="15"/>
      <c r="AA265" s="14"/>
      <c r="AB265" s="3"/>
      <c r="AC265" s="3"/>
      <c r="AD265" s="3"/>
      <c r="AE265" s="3"/>
      <c r="AF265" s="3"/>
    </row>
    <row r="266" ht="15.75" customHeight="1">
      <c r="J266" s="15"/>
      <c r="K266" s="188"/>
      <c r="L266" s="15"/>
      <c r="M266" s="15"/>
      <c r="N266" s="15"/>
      <c r="O266" s="15"/>
      <c r="P266" s="15"/>
      <c r="Q266" s="15"/>
      <c r="R266" s="15"/>
      <c r="S266" s="15"/>
      <c r="T266" s="15"/>
      <c r="U266" s="15"/>
      <c r="V266" s="15"/>
      <c r="W266" s="15"/>
      <c r="X266" s="14"/>
      <c r="Y266" s="14"/>
      <c r="Z266" s="15"/>
      <c r="AA266" s="14"/>
      <c r="AB266" s="3"/>
      <c r="AC266" s="3"/>
      <c r="AD266" s="3"/>
      <c r="AE266" s="3"/>
      <c r="AF266" s="3"/>
    </row>
    <row r="267" ht="15.75" customHeight="1">
      <c r="J267" s="15"/>
      <c r="K267" s="188"/>
      <c r="L267" s="15"/>
      <c r="M267" s="15"/>
      <c r="N267" s="15"/>
      <c r="O267" s="15"/>
      <c r="P267" s="15"/>
      <c r="Q267" s="15"/>
      <c r="R267" s="15"/>
      <c r="S267" s="15"/>
      <c r="T267" s="15"/>
      <c r="U267" s="15"/>
      <c r="V267" s="15"/>
      <c r="W267" s="15"/>
      <c r="X267" s="14"/>
      <c r="Y267" s="14"/>
      <c r="Z267" s="15"/>
      <c r="AA267" s="14"/>
      <c r="AB267" s="3"/>
      <c r="AC267" s="3"/>
      <c r="AD267" s="3"/>
      <c r="AE267" s="3"/>
      <c r="AF267" s="3"/>
    </row>
    <row r="268" ht="15.75" customHeight="1">
      <c r="J268" s="15"/>
      <c r="K268" s="188"/>
      <c r="L268" s="15"/>
      <c r="M268" s="15"/>
      <c r="N268" s="15"/>
      <c r="O268" s="15"/>
      <c r="P268" s="15"/>
      <c r="Q268" s="15"/>
      <c r="R268" s="15"/>
      <c r="S268" s="15"/>
      <c r="T268" s="15"/>
      <c r="U268" s="15"/>
      <c r="V268" s="15"/>
      <c r="W268" s="15"/>
      <c r="X268" s="14"/>
      <c r="Y268" s="14"/>
      <c r="Z268" s="15"/>
      <c r="AA268" s="14"/>
      <c r="AB268" s="3"/>
      <c r="AC268" s="3"/>
      <c r="AD268" s="3"/>
      <c r="AE268" s="3"/>
      <c r="AF268" s="3"/>
    </row>
    <row r="269" ht="15.75" customHeight="1">
      <c r="J269" s="15"/>
      <c r="K269" s="188"/>
      <c r="L269" s="15"/>
      <c r="M269" s="15"/>
      <c r="N269" s="15"/>
      <c r="O269" s="15"/>
      <c r="P269" s="15"/>
      <c r="Q269" s="15"/>
      <c r="R269" s="15"/>
      <c r="S269" s="15"/>
      <c r="T269" s="15"/>
      <c r="U269" s="15"/>
      <c r="V269" s="15"/>
      <c r="W269" s="15"/>
      <c r="X269" s="14"/>
      <c r="Y269" s="14"/>
      <c r="Z269" s="15"/>
      <c r="AA269" s="14"/>
      <c r="AB269" s="3"/>
      <c r="AC269" s="3"/>
      <c r="AD269" s="3"/>
      <c r="AE269" s="3"/>
      <c r="AF269" s="3"/>
    </row>
    <row r="270" ht="15.75" customHeight="1">
      <c r="J270" s="15"/>
      <c r="K270" s="188"/>
      <c r="L270" s="15"/>
      <c r="M270" s="15"/>
      <c r="N270" s="15"/>
      <c r="O270" s="15"/>
      <c r="P270" s="15"/>
      <c r="Q270" s="15"/>
      <c r="R270" s="15"/>
      <c r="S270" s="15"/>
      <c r="T270" s="15"/>
      <c r="U270" s="15"/>
      <c r="V270" s="15"/>
      <c r="W270" s="15"/>
      <c r="X270" s="14"/>
      <c r="Y270" s="14"/>
      <c r="Z270" s="15"/>
      <c r="AA270" s="14"/>
      <c r="AB270" s="3"/>
      <c r="AC270" s="3"/>
      <c r="AD270" s="3"/>
      <c r="AE270" s="3"/>
      <c r="AF270" s="3"/>
    </row>
    <row r="271" ht="15.75" customHeight="1">
      <c r="J271" s="15"/>
      <c r="K271" s="188"/>
      <c r="L271" s="15"/>
      <c r="M271" s="15"/>
      <c r="N271" s="15"/>
      <c r="O271" s="15"/>
      <c r="P271" s="15"/>
      <c r="Q271" s="15"/>
      <c r="R271" s="15"/>
      <c r="S271" s="15"/>
      <c r="T271" s="15"/>
      <c r="U271" s="15"/>
      <c r="V271" s="15"/>
      <c r="W271" s="15"/>
      <c r="X271" s="14"/>
      <c r="Y271" s="14"/>
      <c r="Z271" s="15"/>
      <c r="AA271" s="14"/>
      <c r="AB271" s="3"/>
      <c r="AC271" s="3"/>
      <c r="AD271" s="3"/>
      <c r="AE271" s="3"/>
      <c r="AF271" s="3"/>
    </row>
    <row r="272" ht="15.75" customHeight="1">
      <c r="J272" s="15"/>
      <c r="K272" s="188"/>
      <c r="L272" s="15"/>
      <c r="M272" s="15"/>
      <c r="N272" s="15"/>
      <c r="O272" s="15"/>
      <c r="P272" s="15"/>
      <c r="Q272" s="15"/>
      <c r="R272" s="15"/>
      <c r="S272" s="15"/>
      <c r="T272" s="15"/>
      <c r="U272" s="15"/>
      <c r="V272" s="15"/>
      <c r="W272" s="15"/>
      <c r="X272" s="14"/>
      <c r="Y272" s="14"/>
      <c r="Z272" s="15"/>
      <c r="AA272" s="14"/>
      <c r="AB272" s="3"/>
      <c r="AC272" s="3"/>
      <c r="AD272" s="3"/>
      <c r="AE272" s="3"/>
      <c r="AF272" s="3"/>
    </row>
    <row r="273" ht="15.75" customHeight="1">
      <c r="J273" s="15"/>
      <c r="K273" s="188"/>
      <c r="L273" s="15"/>
      <c r="M273" s="15"/>
      <c r="N273" s="15"/>
      <c r="O273" s="15"/>
      <c r="P273" s="15"/>
      <c r="Q273" s="15"/>
      <c r="R273" s="15"/>
      <c r="S273" s="15"/>
      <c r="T273" s="15"/>
      <c r="U273" s="15"/>
      <c r="V273" s="15"/>
      <c r="W273" s="15"/>
      <c r="X273" s="14"/>
      <c r="Y273" s="14"/>
      <c r="Z273" s="15"/>
      <c r="AA273" s="14"/>
      <c r="AB273" s="3"/>
      <c r="AC273" s="3"/>
      <c r="AD273" s="3"/>
      <c r="AE273" s="3"/>
      <c r="AF273" s="3"/>
    </row>
    <row r="274" ht="15.75" customHeight="1">
      <c r="J274" s="15"/>
      <c r="K274" s="188"/>
      <c r="L274" s="15"/>
      <c r="M274" s="15"/>
      <c r="N274" s="15"/>
      <c r="O274" s="15"/>
      <c r="P274" s="15"/>
      <c r="Q274" s="15"/>
      <c r="R274" s="15"/>
      <c r="S274" s="15"/>
      <c r="T274" s="15"/>
      <c r="U274" s="15"/>
      <c r="V274" s="15"/>
      <c r="W274" s="15"/>
      <c r="X274" s="14"/>
      <c r="Y274" s="14"/>
      <c r="Z274" s="15"/>
      <c r="AA274" s="14"/>
      <c r="AB274" s="3"/>
      <c r="AC274" s="3"/>
      <c r="AD274" s="3"/>
      <c r="AE274" s="3"/>
      <c r="AF274" s="3"/>
    </row>
    <row r="275" ht="15.75" customHeight="1">
      <c r="J275" s="15"/>
      <c r="K275" s="188"/>
      <c r="L275" s="15"/>
      <c r="M275" s="15"/>
      <c r="N275" s="15"/>
      <c r="O275" s="15"/>
      <c r="P275" s="15"/>
      <c r="Q275" s="15"/>
      <c r="R275" s="15"/>
      <c r="S275" s="15"/>
      <c r="T275" s="15"/>
      <c r="U275" s="15"/>
      <c r="V275" s="15"/>
      <c r="W275" s="15"/>
      <c r="X275" s="14"/>
      <c r="Y275" s="14"/>
      <c r="Z275" s="15"/>
      <c r="AA275" s="14"/>
      <c r="AB275" s="3"/>
      <c r="AC275" s="3"/>
      <c r="AD275" s="3"/>
      <c r="AE275" s="3"/>
      <c r="AF275" s="3"/>
    </row>
    <row r="276" ht="15.75" customHeight="1">
      <c r="J276" s="15"/>
      <c r="K276" s="188"/>
      <c r="L276" s="15"/>
      <c r="M276" s="15"/>
      <c r="N276" s="15"/>
      <c r="O276" s="15"/>
      <c r="P276" s="15"/>
      <c r="Q276" s="15"/>
      <c r="R276" s="15"/>
      <c r="S276" s="15"/>
      <c r="T276" s="15"/>
      <c r="U276" s="15"/>
      <c r="V276" s="15"/>
      <c r="W276" s="15"/>
      <c r="X276" s="14"/>
      <c r="Y276" s="14"/>
      <c r="Z276" s="15"/>
      <c r="AA276" s="14"/>
      <c r="AB276" s="3"/>
      <c r="AC276" s="3"/>
      <c r="AD276" s="3"/>
      <c r="AE276" s="3"/>
      <c r="AF276" s="3"/>
    </row>
    <row r="277" ht="15.75" customHeight="1">
      <c r="J277" s="15"/>
      <c r="K277" s="188"/>
      <c r="L277" s="15"/>
      <c r="M277" s="15"/>
      <c r="N277" s="15"/>
      <c r="O277" s="15"/>
      <c r="P277" s="15"/>
      <c r="Q277" s="15"/>
      <c r="R277" s="15"/>
      <c r="S277" s="15"/>
      <c r="T277" s="15"/>
      <c r="U277" s="15"/>
      <c r="V277" s="15"/>
      <c r="W277" s="15"/>
      <c r="X277" s="14"/>
      <c r="Y277" s="14"/>
      <c r="Z277" s="15"/>
      <c r="AA277" s="14"/>
      <c r="AB277" s="3"/>
      <c r="AC277" s="3"/>
      <c r="AD277" s="3"/>
      <c r="AE277" s="3"/>
      <c r="AF277" s="3"/>
    </row>
    <row r="278" ht="15.75" customHeight="1">
      <c r="J278" s="15"/>
      <c r="K278" s="188"/>
      <c r="L278" s="15"/>
      <c r="M278" s="15"/>
      <c r="N278" s="15"/>
      <c r="O278" s="15"/>
      <c r="P278" s="15"/>
      <c r="Q278" s="15"/>
      <c r="R278" s="15"/>
      <c r="S278" s="15"/>
      <c r="T278" s="15"/>
      <c r="U278" s="15"/>
      <c r="V278" s="15"/>
      <c r="W278" s="15"/>
      <c r="X278" s="14"/>
      <c r="Y278" s="14"/>
      <c r="Z278" s="15"/>
      <c r="AA278" s="14"/>
      <c r="AB278" s="3"/>
      <c r="AC278" s="3"/>
      <c r="AD278" s="3"/>
      <c r="AE278" s="3"/>
      <c r="AF278" s="3"/>
    </row>
    <row r="279" ht="15.75" customHeight="1">
      <c r="J279" s="15"/>
      <c r="K279" s="188"/>
      <c r="L279" s="15"/>
      <c r="M279" s="15"/>
      <c r="N279" s="15"/>
      <c r="O279" s="15"/>
      <c r="P279" s="15"/>
      <c r="Q279" s="15"/>
      <c r="R279" s="15"/>
      <c r="S279" s="15"/>
      <c r="T279" s="15"/>
      <c r="U279" s="15"/>
      <c r="V279" s="15"/>
      <c r="W279" s="15"/>
      <c r="X279" s="14"/>
      <c r="Y279" s="14"/>
      <c r="Z279" s="15"/>
      <c r="AA279" s="14"/>
      <c r="AB279" s="3"/>
      <c r="AC279" s="3"/>
      <c r="AD279" s="3"/>
      <c r="AE279" s="3"/>
      <c r="AF279" s="3"/>
    </row>
    <row r="280" ht="15.75" customHeight="1">
      <c r="J280" s="15"/>
      <c r="K280" s="188"/>
      <c r="L280" s="15"/>
      <c r="M280" s="15"/>
      <c r="N280" s="15"/>
      <c r="O280" s="15"/>
      <c r="P280" s="15"/>
      <c r="Q280" s="15"/>
      <c r="R280" s="15"/>
      <c r="S280" s="15"/>
      <c r="T280" s="15"/>
      <c r="U280" s="15"/>
      <c r="V280" s="15"/>
      <c r="W280" s="15"/>
      <c r="X280" s="14"/>
      <c r="Y280" s="14"/>
      <c r="Z280" s="15"/>
      <c r="AA280" s="14"/>
      <c r="AB280" s="3"/>
      <c r="AC280" s="3"/>
      <c r="AD280" s="3"/>
      <c r="AE280" s="3"/>
      <c r="AF280" s="3"/>
    </row>
    <row r="281" ht="15.75" customHeight="1">
      <c r="J281" s="15"/>
      <c r="K281" s="188"/>
      <c r="L281" s="15"/>
      <c r="M281" s="15"/>
      <c r="N281" s="15"/>
      <c r="O281" s="15"/>
      <c r="P281" s="15"/>
      <c r="Q281" s="15"/>
      <c r="R281" s="15"/>
      <c r="S281" s="15"/>
      <c r="T281" s="15"/>
      <c r="U281" s="15"/>
      <c r="V281" s="15"/>
      <c r="W281" s="15"/>
      <c r="X281" s="14"/>
      <c r="Y281" s="14"/>
      <c r="Z281" s="15"/>
      <c r="AA281" s="14"/>
      <c r="AB281" s="3"/>
      <c r="AC281" s="3"/>
      <c r="AD281" s="3"/>
      <c r="AE281" s="3"/>
      <c r="AF281" s="3"/>
    </row>
    <row r="282" ht="15.75" customHeight="1">
      <c r="J282" s="15"/>
      <c r="K282" s="188"/>
      <c r="L282" s="15"/>
      <c r="M282" s="15"/>
      <c r="N282" s="15"/>
      <c r="O282" s="15"/>
      <c r="P282" s="15"/>
      <c r="Q282" s="15"/>
      <c r="R282" s="15"/>
      <c r="S282" s="15"/>
      <c r="T282" s="15"/>
      <c r="U282" s="15"/>
      <c r="V282" s="15"/>
      <c r="W282" s="15"/>
      <c r="X282" s="14"/>
      <c r="Y282" s="14"/>
      <c r="Z282" s="15"/>
      <c r="AA282" s="14"/>
      <c r="AB282" s="3"/>
      <c r="AC282" s="3"/>
      <c r="AD282" s="3"/>
      <c r="AE282" s="3"/>
      <c r="AF282" s="3"/>
    </row>
    <row r="283" ht="15.75" customHeight="1">
      <c r="J283" s="15"/>
      <c r="K283" s="188"/>
      <c r="L283" s="15"/>
      <c r="M283" s="15"/>
      <c r="N283" s="15"/>
      <c r="O283" s="15"/>
      <c r="P283" s="15"/>
      <c r="Q283" s="15"/>
      <c r="R283" s="15"/>
      <c r="S283" s="15"/>
      <c r="T283" s="15"/>
      <c r="U283" s="15"/>
      <c r="V283" s="15"/>
      <c r="W283" s="15"/>
      <c r="X283" s="14"/>
      <c r="Y283" s="14"/>
      <c r="Z283" s="15"/>
      <c r="AA283" s="14"/>
      <c r="AB283" s="3"/>
      <c r="AC283" s="3"/>
      <c r="AD283" s="3"/>
      <c r="AE283" s="3"/>
      <c r="AF283" s="3"/>
    </row>
    <row r="284" ht="15.75" customHeight="1">
      <c r="J284" s="15"/>
      <c r="K284" s="188"/>
      <c r="L284" s="15"/>
      <c r="M284" s="15"/>
      <c r="N284" s="15"/>
      <c r="O284" s="15"/>
      <c r="P284" s="15"/>
      <c r="Q284" s="15"/>
      <c r="R284" s="15"/>
      <c r="S284" s="15"/>
      <c r="T284" s="15"/>
      <c r="U284" s="15"/>
      <c r="V284" s="15"/>
      <c r="W284" s="15"/>
      <c r="X284" s="14"/>
      <c r="Y284" s="14"/>
      <c r="Z284" s="15"/>
      <c r="AA284" s="14"/>
      <c r="AB284" s="3"/>
      <c r="AC284" s="3"/>
      <c r="AD284" s="3"/>
      <c r="AE284" s="3"/>
      <c r="AF284" s="3"/>
    </row>
    <row r="285" ht="15.75" customHeight="1">
      <c r="J285" s="15"/>
      <c r="K285" s="188"/>
      <c r="L285" s="15"/>
      <c r="M285" s="15"/>
      <c r="N285" s="15"/>
      <c r="O285" s="15"/>
      <c r="P285" s="15"/>
      <c r="Q285" s="15"/>
      <c r="R285" s="15"/>
      <c r="S285" s="15"/>
      <c r="T285" s="15"/>
      <c r="U285" s="15"/>
      <c r="V285" s="15"/>
      <c r="W285" s="15"/>
      <c r="X285" s="14"/>
      <c r="Y285" s="14"/>
      <c r="Z285" s="15"/>
      <c r="AA285" s="14"/>
      <c r="AB285" s="3"/>
      <c r="AC285" s="3"/>
      <c r="AD285" s="3"/>
      <c r="AE285" s="3"/>
      <c r="AF285" s="3"/>
    </row>
    <row r="286" ht="15.75" customHeight="1">
      <c r="J286" s="15"/>
      <c r="K286" s="188"/>
      <c r="L286" s="15"/>
      <c r="M286" s="15"/>
      <c r="N286" s="15"/>
      <c r="O286" s="15"/>
      <c r="P286" s="15"/>
      <c r="Q286" s="15"/>
      <c r="R286" s="15"/>
      <c r="S286" s="15"/>
      <c r="T286" s="15"/>
      <c r="U286" s="15"/>
      <c r="V286" s="15"/>
      <c r="W286" s="15"/>
      <c r="X286" s="14"/>
      <c r="Y286" s="14"/>
      <c r="Z286" s="15"/>
      <c r="AA286" s="14"/>
      <c r="AB286" s="3"/>
      <c r="AC286" s="3"/>
      <c r="AD286" s="3"/>
      <c r="AE286" s="3"/>
      <c r="AF286" s="3"/>
    </row>
    <row r="287" ht="15.75" customHeight="1">
      <c r="J287" s="15"/>
      <c r="K287" s="188"/>
      <c r="L287" s="15"/>
      <c r="M287" s="15"/>
      <c r="N287" s="15"/>
      <c r="O287" s="15"/>
      <c r="P287" s="15"/>
      <c r="Q287" s="15"/>
      <c r="R287" s="15"/>
      <c r="S287" s="15"/>
      <c r="T287" s="15"/>
      <c r="U287" s="15"/>
      <c r="V287" s="15"/>
      <c r="W287" s="15"/>
      <c r="X287" s="14"/>
      <c r="Y287" s="14"/>
      <c r="Z287" s="15"/>
      <c r="AA287" s="14"/>
      <c r="AB287" s="3"/>
      <c r="AC287" s="3"/>
      <c r="AD287" s="3"/>
      <c r="AE287" s="3"/>
      <c r="AF287" s="3"/>
    </row>
    <row r="288" ht="15.75" customHeight="1">
      <c r="J288" s="15"/>
      <c r="K288" s="188"/>
      <c r="L288" s="15"/>
      <c r="M288" s="15"/>
      <c r="N288" s="15"/>
      <c r="O288" s="15"/>
      <c r="P288" s="15"/>
      <c r="Q288" s="15"/>
      <c r="R288" s="15"/>
      <c r="S288" s="15"/>
      <c r="T288" s="15"/>
      <c r="U288" s="15"/>
      <c r="V288" s="15"/>
      <c r="W288" s="15"/>
      <c r="X288" s="14"/>
      <c r="Y288" s="14"/>
      <c r="Z288" s="15"/>
      <c r="AA288" s="14"/>
      <c r="AB288" s="3"/>
      <c r="AC288" s="3"/>
      <c r="AD288" s="3"/>
      <c r="AE288" s="3"/>
      <c r="AF288" s="3"/>
    </row>
    <row r="289" ht="15.75" customHeight="1">
      <c r="J289" s="15"/>
      <c r="K289" s="188"/>
      <c r="L289" s="15"/>
      <c r="M289" s="15"/>
      <c r="N289" s="15"/>
      <c r="O289" s="15"/>
      <c r="P289" s="15"/>
      <c r="Q289" s="15"/>
      <c r="R289" s="15"/>
      <c r="S289" s="15"/>
      <c r="T289" s="15"/>
      <c r="U289" s="15"/>
      <c r="V289" s="15"/>
      <c r="W289" s="15"/>
      <c r="X289" s="14"/>
      <c r="Y289" s="14"/>
      <c r="Z289" s="15"/>
      <c r="AA289" s="14"/>
      <c r="AB289" s="3"/>
      <c r="AC289" s="3"/>
      <c r="AD289" s="3"/>
      <c r="AE289" s="3"/>
      <c r="AF289" s="3"/>
    </row>
    <row r="290" ht="15.75" customHeight="1">
      <c r="J290" s="15"/>
      <c r="K290" s="188"/>
      <c r="L290" s="15"/>
      <c r="M290" s="15"/>
      <c r="N290" s="15"/>
      <c r="O290" s="15"/>
      <c r="P290" s="15"/>
      <c r="Q290" s="15"/>
      <c r="R290" s="15"/>
      <c r="S290" s="15"/>
      <c r="T290" s="15"/>
      <c r="U290" s="15"/>
      <c r="V290" s="15"/>
      <c r="W290" s="15"/>
      <c r="X290" s="14"/>
      <c r="Y290" s="14"/>
      <c r="Z290" s="15"/>
      <c r="AA290" s="14"/>
      <c r="AB290" s="3"/>
      <c r="AC290" s="3"/>
      <c r="AD290" s="3"/>
      <c r="AE290" s="3"/>
      <c r="AF290" s="3"/>
    </row>
    <row r="291" ht="15.75" customHeight="1">
      <c r="J291" s="15"/>
      <c r="K291" s="188"/>
      <c r="L291" s="15"/>
      <c r="M291" s="15"/>
      <c r="N291" s="15"/>
      <c r="O291" s="15"/>
      <c r="P291" s="15"/>
      <c r="Q291" s="15"/>
      <c r="R291" s="15"/>
      <c r="S291" s="15"/>
      <c r="T291" s="15"/>
      <c r="U291" s="15"/>
      <c r="V291" s="15"/>
      <c r="W291" s="15"/>
      <c r="X291" s="14"/>
      <c r="Y291" s="14"/>
      <c r="Z291" s="15"/>
      <c r="AA291" s="14"/>
      <c r="AB291" s="3"/>
      <c r="AC291" s="3"/>
      <c r="AD291" s="3"/>
      <c r="AE291" s="3"/>
      <c r="AF291" s="3"/>
    </row>
    <row r="292" ht="15.75" customHeight="1">
      <c r="J292" s="15"/>
      <c r="K292" s="188"/>
      <c r="L292" s="15"/>
      <c r="M292" s="15"/>
      <c r="N292" s="15"/>
      <c r="O292" s="15"/>
      <c r="P292" s="15"/>
      <c r="Q292" s="15"/>
      <c r="R292" s="15"/>
      <c r="S292" s="15"/>
      <c r="T292" s="15"/>
      <c r="U292" s="15"/>
      <c r="V292" s="15"/>
      <c r="W292" s="15"/>
      <c r="X292" s="14"/>
      <c r="Y292" s="14"/>
      <c r="Z292" s="15"/>
      <c r="AA292" s="14"/>
      <c r="AB292" s="3"/>
      <c r="AC292" s="3"/>
      <c r="AD292" s="3"/>
      <c r="AE292" s="3"/>
      <c r="AF292" s="3"/>
    </row>
    <row r="293" ht="15.75" customHeight="1">
      <c r="J293" s="15"/>
      <c r="K293" s="188"/>
      <c r="L293" s="15"/>
      <c r="M293" s="15"/>
      <c r="N293" s="15"/>
      <c r="O293" s="15"/>
      <c r="P293" s="15"/>
      <c r="Q293" s="15"/>
      <c r="R293" s="15"/>
      <c r="S293" s="15"/>
      <c r="T293" s="15"/>
      <c r="U293" s="15"/>
      <c r="V293" s="15"/>
      <c r="W293" s="15"/>
      <c r="X293" s="14"/>
      <c r="Y293" s="14"/>
      <c r="Z293" s="15"/>
      <c r="AA293" s="14"/>
      <c r="AB293" s="3"/>
      <c r="AC293" s="3"/>
      <c r="AD293" s="3"/>
      <c r="AE293" s="3"/>
      <c r="AF293" s="3"/>
    </row>
    <row r="294" ht="15.75" customHeight="1">
      <c r="J294" s="15"/>
      <c r="K294" s="188"/>
      <c r="L294" s="15"/>
      <c r="M294" s="15"/>
      <c r="N294" s="15"/>
      <c r="O294" s="15"/>
      <c r="P294" s="15"/>
      <c r="Q294" s="15"/>
      <c r="R294" s="15"/>
      <c r="S294" s="15"/>
      <c r="T294" s="15"/>
      <c r="U294" s="15"/>
      <c r="V294" s="15"/>
      <c r="W294" s="15"/>
      <c r="X294" s="14"/>
      <c r="Y294" s="14"/>
      <c r="Z294" s="15"/>
      <c r="AA294" s="14"/>
      <c r="AB294" s="3"/>
      <c r="AC294" s="3"/>
      <c r="AD294" s="3"/>
      <c r="AE294" s="3"/>
      <c r="AF294" s="3"/>
    </row>
    <row r="295" ht="15.75" customHeight="1">
      <c r="J295" s="15"/>
      <c r="K295" s="188"/>
      <c r="L295" s="15"/>
      <c r="M295" s="15"/>
      <c r="N295" s="15"/>
      <c r="O295" s="15"/>
      <c r="P295" s="15"/>
      <c r="Q295" s="15"/>
      <c r="R295" s="15"/>
      <c r="S295" s="15"/>
      <c r="T295" s="15"/>
      <c r="U295" s="15"/>
      <c r="V295" s="15"/>
      <c r="W295" s="15"/>
      <c r="X295" s="14"/>
      <c r="Y295" s="14"/>
      <c r="Z295" s="15"/>
      <c r="AA295" s="14"/>
      <c r="AB295" s="3"/>
      <c r="AC295" s="3"/>
      <c r="AD295" s="3"/>
      <c r="AE295" s="3"/>
      <c r="AF295" s="3"/>
    </row>
    <row r="296" ht="15.75" customHeight="1">
      <c r="J296" s="15"/>
      <c r="K296" s="188"/>
      <c r="L296" s="15"/>
      <c r="M296" s="15"/>
      <c r="N296" s="15"/>
      <c r="O296" s="15"/>
      <c r="P296" s="15"/>
      <c r="Q296" s="15"/>
      <c r="R296" s="15"/>
      <c r="S296" s="15"/>
      <c r="T296" s="15"/>
      <c r="U296" s="15"/>
      <c r="V296" s="15"/>
      <c r="W296" s="15"/>
      <c r="X296" s="14"/>
      <c r="Y296" s="14"/>
      <c r="Z296" s="15"/>
      <c r="AA296" s="14"/>
      <c r="AB296" s="3"/>
      <c r="AC296" s="3"/>
      <c r="AD296" s="3"/>
      <c r="AE296" s="3"/>
      <c r="AF296" s="3"/>
    </row>
    <row r="297" ht="15.75" customHeight="1">
      <c r="J297" s="15"/>
      <c r="K297" s="188"/>
      <c r="L297" s="15"/>
      <c r="M297" s="15"/>
      <c r="N297" s="15"/>
      <c r="O297" s="15"/>
      <c r="P297" s="15"/>
      <c r="Q297" s="15"/>
      <c r="R297" s="15"/>
      <c r="S297" s="15"/>
      <c r="T297" s="15"/>
      <c r="U297" s="15"/>
      <c r="V297" s="15"/>
      <c r="W297" s="15"/>
      <c r="X297" s="14"/>
      <c r="Y297" s="14"/>
      <c r="Z297" s="15"/>
      <c r="AA297" s="14"/>
      <c r="AB297" s="3"/>
      <c r="AC297" s="3"/>
      <c r="AD297" s="3"/>
      <c r="AE297" s="3"/>
      <c r="AF297" s="3"/>
    </row>
    <row r="298" ht="15.75" customHeight="1">
      <c r="J298" s="15"/>
      <c r="K298" s="188"/>
      <c r="L298" s="15"/>
      <c r="M298" s="15"/>
      <c r="N298" s="15"/>
      <c r="O298" s="15"/>
      <c r="P298" s="15"/>
      <c r="Q298" s="15"/>
      <c r="R298" s="15"/>
      <c r="S298" s="15"/>
      <c r="T298" s="15"/>
      <c r="U298" s="15"/>
      <c r="V298" s="15"/>
      <c r="W298" s="15"/>
      <c r="X298" s="14"/>
      <c r="Y298" s="14"/>
      <c r="Z298" s="15"/>
      <c r="AA298" s="14"/>
      <c r="AB298" s="3"/>
      <c r="AC298" s="3"/>
      <c r="AD298" s="3"/>
      <c r="AE298" s="3"/>
      <c r="AF298" s="3"/>
    </row>
    <row r="299" ht="15.75" customHeight="1">
      <c r="J299" s="15"/>
      <c r="K299" s="188"/>
      <c r="L299" s="15"/>
      <c r="M299" s="15"/>
      <c r="N299" s="15"/>
      <c r="O299" s="15"/>
      <c r="P299" s="15"/>
      <c r="Q299" s="15"/>
      <c r="R299" s="15"/>
      <c r="S299" s="15"/>
      <c r="T299" s="15"/>
      <c r="U299" s="15"/>
      <c r="V299" s="15"/>
      <c r="W299" s="15"/>
      <c r="X299" s="14"/>
      <c r="Y299" s="14"/>
      <c r="Z299" s="15"/>
      <c r="AA299" s="14"/>
      <c r="AB299" s="3"/>
      <c r="AC299" s="3"/>
      <c r="AD299" s="3"/>
      <c r="AE299" s="3"/>
      <c r="AF299" s="3"/>
    </row>
    <row r="300" ht="15.75" customHeight="1">
      <c r="J300" s="15"/>
      <c r="K300" s="188"/>
      <c r="L300" s="15"/>
      <c r="M300" s="15"/>
      <c r="N300" s="15"/>
      <c r="O300" s="15"/>
      <c r="P300" s="15"/>
      <c r="Q300" s="15"/>
      <c r="R300" s="15"/>
      <c r="S300" s="15"/>
      <c r="T300" s="15"/>
      <c r="U300" s="15"/>
      <c r="V300" s="15"/>
      <c r="W300" s="15"/>
      <c r="X300" s="14"/>
      <c r="Y300" s="14"/>
      <c r="Z300" s="15"/>
      <c r="AA300" s="14"/>
      <c r="AB300" s="3"/>
      <c r="AC300" s="3"/>
      <c r="AD300" s="3"/>
      <c r="AE300" s="3"/>
      <c r="AF300" s="3"/>
    </row>
    <row r="301" ht="15.75" customHeight="1">
      <c r="J301" s="15"/>
      <c r="K301" s="188"/>
      <c r="L301" s="15"/>
      <c r="M301" s="15"/>
      <c r="N301" s="15"/>
      <c r="O301" s="15"/>
      <c r="P301" s="15"/>
      <c r="Q301" s="15"/>
      <c r="R301" s="15"/>
      <c r="S301" s="15"/>
      <c r="T301" s="15"/>
      <c r="U301" s="15"/>
      <c r="V301" s="15"/>
      <c r="W301" s="15"/>
      <c r="X301" s="14"/>
      <c r="Y301" s="14"/>
      <c r="Z301" s="15"/>
      <c r="AA301" s="14"/>
      <c r="AB301" s="3"/>
      <c r="AC301" s="3"/>
      <c r="AD301" s="3"/>
      <c r="AE301" s="3"/>
      <c r="AF301" s="3"/>
    </row>
    <row r="302" ht="15.75" customHeight="1">
      <c r="J302" s="15"/>
      <c r="K302" s="188"/>
      <c r="L302" s="15"/>
      <c r="M302" s="15"/>
      <c r="N302" s="15"/>
      <c r="O302" s="15"/>
      <c r="P302" s="15"/>
      <c r="Q302" s="15"/>
      <c r="R302" s="15"/>
      <c r="S302" s="15"/>
      <c r="T302" s="15"/>
      <c r="U302" s="15"/>
      <c r="V302" s="15"/>
      <c r="W302" s="15"/>
      <c r="X302" s="14"/>
      <c r="Y302" s="14"/>
      <c r="Z302" s="15"/>
      <c r="AA302" s="14"/>
      <c r="AB302" s="3"/>
      <c r="AC302" s="3"/>
      <c r="AD302" s="3"/>
      <c r="AE302" s="3"/>
      <c r="AF302" s="3"/>
    </row>
    <row r="303" ht="15.75" customHeight="1">
      <c r="J303" s="15"/>
      <c r="K303" s="188"/>
      <c r="L303" s="15"/>
      <c r="M303" s="15"/>
      <c r="N303" s="15"/>
      <c r="O303" s="15"/>
      <c r="P303" s="15"/>
      <c r="Q303" s="15"/>
      <c r="R303" s="15"/>
      <c r="S303" s="15"/>
      <c r="T303" s="15"/>
      <c r="U303" s="15"/>
      <c r="V303" s="15"/>
      <c r="W303" s="15"/>
      <c r="X303" s="14"/>
      <c r="Y303" s="14"/>
      <c r="Z303" s="15"/>
      <c r="AA303" s="14"/>
      <c r="AB303" s="3"/>
      <c r="AC303" s="3"/>
      <c r="AD303" s="3"/>
      <c r="AE303" s="3"/>
      <c r="AF303" s="3"/>
    </row>
    <row r="304" ht="15.75" customHeight="1">
      <c r="J304" s="15"/>
      <c r="K304" s="188"/>
      <c r="L304" s="15"/>
      <c r="M304" s="15"/>
      <c r="N304" s="15"/>
      <c r="O304" s="15"/>
      <c r="P304" s="15"/>
      <c r="Q304" s="15"/>
      <c r="R304" s="15"/>
      <c r="S304" s="15"/>
      <c r="T304" s="15"/>
      <c r="U304" s="15"/>
      <c r="V304" s="15"/>
      <c r="W304" s="15"/>
      <c r="X304" s="14"/>
      <c r="Y304" s="14"/>
      <c r="Z304" s="15"/>
      <c r="AA304" s="14"/>
      <c r="AB304" s="3"/>
      <c r="AC304" s="3"/>
      <c r="AD304" s="3"/>
      <c r="AE304" s="3"/>
      <c r="AF304" s="3"/>
    </row>
    <row r="305" ht="15.75" customHeight="1">
      <c r="J305" s="15"/>
      <c r="K305" s="188"/>
      <c r="L305" s="15"/>
      <c r="M305" s="15"/>
      <c r="N305" s="15"/>
      <c r="O305" s="15"/>
      <c r="P305" s="15"/>
      <c r="Q305" s="15"/>
      <c r="R305" s="15"/>
      <c r="S305" s="15"/>
      <c r="T305" s="15"/>
      <c r="U305" s="15"/>
      <c r="V305" s="15"/>
      <c r="W305" s="15"/>
      <c r="X305" s="14"/>
      <c r="Y305" s="14"/>
      <c r="Z305" s="15"/>
      <c r="AA305" s="14"/>
      <c r="AB305" s="3"/>
      <c r="AC305" s="3"/>
      <c r="AD305" s="3"/>
      <c r="AE305" s="3"/>
      <c r="AF305" s="3"/>
    </row>
    <row r="306" ht="15.75" customHeight="1">
      <c r="J306" s="15"/>
      <c r="K306" s="188"/>
      <c r="L306" s="15"/>
      <c r="M306" s="15"/>
      <c r="N306" s="15"/>
      <c r="O306" s="15"/>
      <c r="P306" s="15"/>
      <c r="Q306" s="15"/>
      <c r="R306" s="15"/>
      <c r="S306" s="15"/>
      <c r="T306" s="15"/>
      <c r="U306" s="15"/>
      <c r="V306" s="15"/>
      <c r="W306" s="15"/>
      <c r="X306" s="14"/>
      <c r="Y306" s="14"/>
      <c r="Z306" s="15"/>
      <c r="AA306" s="14"/>
      <c r="AB306" s="3"/>
      <c r="AC306" s="3"/>
      <c r="AD306" s="3"/>
      <c r="AE306" s="3"/>
      <c r="AF306" s="3"/>
    </row>
    <row r="307" ht="15.75" customHeight="1">
      <c r="J307" s="15"/>
      <c r="K307" s="188"/>
      <c r="L307" s="15"/>
      <c r="M307" s="15"/>
      <c r="N307" s="15"/>
      <c r="O307" s="15"/>
      <c r="P307" s="15"/>
      <c r="Q307" s="15"/>
      <c r="R307" s="15"/>
      <c r="S307" s="15"/>
      <c r="T307" s="15"/>
      <c r="U307" s="15"/>
      <c r="V307" s="15"/>
      <c r="W307" s="15"/>
      <c r="X307" s="14"/>
      <c r="Y307" s="14"/>
      <c r="Z307" s="15"/>
      <c r="AA307" s="14"/>
      <c r="AB307" s="3"/>
      <c r="AC307" s="3"/>
      <c r="AD307" s="3"/>
      <c r="AE307" s="3"/>
      <c r="AF307" s="3"/>
    </row>
    <row r="308" ht="15.75" customHeight="1">
      <c r="J308" s="15"/>
      <c r="K308" s="188"/>
      <c r="L308" s="15"/>
      <c r="M308" s="15"/>
      <c r="N308" s="15"/>
      <c r="O308" s="15"/>
      <c r="P308" s="15"/>
      <c r="Q308" s="15"/>
      <c r="R308" s="15"/>
      <c r="S308" s="15"/>
      <c r="T308" s="15"/>
      <c r="U308" s="15"/>
      <c r="V308" s="15"/>
      <c r="W308" s="15"/>
      <c r="X308" s="14"/>
      <c r="Y308" s="14"/>
      <c r="Z308" s="15"/>
      <c r="AA308" s="14"/>
      <c r="AB308" s="3"/>
      <c r="AC308" s="3"/>
      <c r="AD308" s="3"/>
      <c r="AE308" s="3"/>
      <c r="AF308" s="3"/>
    </row>
    <row r="309" ht="15.75" customHeight="1">
      <c r="J309" s="15"/>
      <c r="K309" s="188"/>
      <c r="L309" s="15"/>
      <c r="M309" s="15"/>
      <c r="N309" s="15"/>
      <c r="O309" s="15"/>
      <c r="P309" s="15"/>
      <c r="Q309" s="15"/>
      <c r="R309" s="15"/>
      <c r="S309" s="15"/>
      <c r="T309" s="15"/>
      <c r="U309" s="15"/>
      <c r="V309" s="15"/>
      <c r="W309" s="15"/>
      <c r="X309" s="14"/>
      <c r="Y309" s="14"/>
      <c r="Z309" s="15"/>
      <c r="AA309" s="14"/>
      <c r="AB309" s="3"/>
      <c r="AC309" s="3"/>
      <c r="AD309" s="3"/>
      <c r="AE309" s="3"/>
      <c r="AF309" s="3"/>
    </row>
    <row r="310" ht="15.75" customHeight="1">
      <c r="J310" s="15"/>
      <c r="K310" s="188"/>
      <c r="L310" s="15"/>
      <c r="M310" s="15"/>
      <c r="N310" s="15"/>
      <c r="O310" s="15"/>
      <c r="P310" s="15"/>
      <c r="Q310" s="15"/>
      <c r="R310" s="15"/>
      <c r="S310" s="15"/>
      <c r="T310" s="15"/>
      <c r="U310" s="15"/>
      <c r="V310" s="15"/>
      <c r="W310" s="15"/>
      <c r="X310" s="14"/>
      <c r="Y310" s="14"/>
      <c r="Z310" s="15"/>
      <c r="AA310" s="14"/>
      <c r="AB310" s="3"/>
      <c r="AC310" s="3"/>
      <c r="AD310" s="3"/>
      <c r="AE310" s="3"/>
      <c r="AF310" s="3"/>
    </row>
    <row r="311" ht="15.75" customHeight="1">
      <c r="J311" s="15"/>
      <c r="K311" s="188"/>
      <c r="L311" s="15"/>
      <c r="M311" s="15"/>
      <c r="N311" s="15"/>
      <c r="O311" s="15"/>
      <c r="P311" s="15"/>
      <c r="Q311" s="15"/>
      <c r="R311" s="15"/>
      <c r="S311" s="15"/>
      <c r="T311" s="15"/>
      <c r="U311" s="15"/>
      <c r="V311" s="15"/>
      <c r="W311" s="15"/>
      <c r="X311" s="14"/>
      <c r="Y311" s="14"/>
      <c r="Z311" s="15"/>
      <c r="AA311" s="14"/>
      <c r="AB311" s="3"/>
      <c r="AC311" s="3"/>
      <c r="AD311" s="3"/>
      <c r="AE311" s="3"/>
      <c r="AF311" s="3"/>
    </row>
    <row r="312" ht="15.75" customHeight="1">
      <c r="J312" s="15"/>
      <c r="K312" s="188"/>
      <c r="L312" s="15"/>
      <c r="M312" s="15"/>
      <c r="N312" s="15"/>
      <c r="O312" s="15"/>
      <c r="P312" s="15"/>
      <c r="Q312" s="15"/>
      <c r="R312" s="15"/>
      <c r="S312" s="15"/>
      <c r="T312" s="15"/>
      <c r="U312" s="15"/>
      <c r="V312" s="15"/>
      <c r="W312" s="15"/>
      <c r="X312" s="14"/>
      <c r="Y312" s="14"/>
      <c r="Z312" s="15"/>
      <c r="AA312" s="14"/>
      <c r="AB312" s="3"/>
      <c r="AC312" s="3"/>
      <c r="AD312" s="3"/>
      <c r="AE312" s="3"/>
      <c r="AF312" s="3"/>
    </row>
    <row r="313" ht="15.75" customHeight="1">
      <c r="J313" s="15"/>
      <c r="K313" s="188"/>
      <c r="L313" s="15"/>
      <c r="M313" s="15"/>
      <c r="N313" s="15"/>
      <c r="O313" s="15"/>
      <c r="P313" s="15"/>
      <c r="Q313" s="15"/>
      <c r="R313" s="15"/>
      <c r="S313" s="15"/>
      <c r="T313" s="15"/>
      <c r="U313" s="15"/>
      <c r="V313" s="15"/>
      <c r="W313" s="15"/>
      <c r="X313" s="14"/>
      <c r="Y313" s="14"/>
      <c r="Z313" s="15"/>
      <c r="AA313" s="14"/>
      <c r="AB313" s="3"/>
      <c r="AC313" s="3"/>
      <c r="AD313" s="3"/>
      <c r="AE313" s="3"/>
      <c r="AF313" s="3"/>
    </row>
    <row r="314" ht="15.75" customHeight="1">
      <c r="J314" s="15"/>
      <c r="K314" s="188"/>
      <c r="L314" s="15"/>
      <c r="M314" s="15"/>
      <c r="N314" s="15"/>
      <c r="O314" s="15"/>
      <c r="P314" s="15"/>
      <c r="Q314" s="15"/>
      <c r="R314" s="15"/>
      <c r="S314" s="15"/>
      <c r="T314" s="15"/>
      <c r="U314" s="15"/>
      <c r="V314" s="15"/>
      <c r="W314" s="15"/>
      <c r="X314" s="14"/>
      <c r="Y314" s="14"/>
      <c r="Z314" s="15"/>
      <c r="AA314" s="14"/>
      <c r="AB314" s="3"/>
      <c r="AC314" s="3"/>
      <c r="AD314" s="3"/>
      <c r="AE314" s="3"/>
      <c r="AF314" s="3"/>
    </row>
    <row r="315" ht="15.75" customHeight="1">
      <c r="J315" s="15"/>
      <c r="K315" s="188"/>
      <c r="L315" s="15"/>
      <c r="M315" s="15"/>
      <c r="N315" s="15"/>
      <c r="O315" s="15"/>
      <c r="P315" s="15"/>
      <c r="Q315" s="15"/>
      <c r="R315" s="15"/>
      <c r="S315" s="15"/>
      <c r="T315" s="15"/>
      <c r="U315" s="15"/>
      <c r="V315" s="15"/>
      <c r="W315" s="15"/>
      <c r="X315" s="14"/>
      <c r="Y315" s="14"/>
      <c r="Z315" s="15"/>
      <c r="AA315" s="14"/>
      <c r="AB315" s="3"/>
      <c r="AC315" s="3"/>
      <c r="AD315" s="3"/>
      <c r="AE315" s="3"/>
      <c r="AF315" s="3"/>
    </row>
    <row r="316" ht="15.75" customHeight="1">
      <c r="J316" s="15"/>
      <c r="K316" s="188"/>
      <c r="L316" s="15"/>
      <c r="M316" s="15"/>
      <c r="N316" s="15"/>
      <c r="O316" s="15"/>
      <c r="P316" s="15"/>
      <c r="Q316" s="15"/>
      <c r="R316" s="15"/>
      <c r="S316" s="15"/>
      <c r="T316" s="15"/>
      <c r="U316" s="15"/>
      <c r="V316" s="15"/>
      <c r="W316" s="15"/>
      <c r="X316" s="14"/>
      <c r="Y316" s="14"/>
      <c r="Z316" s="15"/>
      <c r="AA316" s="14"/>
      <c r="AB316" s="3"/>
      <c r="AC316" s="3"/>
      <c r="AD316" s="3"/>
      <c r="AE316" s="3"/>
      <c r="AF316" s="3"/>
    </row>
    <row r="317" ht="15.75" customHeight="1">
      <c r="J317" s="15"/>
      <c r="K317" s="188"/>
      <c r="L317" s="15"/>
      <c r="M317" s="15"/>
      <c r="N317" s="15"/>
      <c r="O317" s="15"/>
      <c r="P317" s="15"/>
      <c r="Q317" s="15"/>
      <c r="R317" s="15"/>
      <c r="S317" s="15"/>
      <c r="T317" s="15"/>
      <c r="U317" s="15"/>
      <c r="V317" s="15"/>
      <c r="W317" s="15"/>
      <c r="X317" s="14"/>
      <c r="Y317" s="14"/>
      <c r="Z317" s="15"/>
      <c r="AA317" s="14"/>
      <c r="AB317" s="3"/>
      <c r="AC317" s="3"/>
      <c r="AD317" s="3"/>
      <c r="AE317" s="3"/>
      <c r="AF317" s="3"/>
    </row>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mergeCells count="1">
    <mergeCell ref="G1:I1"/>
  </mergeCells>
  <printOptions/>
  <pageMargins bottom="0.787401575" footer="0.0" header="0.0" left="0.511811024" right="0.511811024" top="0.7874015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hidden="1" min="1" max="1" width="1.43"/>
    <col customWidth="1" hidden="1" min="2" max="2" width="3.0"/>
    <col customWidth="1" hidden="1" min="3" max="3" width="20.29"/>
    <col customWidth="1" hidden="1" min="4" max="5" width="8.86"/>
    <col customWidth="1" hidden="1" min="6" max="6" width="13.43"/>
    <col customWidth="1" hidden="1" min="7" max="7" width="13.29"/>
    <col customWidth="1" hidden="1" min="8" max="8" width="7.43"/>
    <col customWidth="1" hidden="1" min="9" max="9" width="6.43"/>
    <col customWidth="1" hidden="1" min="10" max="10" width="21.0"/>
    <col customWidth="1" min="11" max="11" width="8.29"/>
    <col customWidth="1" min="12" max="12" width="15.14"/>
    <col customWidth="1" min="13" max="16" width="15.0"/>
    <col customWidth="1" min="17" max="23" width="16.43"/>
    <col customWidth="1" min="24" max="25" width="16.14"/>
    <col customWidth="1" min="26" max="26" width="14.86"/>
    <col customWidth="1" min="27" max="27" width="13.0"/>
    <col customWidth="1" min="28" max="28" width="11.57"/>
    <col customWidth="1" min="29" max="29" width="12.29"/>
    <col customWidth="1" min="30" max="31" width="11.57"/>
    <col customWidth="1" min="32" max="36" width="9.14"/>
  </cols>
  <sheetData>
    <row r="1" ht="15.75" customHeight="1">
      <c r="A1" s="1"/>
      <c r="B1" s="2"/>
      <c r="C1" s="1"/>
      <c r="D1" s="1"/>
      <c r="E1" s="3"/>
      <c r="F1" s="4"/>
      <c r="G1" s="399">
        <v>2025.0</v>
      </c>
      <c r="H1" s="6"/>
      <c r="I1" s="7"/>
      <c r="J1" s="8"/>
      <c r="K1" s="9"/>
      <c r="L1" s="12"/>
      <c r="M1" s="149"/>
      <c r="N1" s="11"/>
      <c r="O1" s="11"/>
      <c r="P1" s="11"/>
      <c r="Q1" s="11"/>
      <c r="R1" s="11"/>
      <c r="S1" s="11"/>
      <c r="T1" s="11"/>
      <c r="U1" s="11"/>
      <c r="V1" s="11"/>
      <c r="W1" s="12"/>
      <c r="X1" s="13"/>
      <c r="Y1" s="13"/>
      <c r="Z1" s="14"/>
      <c r="AA1" s="15"/>
      <c r="AB1" s="3"/>
      <c r="AC1" s="3"/>
      <c r="AD1" s="3"/>
      <c r="AE1" s="3"/>
      <c r="AF1" s="3"/>
      <c r="AG1" s="3"/>
      <c r="AH1" s="3"/>
      <c r="AI1" s="3"/>
      <c r="AJ1" s="3"/>
    </row>
    <row r="2" ht="15.75" customHeight="1">
      <c r="A2" s="1"/>
      <c r="B2" s="2"/>
      <c r="C2" s="16" t="s">
        <v>1</v>
      </c>
      <c r="D2" s="17" t="s">
        <v>2</v>
      </c>
      <c r="E2" s="18" t="s">
        <v>3</v>
      </c>
      <c r="F2" s="400" t="s">
        <v>119</v>
      </c>
      <c r="G2" s="401" t="s">
        <v>5</v>
      </c>
      <c r="H2" s="20" t="s">
        <v>6</v>
      </c>
      <c r="I2" s="20" t="s">
        <v>7</v>
      </c>
      <c r="J2" s="21"/>
      <c r="K2" s="22"/>
      <c r="L2" s="402"/>
      <c r="M2" s="402"/>
      <c r="N2" s="24"/>
      <c r="O2" s="24"/>
      <c r="P2" s="24"/>
      <c r="Q2" s="160"/>
      <c r="R2" s="24"/>
      <c r="S2" s="24"/>
      <c r="T2" s="24"/>
      <c r="U2" s="24"/>
      <c r="V2" s="24"/>
      <c r="W2" s="12"/>
      <c r="X2" s="403"/>
      <c r="Y2" s="122">
        <v>2027.0</v>
      </c>
      <c r="Z2" s="346">
        <v>2026.0</v>
      </c>
      <c r="AA2" s="188" t="s">
        <v>118</v>
      </c>
      <c r="AB2" s="188" t="s">
        <v>120</v>
      </c>
      <c r="AC2" s="188">
        <v>2028.0</v>
      </c>
      <c r="AD2" s="3"/>
      <c r="AE2" s="3"/>
      <c r="AF2" s="3"/>
      <c r="AG2" s="3"/>
      <c r="AH2" s="3"/>
      <c r="AI2" s="3"/>
      <c r="AJ2" s="3"/>
    </row>
    <row r="3">
      <c r="A3" s="1"/>
      <c r="B3" s="26">
        <v>1.0</v>
      </c>
      <c r="C3" s="27" t="s">
        <v>8</v>
      </c>
      <c r="D3" s="28"/>
      <c r="E3" s="29"/>
      <c r="F3" s="30"/>
      <c r="G3" s="404">
        <v>3.442912982002714E7</v>
      </c>
      <c r="H3" s="32">
        <v>329237.0</v>
      </c>
      <c r="I3" s="33">
        <v>104.57248067509771</v>
      </c>
      <c r="J3" s="405" t="s">
        <v>9</v>
      </c>
      <c r="K3" s="342">
        <v>7.0</v>
      </c>
      <c r="L3" s="344" t="s">
        <v>10</v>
      </c>
      <c r="M3" s="345" t="s">
        <v>14</v>
      </c>
      <c r="N3" s="344" t="s">
        <v>18</v>
      </c>
      <c r="O3" s="345" t="s">
        <v>22</v>
      </c>
      <c r="P3" s="344" t="s">
        <v>26</v>
      </c>
      <c r="Q3" s="345" t="s">
        <v>30</v>
      </c>
      <c r="R3" s="344" t="s">
        <v>34</v>
      </c>
      <c r="S3" s="345" t="s">
        <v>38</v>
      </c>
      <c r="T3" s="344" t="s">
        <v>42</v>
      </c>
      <c r="U3" s="345" t="s">
        <v>46</v>
      </c>
      <c r="V3" s="344" t="s">
        <v>50</v>
      </c>
      <c r="W3" s="345" t="s">
        <v>54</v>
      </c>
      <c r="X3" s="143"/>
      <c r="Y3" s="122">
        <v>2027.0</v>
      </c>
      <c r="Z3" s="346">
        <v>2026.0</v>
      </c>
      <c r="AA3" s="49" t="s">
        <v>60</v>
      </c>
      <c r="AB3" s="3"/>
      <c r="AC3" s="3"/>
      <c r="AD3" s="3"/>
      <c r="AE3" s="3"/>
      <c r="AF3" s="3"/>
      <c r="AG3" s="3"/>
      <c r="AH3" s="3"/>
      <c r="AI3" s="3"/>
      <c r="AJ3" s="3"/>
    </row>
    <row r="4">
      <c r="A4" s="1"/>
      <c r="B4" s="26"/>
      <c r="C4" s="27"/>
      <c r="D4" s="28"/>
      <c r="E4" s="29"/>
      <c r="F4" s="30"/>
      <c r="G4" s="404"/>
      <c r="H4" s="32"/>
      <c r="I4" s="33"/>
      <c r="J4" s="50" t="s">
        <v>61</v>
      </c>
      <c r="K4" s="347"/>
      <c r="L4" s="348">
        <v>0.08</v>
      </c>
      <c r="M4" s="348">
        <v>0.04</v>
      </c>
      <c r="N4" s="348">
        <v>0.05</v>
      </c>
      <c r="O4" s="348">
        <v>0.06</v>
      </c>
      <c r="P4" s="348">
        <v>0.06</v>
      </c>
      <c r="Q4" s="348">
        <v>0.06</v>
      </c>
      <c r="R4" s="348">
        <v>0.07</v>
      </c>
      <c r="S4" s="348">
        <v>0.08</v>
      </c>
      <c r="T4" s="348">
        <v>0.1</v>
      </c>
      <c r="U4" s="348">
        <v>0.12</v>
      </c>
      <c r="V4" s="348">
        <v>0.14</v>
      </c>
      <c r="W4" s="348">
        <v>0.14</v>
      </c>
      <c r="X4" s="125"/>
      <c r="Y4" s="165">
        <f>SUM(L4:W4)</f>
        <v>1</v>
      </c>
      <c r="Z4" s="406">
        <v>1.0</v>
      </c>
      <c r="AA4" s="64"/>
      <c r="AB4" s="3"/>
      <c r="AC4" s="3"/>
      <c r="AD4" s="3"/>
      <c r="AE4" s="3"/>
      <c r="AF4" s="3"/>
      <c r="AG4" s="3"/>
      <c r="AH4" s="3"/>
      <c r="AI4" s="3"/>
      <c r="AJ4" s="3"/>
    </row>
    <row r="5">
      <c r="A5" s="1"/>
      <c r="B5" s="26"/>
      <c r="C5" s="27"/>
      <c r="D5" s="28"/>
      <c r="E5" s="29"/>
      <c r="F5" s="30"/>
      <c r="G5" s="404"/>
      <c r="H5" s="32"/>
      <c r="I5" s="33"/>
      <c r="J5" s="50" t="s">
        <v>63</v>
      </c>
      <c r="K5" s="347"/>
      <c r="L5" s="66">
        <f t="shared" ref="L5:W5" si="1">($Y$5)*L4</f>
        <v>5200000</v>
      </c>
      <c r="M5" s="66">
        <f t="shared" si="1"/>
        <v>2600000</v>
      </c>
      <c r="N5" s="66">
        <f t="shared" si="1"/>
        <v>3250000</v>
      </c>
      <c r="O5" s="66">
        <f t="shared" si="1"/>
        <v>3900000</v>
      </c>
      <c r="P5" s="66">
        <f t="shared" si="1"/>
        <v>3900000</v>
      </c>
      <c r="Q5" s="66">
        <f t="shared" si="1"/>
        <v>3900000</v>
      </c>
      <c r="R5" s="66">
        <f t="shared" si="1"/>
        <v>4550000</v>
      </c>
      <c r="S5" s="66">
        <f t="shared" si="1"/>
        <v>5200000</v>
      </c>
      <c r="T5" s="66">
        <f t="shared" si="1"/>
        <v>6500000</v>
      </c>
      <c r="U5" s="66">
        <f t="shared" si="1"/>
        <v>7800000</v>
      </c>
      <c r="V5" s="66">
        <f t="shared" si="1"/>
        <v>9100000</v>
      </c>
      <c r="W5" s="66">
        <f t="shared" si="1"/>
        <v>9100000</v>
      </c>
      <c r="X5" s="75"/>
      <c r="Y5" s="166">
        <v>6.5E7</v>
      </c>
      <c r="Z5" s="350">
        <v>5.0E7</v>
      </c>
      <c r="AA5" s="78">
        <f t="shared" ref="AA5:AA7" si="3">Y5/Z5-1</f>
        <v>0.3</v>
      </c>
      <c r="AB5" s="147">
        <v>0.03</v>
      </c>
      <c r="AC5" s="4">
        <f>Y5+AB5*Y5</f>
        <v>66950000</v>
      </c>
      <c r="AD5" s="3"/>
      <c r="AE5" s="3"/>
      <c r="AF5" s="3"/>
      <c r="AG5" s="3"/>
      <c r="AH5" s="3"/>
      <c r="AI5" s="3"/>
      <c r="AJ5" s="3"/>
    </row>
    <row r="6">
      <c r="A6" s="1"/>
      <c r="B6" s="26"/>
      <c r="C6" s="27"/>
      <c r="D6" s="28"/>
      <c r="E6" s="29"/>
      <c r="F6" s="30"/>
      <c r="G6" s="404"/>
      <c r="H6" s="32"/>
      <c r="I6" s="33"/>
      <c r="J6" s="50" t="s">
        <v>64</v>
      </c>
      <c r="K6" s="351">
        <v>90.0</v>
      </c>
      <c r="L6" s="81">
        <f t="shared" ref="L6:W6" si="2">L5/$K$6</f>
        <v>57777.77778</v>
      </c>
      <c r="M6" s="81">
        <f t="shared" si="2"/>
        <v>28888.88889</v>
      </c>
      <c r="N6" s="81">
        <f t="shared" si="2"/>
        <v>36111.11111</v>
      </c>
      <c r="O6" s="81">
        <f t="shared" si="2"/>
        <v>43333.33333</v>
      </c>
      <c r="P6" s="81">
        <f t="shared" si="2"/>
        <v>43333.33333</v>
      </c>
      <c r="Q6" s="81">
        <f t="shared" si="2"/>
        <v>43333.33333</v>
      </c>
      <c r="R6" s="81">
        <f t="shared" si="2"/>
        <v>50555.55556</v>
      </c>
      <c r="S6" s="81">
        <f t="shared" si="2"/>
        <v>57777.77778</v>
      </c>
      <c r="T6" s="81">
        <f t="shared" si="2"/>
        <v>72222.22222</v>
      </c>
      <c r="U6" s="81">
        <f t="shared" si="2"/>
        <v>86666.66667</v>
      </c>
      <c r="V6" s="81">
        <f t="shared" si="2"/>
        <v>101111.1111</v>
      </c>
      <c r="W6" s="81">
        <f t="shared" si="2"/>
        <v>101111.1111</v>
      </c>
      <c r="X6" s="87"/>
      <c r="Y6" s="352">
        <f t="shared" ref="Y6:Y7" si="5">SUM(L6:W6)</f>
        <v>722222.2222</v>
      </c>
      <c r="Z6" s="353">
        <v>557692.0555555556</v>
      </c>
      <c r="AA6" s="78">
        <f t="shared" si="3"/>
        <v>0.2950197426</v>
      </c>
      <c r="AB6" s="3"/>
      <c r="AC6" s="3"/>
      <c r="AD6" s="3"/>
      <c r="AE6" s="3"/>
      <c r="AF6" s="3"/>
      <c r="AG6" s="3"/>
      <c r="AH6" s="3"/>
      <c r="AI6" s="3"/>
      <c r="AJ6" s="3"/>
    </row>
    <row r="7">
      <c r="A7" s="1"/>
      <c r="B7" s="26"/>
      <c r="C7" s="27"/>
      <c r="D7" s="28"/>
      <c r="E7" s="29"/>
      <c r="F7" s="30"/>
      <c r="G7" s="404"/>
      <c r="H7" s="32"/>
      <c r="I7" s="33"/>
      <c r="J7" s="91" t="s">
        <v>66</v>
      </c>
      <c r="K7" s="354">
        <v>0.049</v>
      </c>
      <c r="L7" s="97">
        <f t="shared" ref="L7:W7" si="4">L5*$K$7</f>
        <v>254800</v>
      </c>
      <c r="M7" s="97">
        <f t="shared" si="4"/>
        <v>127400</v>
      </c>
      <c r="N7" s="97">
        <f t="shared" si="4"/>
        <v>159250</v>
      </c>
      <c r="O7" s="97">
        <f t="shared" si="4"/>
        <v>191100</v>
      </c>
      <c r="P7" s="97">
        <f t="shared" si="4"/>
        <v>191100</v>
      </c>
      <c r="Q7" s="97">
        <f t="shared" si="4"/>
        <v>191100</v>
      </c>
      <c r="R7" s="97">
        <f t="shared" si="4"/>
        <v>222950</v>
      </c>
      <c r="S7" s="97">
        <f t="shared" si="4"/>
        <v>254800</v>
      </c>
      <c r="T7" s="97">
        <f t="shared" si="4"/>
        <v>318500</v>
      </c>
      <c r="U7" s="97">
        <f t="shared" si="4"/>
        <v>382200</v>
      </c>
      <c r="V7" s="97">
        <f t="shared" si="4"/>
        <v>445900</v>
      </c>
      <c r="W7" s="97">
        <f t="shared" si="4"/>
        <v>445900</v>
      </c>
      <c r="X7" s="101"/>
      <c r="Y7" s="169">
        <f t="shared" si="5"/>
        <v>3185000</v>
      </c>
      <c r="Z7" s="355">
        <v>2450000.0000000005</v>
      </c>
      <c r="AA7" s="78">
        <f t="shared" si="3"/>
        <v>0.3</v>
      </c>
      <c r="AB7" s="3"/>
      <c r="AC7" s="3"/>
      <c r="AD7" s="3"/>
      <c r="AE7" s="3"/>
      <c r="AF7" s="3"/>
      <c r="AG7" s="3"/>
      <c r="AH7" s="3"/>
      <c r="AI7" s="3"/>
      <c r="AJ7" s="3"/>
    </row>
    <row r="8">
      <c r="A8" s="1"/>
      <c r="B8" s="26"/>
      <c r="C8" s="27"/>
      <c r="D8" s="28"/>
      <c r="E8" s="29"/>
      <c r="F8" s="30"/>
      <c r="G8" s="404"/>
      <c r="H8" s="32"/>
      <c r="I8" s="33"/>
      <c r="J8" s="407"/>
      <c r="K8" s="113"/>
      <c r="L8" s="114"/>
      <c r="M8" s="114"/>
      <c r="N8" s="114"/>
      <c r="O8" s="114"/>
      <c r="P8" s="114"/>
      <c r="Q8" s="114"/>
      <c r="R8" s="114"/>
      <c r="S8" s="114"/>
      <c r="T8" s="114"/>
      <c r="U8" s="114"/>
      <c r="V8" s="114"/>
      <c r="W8" s="114"/>
      <c r="X8" s="90"/>
      <c r="Y8" s="169"/>
      <c r="Z8" s="116"/>
      <c r="AA8" s="15"/>
      <c r="AB8" s="408"/>
      <c r="AC8" s="3"/>
      <c r="AD8" s="4"/>
      <c r="AE8" s="4"/>
      <c r="AF8" s="3"/>
      <c r="AG8" s="3"/>
      <c r="AH8" s="3"/>
      <c r="AI8" s="3"/>
      <c r="AJ8" s="3"/>
    </row>
    <row r="9">
      <c r="A9" s="1"/>
      <c r="B9" s="105">
        <v>2.0</v>
      </c>
      <c r="C9" s="106" t="s">
        <v>115</v>
      </c>
      <c r="D9" s="107"/>
      <c r="E9" s="108"/>
      <c r="F9" s="109"/>
      <c r="G9" s="409">
        <v>339.51</v>
      </c>
      <c r="H9" s="111">
        <v>31.0</v>
      </c>
      <c r="I9" s="112">
        <v>10.951935483870967</v>
      </c>
      <c r="J9" s="405" t="s">
        <v>67</v>
      </c>
      <c r="K9" s="342"/>
      <c r="L9" s="344" t="s">
        <v>10</v>
      </c>
      <c r="M9" s="345" t="s">
        <v>14</v>
      </c>
      <c r="N9" s="344" t="s">
        <v>18</v>
      </c>
      <c r="O9" s="345" t="s">
        <v>22</v>
      </c>
      <c r="P9" s="344" t="s">
        <v>26</v>
      </c>
      <c r="Q9" s="345" t="s">
        <v>30</v>
      </c>
      <c r="R9" s="344" t="s">
        <v>34</v>
      </c>
      <c r="S9" s="345" t="s">
        <v>38</v>
      </c>
      <c r="T9" s="344" t="s">
        <v>42</v>
      </c>
      <c r="U9" s="345" t="s">
        <v>46</v>
      </c>
      <c r="V9" s="344" t="s">
        <v>50</v>
      </c>
      <c r="W9" s="345" t="s">
        <v>54</v>
      </c>
      <c r="X9" s="143"/>
      <c r="Y9" s="122">
        <v>2027.0</v>
      </c>
      <c r="Z9" s="346">
        <v>2026.0</v>
      </c>
      <c r="AA9" s="49" t="s">
        <v>60</v>
      </c>
      <c r="AB9" s="3"/>
      <c r="AC9" s="3"/>
      <c r="AD9" s="3"/>
      <c r="AE9" s="3"/>
      <c r="AF9" s="3"/>
      <c r="AG9" s="3"/>
      <c r="AH9" s="3"/>
      <c r="AI9" s="3"/>
      <c r="AJ9" s="3"/>
    </row>
    <row r="10">
      <c r="A10" s="1"/>
      <c r="B10" s="105"/>
      <c r="C10" s="106"/>
      <c r="D10" s="107"/>
      <c r="E10" s="108"/>
      <c r="F10" s="109"/>
      <c r="G10" s="409"/>
      <c r="H10" s="111"/>
      <c r="I10" s="112"/>
      <c r="J10" s="50" t="s">
        <v>61</v>
      </c>
      <c r="K10" s="347"/>
      <c r="L10" s="348">
        <v>0.1</v>
      </c>
      <c r="M10" s="348">
        <v>0.08</v>
      </c>
      <c r="N10" s="348">
        <v>0.08</v>
      </c>
      <c r="O10" s="348">
        <v>0.08</v>
      </c>
      <c r="P10" s="348">
        <v>0.06</v>
      </c>
      <c r="Q10" s="348">
        <v>0.06</v>
      </c>
      <c r="R10" s="348">
        <v>0.05</v>
      </c>
      <c r="S10" s="348">
        <v>0.08</v>
      </c>
      <c r="T10" s="348">
        <v>0.09</v>
      </c>
      <c r="U10" s="348">
        <v>0.1</v>
      </c>
      <c r="V10" s="348">
        <v>0.11</v>
      </c>
      <c r="W10" s="348">
        <v>0.11</v>
      </c>
      <c r="X10" s="125"/>
      <c r="Y10" s="165">
        <f>SUM(L10:W10)</f>
        <v>1</v>
      </c>
      <c r="Z10" s="406">
        <v>1.0</v>
      </c>
      <c r="AA10" s="64"/>
      <c r="AB10" s="3"/>
      <c r="AC10" s="3"/>
      <c r="AD10" s="3"/>
      <c r="AE10" s="3"/>
      <c r="AF10" s="3"/>
      <c r="AG10" s="3"/>
      <c r="AH10" s="3"/>
      <c r="AI10" s="3"/>
      <c r="AJ10" s="3"/>
    </row>
    <row r="11">
      <c r="A11" s="1"/>
      <c r="B11" s="105"/>
      <c r="C11" s="106"/>
      <c r="D11" s="107"/>
      <c r="E11" s="108"/>
      <c r="F11" s="109"/>
      <c r="G11" s="409"/>
      <c r="H11" s="111"/>
      <c r="I11" s="112"/>
      <c r="J11" s="50" t="s">
        <v>63</v>
      </c>
      <c r="K11" s="347"/>
      <c r="L11" s="66">
        <f t="shared" ref="L11:W11" si="6">($Y$11)*L10</f>
        <v>400000</v>
      </c>
      <c r="M11" s="66">
        <f t="shared" si="6"/>
        <v>320000</v>
      </c>
      <c r="N11" s="66">
        <f t="shared" si="6"/>
        <v>320000</v>
      </c>
      <c r="O11" s="66">
        <f t="shared" si="6"/>
        <v>320000</v>
      </c>
      <c r="P11" s="66">
        <f t="shared" si="6"/>
        <v>240000</v>
      </c>
      <c r="Q11" s="66">
        <f t="shared" si="6"/>
        <v>240000</v>
      </c>
      <c r="R11" s="66">
        <f t="shared" si="6"/>
        <v>200000</v>
      </c>
      <c r="S11" s="66">
        <f t="shared" si="6"/>
        <v>320000</v>
      </c>
      <c r="T11" s="66">
        <f t="shared" si="6"/>
        <v>360000</v>
      </c>
      <c r="U11" s="66">
        <f t="shared" si="6"/>
        <v>400000</v>
      </c>
      <c r="V11" s="66">
        <f t="shared" si="6"/>
        <v>440000</v>
      </c>
      <c r="W11" s="66">
        <f t="shared" si="6"/>
        <v>440000</v>
      </c>
      <c r="X11" s="75"/>
      <c r="Y11" s="166">
        <v>4000000.0</v>
      </c>
      <c r="Z11" s="350">
        <v>2000000.0</v>
      </c>
      <c r="AA11" s="78">
        <f t="shared" ref="AA11:AA13" si="8">Y11/Z11-1</f>
        <v>1</v>
      </c>
      <c r="AB11" s="147">
        <v>0.1</v>
      </c>
      <c r="AC11" s="4">
        <f>Y11+AB11*Y11</f>
        <v>4400000</v>
      </c>
      <c r="AD11" s="3"/>
      <c r="AE11" s="3"/>
      <c r="AF11" s="3"/>
      <c r="AG11" s="3"/>
      <c r="AH11" s="3"/>
      <c r="AI11" s="3"/>
      <c r="AJ11" s="3"/>
    </row>
    <row r="12">
      <c r="A12" s="1"/>
      <c r="B12" s="105"/>
      <c r="C12" s="106"/>
      <c r="D12" s="107"/>
      <c r="E12" s="108"/>
      <c r="F12" s="109"/>
      <c r="G12" s="409"/>
      <c r="H12" s="111"/>
      <c r="I12" s="112"/>
      <c r="J12" s="50" t="s">
        <v>64</v>
      </c>
      <c r="K12" s="351">
        <v>30.0</v>
      </c>
      <c r="L12" s="81">
        <f t="shared" ref="L12:W12" si="7">L11/$K$12</f>
        <v>13333.33333</v>
      </c>
      <c r="M12" s="81">
        <f t="shared" si="7"/>
        <v>10666.66667</v>
      </c>
      <c r="N12" s="81">
        <f t="shared" si="7"/>
        <v>10666.66667</v>
      </c>
      <c r="O12" s="81">
        <f t="shared" si="7"/>
        <v>10666.66667</v>
      </c>
      <c r="P12" s="81">
        <f t="shared" si="7"/>
        <v>8000</v>
      </c>
      <c r="Q12" s="81">
        <f t="shared" si="7"/>
        <v>8000</v>
      </c>
      <c r="R12" s="81">
        <f t="shared" si="7"/>
        <v>6666.666667</v>
      </c>
      <c r="S12" s="81">
        <f t="shared" si="7"/>
        <v>10666.66667</v>
      </c>
      <c r="T12" s="81">
        <f t="shared" si="7"/>
        <v>12000</v>
      </c>
      <c r="U12" s="81">
        <f t="shared" si="7"/>
        <v>13333.33333</v>
      </c>
      <c r="V12" s="81">
        <f t="shared" si="7"/>
        <v>14666.66667</v>
      </c>
      <c r="W12" s="81">
        <f t="shared" si="7"/>
        <v>14666.66667</v>
      </c>
      <c r="X12" s="87"/>
      <c r="Y12" s="352">
        <f t="shared" ref="Y12:Y13" si="10">SUM(L12:W12)</f>
        <v>133333.3333</v>
      </c>
      <c r="Z12" s="353">
        <v>52206.4301</v>
      </c>
      <c r="AA12" s="78">
        <f t="shared" si="8"/>
        <v>1.553963814</v>
      </c>
      <c r="AB12" s="3"/>
      <c r="AC12" s="3"/>
      <c r="AD12" s="3"/>
      <c r="AE12" s="3"/>
      <c r="AF12" s="3"/>
      <c r="AG12" s="3"/>
      <c r="AH12" s="3"/>
      <c r="AI12" s="3"/>
      <c r="AJ12" s="3"/>
    </row>
    <row r="13">
      <c r="A13" s="1"/>
      <c r="B13" s="105"/>
      <c r="C13" s="106"/>
      <c r="D13" s="107"/>
      <c r="E13" s="108"/>
      <c r="F13" s="109"/>
      <c r="G13" s="409"/>
      <c r="H13" s="111"/>
      <c r="I13" s="112"/>
      <c r="J13" s="91" t="s">
        <v>66</v>
      </c>
      <c r="K13" s="356">
        <v>1.4</v>
      </c>
      <c r="L13" s="94">
        <f t="shared" ref="L13:W13" si="9">IF(L12=0, 0,
  MIN(L12, 10000) * 1.4 +
  MAX(0, MIN(L12, 25000) - 10000) * 1.25 +
  MAX(0, MIN(L12, 50000) - 25000) * 1.15 +
  MAX(0, MIN(L12, 100000) - 50000) * 0.9 +
  MAX(0, MIN(L12, 150000) - 100000) * 0.8 +
  MAX(0, L12 - 150000) * 0.7
)</f>
        <v>18166.66667</v>
      </c>
      <c r="M13" s="94">
        <f t="shared" si="9"/>
        <v>14833.33333</v>
      </c>
      <c r="N13" s="94">
        <f t="shared" si="9"/>
        <v>14833.33333</v>
      </c>
      <c r="O13" s="94">
        <f t="shared" si="9"/>
        <v>14833.33333</v>
      </c>
      <c r="P13" s="94">
        <f t="shared" si="9"/>
        <v>11200</v>
      </c>
      <c r="Q13" s="94">
        <f t="shared" si="9"/>
        <v>11200</v>
      </c>
      <c r="R13" s="94">
        <f t="shared" si="9"/>
        <v>9333.333333</v>
      </c>
      <c r="S13" s="94">
        <f t="shared" si="9"/>
        <v>14833.33333</v>
      </c>
      <c r="T13" s="94">
        <f t="shared" si="9"/>
        <v>16500</v>
      </c>
      <c r="U13" s="94">
        <f t="shared" si="9"/>
        <v>18166.66667</v>
      </c>
      <c r="V13" s="94">
        <f t="shared" si="9"/>
        <v>19833.33333</v>
      </c>
      <c r="W13" s="94">
        <f t="shared" si="9"/>
        <v>19833.33333</v>
      </c>
      <c r="X13" s="101"/>
      <c r="Y13" s="169">
        <f t="shared" si="10"/>
        <v>183566.6667</v>
      </c>
      <c r="Z13" s="355">
        <v>72502.812825</v>
      </c>
      <c r="AA13" s="78">
        <f t="shared" si="8"/>
        <v>1.531855793</v>
      </c>
      <c r="AB13" s="3"/>
      <c r="AC13" s="3"/>
      <c r="AD13" s="3"/>
      <c r="AE13" s="3"/>
      <c r="AF13" s="3"/>
      <c r="AG13" s="3"/>
      <c r="AH13" s="3"/>
      <c r="AI13" s="3"/>
      <c r="AJ13" s="3"/>
    </row>
    <row r="14">
      <c r="A14" s="1"/>
      <c r="B14" s="105"/>
      <c r="C14" s="106"/>
      <c r="D14" s="107"/>
      <c r="E14" s="108"/>
      <c r="F14" s="109"/>
      <c r="G14" s="409"/>
      <c r="H14" s="111"/>
      <c r="I14" s="112"/>
      <c r="J14" s="407"/>
      <c r="K14" s="135"/>
      <c r="L14" s="136"/>
      <c r="M14" s="136"/>
      <c r="N14" s="136"/>
      <c r="O14" s="136"/>
      <c r="P14" s="136"/>
      <c r="Q14" s="160"/>
      <c r="R14" s="136"/>
      <c r="S14" s="136"/>
      <c r="T14" s="136"/>
      <c r="U14" s="136"/>
      <c r="V14" s="136"/>
      <c r="W14" s="136"/>
      <c r="X14" s="137"/>
      <c r="Y14" s="137"/>
      <c r="Z14" s="410"/>
      <c r="AA14" s="15"/>
      <c r="AB14" s="3"/>
      <c r="AC14" s="3"/>
      <c r="AD14" s="3"/>
      <c r="AE14" s="3"/>
      <c r="AF14" s="3"/>
      <c r="AG14" s="3"/>
      <c r="AH14" s="3"/>
      <c r="AI14" s="3"/>
      <c r="AJ14" s="3"/>
    </row>
    <row r="15">
      <c r="A15" s="1"/>
      <c r="B15" s="105">
        <v>3.0</v>
      </c>
      <c r="C15" s="106" t="s">
        <v>68</v>
      </c>
      <c r="D15" s="107"/>
      <c r="E15" s="108"/>
      <c r="F15" s="109"/>
      <c r="G15" s="409"/>
      <c r="H15" s="111"/>
      <c r="I15" s="112"/>
      <c r="J15" s="405" t="s">
        <v>69</v>
      </c>
      <c r="K15" s="342"/>
      <c r="L15" s="344" t="s">
        <v>10</v>
      </c>
      <c r="M15" s="345" t="s">
        <v>14</v>
      </c>
      <c r="N15" s="344" t="s">
        <v>18</v>
      </c>
      <c r="O15" s="345" t="s">
        <v>22</v>
      </c>
      <c r="P15" s="344" t="s">
        <v>26</v>
      </c>
      <c r="Q15" s="345" t="s">
        <v>30</v>
      </c>
      <c r="R15" s="344" t="s">
        <v>34</v>
      </c>
      <c r="S15" s="345" t="s">
        <v>38</v>
      </c>
      <c r="T15" s="344" t="s">
        <v>42</v>
      </c>
      <c r="U15" s="345" t="s">
        <v>46</v>
      </c>
      <c r="V15" s="344" t="s">
        <v>50</v>
      </c>
      <c r="W15" s="345" t="s">
        <v>54</v>
      </c>
      <c r="X15" s="143"/>
      <c r="Y15" s="122">
        <v>2027.0</v>
      </c>
      <c r="Z15" s="346">
        <v>2026.0</v>
      </c>
      <c r="AA15" s="49" t="s">
        <v>60</v>
      </c>
      <c r="AB15" s="3"/>
      <c r="AC15" s="3"/>
      <c r="AD15" s="3"/>
      <c r="AE15" s="3"/>
      <c r="AF15" s="3"/>
      <c r="AG15" s="3"/>
      <c r="AH15" s="3"/>
      <c r="AI15" s="3"/>
      <c r="AJ15" s="3"/>
    </row>
    <row r="16">
      <c r="A16" s="1"/>
      <c r="B16" s="105"/>
      <c r="C16" s="106"/>
      <c r="D16" s="107"/>
      <c r="E16" s="108"/>
      <c r="F16" s="109"/>
      <c r="G16" s="409"/>
      <c r="H16" s="111"/>
      <c r="I16" s="112"/>
      <c r="J16" s="50" t="s">
        <v>61</v>
      </c>
      <c r="K16" s="347"/>
      <c r="L16" s="348">
        <v>0.09</v>
      </c>
      <c r="M16" s="348">
        <v>0.07</v>
      </c>
      <c r="N16" s="348">
        <v>0.07</v>
      </c>
      <c r="O16" s="348">
        <v>0.08</v>
      </c>
      <c r="P16" s="348">
        <v>0.08</v>
      </c>
      <c r="Q16" s="348">
        <v>0.09</v>
      </c>
      <c r="R16" s="348">
        <v>0.09</v>
      </c>
      <c r="S16" s="348">
        <v>0.08</v>
      </c>
      <c r="T16" s="348">
        <v>0.08</v>
      </c>
      <c r="U16" s="348">
        <v>0.1</v>
      </c>
      <c r="V16" s="348">
        <v>0.1</v>
      </c>
      <c r="W16" s="348">
        <v>0.07</v>
      </c>
      <c r="X16" s="125"/>
      <c r="Y16" s="165">
        <f>SUM(L16:W16)</f>
        <v>1</v>
      </c>
      <c r="Z16" s="406">
        <v>1.0</v>
      </c>
      <c r="AA16" s="64"/>
      <c r="AB16" s="3"/>
      <c r="AC16" s="3"/>
      <c r="AD16" s="3"/>
      <c r="AE16" s="3"/>
      <c r="AF16" s="3"/>
      <c r="AG16" s="3"/>
      <c r="AH16" s="3"/>
      <c r="AI16" s="3"/>
      <c r="AJ16" s="3"/>
    </row>
    <row r="17">
      <c r="A17" s="1"/>
      <c r="B17" s="105"/>
      <c r="C17" s="106"/>
      <c r="D17" s="107"/>
      <c r="E17" s="108"/>
      <c r="F17" s="109"/>
      <c r="G17" s="409"/>
      <c r="H17" s="111"/>
      <c r="I17" s="112"/>
      <c r="J17" s="50" t="s">
        <v>63</v>
      </c>
      <c r="K17" s="347"/>
      <c r="L17" s="66">
        <f t="shared" ref="L17:W17" si="11">($Y$17)*L16</f>
        <v>540000</v>
      </c>
      <c r="M17" s="66">
        <f t="shared" si="11"/>
        <v>420000</v>
      </c>
      <c r="N17" s="66">
        <f t="shared" si="11"/>
        <v>420000</v>
      </c>
      <c r="O17" s="66">
        <f t="shared" si="11"/>
        <v>480000</v>
      </c>
      <c r="P17" s="66">
        <f t="shared" si="11"/>
        <v>480000</v>
      </c>
      <c r="Q17" s="66">
        <f t="shared" si="11"/>
        <v>540000</v>
      </c>
      <c r="R17" s="66">
        <f t="shared" si="11"/>
        <v>540000</v>
      </c>
      <c r="S17" s="66">
        <f t="shared" si="11"/>
        <v>480000</v>
      </c>
      <c r="T17" s="66">
        <f t="shared" si="11"/>
        <v>480000</v>
      </c>
      <c r="U17" s="66">
        <f t="shared" si="11"/>
        <v>600000</v>
      </c>
      <c r="V17" s="66">
        <f t="shared" si="11"/>
        <v>600000</v>
      </c>
      <c r="W17" s="66">
        <f t="shared" si="11"/>
        <v>420000</v>
      </c>
      <c r="X17" s="75"/>
      <c r="Y17" s="166">
        <v>6000000.0</v>
      </c>
      <c r="Z17" s="350">
        <v>4000000.0</v>
      </c>
      <c r="AA17" s="78">
        <f t="shared" ref="AA17:AA19" si="13">Y17/Z17-1</f>
        <v>0.5</v>
      </c>
      <c r="AB17" s="147">
        <v>0.1</v>
      </c>
      <c r="AC17" s="4">
        <f>Y17+AB17*Y17</f>
        <v>6600000</v>
      </c>
      <c r="AD17" s="3"/>
      <c r="AE17" s="3"/>
      <c r="AF17" s="3"/>
      <c r="AG17" s="3"/>
      <c r="AH17" s="3"/>
      <c r="AI17" s="3"/>
      <c r="AJ17" s="3"/>
    </row>
    <row r="18">
      <c r="A18" s="1"/>
      <c r="B18" s="105"/>
      <c r="C18" s="106"/>
      <c r="D18" s="107"/>
      <c r="E18" s="108"/>
      <c r="F18" s="109"/>
      <c r="G18" s="409"/>
      <c r="H18" s="111"/>
      <c r="I18" s="112"/>
      <c r="J18" s="50" t="s">
        <v>64</v>
      </c>
      <c r="K18" s="351">
        <v>180.0</v>
      </c>
      <c r="L18" s="81">
        <f t="shared" ref="L18:W18" si="12">L17/$K$18</f>
        <v>3000</v>
      </c>
      <c r="M18" s="81">
        <f t="shared" si="12"/>
        <v>2333.333333</v>
      </c>
      <c r="N18" s="81">
        <f t="shared" si="12"/>
        <v>2333.333333</v>
      </c>
      <c r="O18" s="81">
        <f t="shared" si="12"/>
        <v>2666.666667</v>
      </c>
      <c r="P18" s="81">
        <f t="shared" si="12"/>
        <v>2666.666667</v>
      </c>
      <c r="Q18" s="81">
        <f t="shared" si="12"/>
        <v>3000</v>
      </c>
      <c r="R18" s="81">
        <f t="shared" si="12"/>
        <v>3000</v>
      </c>
      <c r="S18" s="81">
        <f t="shared" si="12"/>
        <v>2666.666667</v>
      </c>
      <c r="T18" s="81">
        <f t="shared" si="12"/>
        <v>2666.666667</v>
      </c>
      <c r="U18" s="81">
        <f t="shared" si="12"/>
        <v>3333.333333</v>
      </c>
      <c r="V18" s="81">
        <f t="shared" si="12"/>
        <v>3333.333333</v>
      </c>
      <c r="W18" s="81">
        <f t="shared" si="12"/>
        <v>2333.333333</v>
      </c>
      <c r="X18" s="87"/>
      <c r="Y18" s="352">
        <f t="shared" ref="Y18:Y19" si="15">SUM(L18:W18)</f>
        <v>33333.33333</v>
      </c>
      <c r="Z18" s="353">
        <v>22222.222222222223</v>
      </c>
      <c r="AA18" s="78">
        <f t="shared" si="13"/>
        <v>0.5</v>
      </c>
      <c r="AB18" s="3"/>
      <c r="AC18" s="3"/>
      <c r="AD18" s="3"/>
      <c r="AE18" s="3"/>
      <c r="AF18" s="3"/>
      <c r="AG18" s="3"/>
      <c r="AH18" s="3"/>
      <c r="AI18" s="3"/>
      <c r="AJ18" s="3"/>
    </row>
    <row r="19">
      <c r="A19" s="1"/>
      <c r="B19" s="105"/>
      <c r="C19" s="106"/>
      <c r="D19" s="107"/>
      <c r="E19" s="108"/>
      <c r="F19" s="109"/>
      <c r="G19" s="409"/>
      <c r="H19" s="111"/>
      <c r="I19" s="112"/>
      <c r="J19" s="91" t="s">
        <v>66</v>
      </c>
      <c r="K19" s="356">
        <v>4.5</v>
      </c>
      <c r="L19" s="97">
        <f t="shared" ref="L19:W19" si="14">$K$19*L18</f>
        <v>13500</v>
      </c>
      <c r="M19" s="97">
        <f t="shared" si="14"/>
        <v>10500</v>
      </c>
      <c r="N19" s="97">
        <f t="shared" si="14"/>
        <v>10500</v>
      </c>
      <c r="O19" s="97">
        <f t="shared" si="14"/>
        <v>12000</v>
      </c>
      <c r="P19" s="97">
        <f t="shared" si="14"/>
        <v>12000</v>
      </c>
      <c r="Q19" s="97">
        <f t="shared" si="14"/>
        <v>13500</v>
      </c>
      <c r="R19" s="97">
        <f t="shared" si="14"/>
        <v>13500</v>
      </c>
      <c r="S19" s="97">
        <f t="shared" si="14"/>
        <v>12000</v>
      </c>
      <c r="T19" s="97">
        <f t="shared" si="14"/>
        <v>12000</v>
      </c>
      <c r="U19" s="97">
        <f t="shared" si="14"/>
        <v>15000</v>
      </c>
      <c r="V19" s="97">
        <f t="shared" si="14"/>
        <v>15000</v>
      </c>
      <c r="W19" s="97">
        <f t="shared" si="14"/>
        <v>10500</v>
      </c>
      <c r="X19" s="101"/>
      <c r="Y19" s="169">
        <f t="shared" si="15"/>
        <v>150000</v>
      </c>
      <c r="Z19" s="355">
        <v>100000.0</v>
      </c>
      <c r="AA19" s="78">
        <f t="shared" si="13"/>
        <v>0.5</v>
      </c>
      <c r="AB19" s="3"/>
      <c r="AC19" s="3"/>
      <c r="AD19" s="3"/>
      <c r="AE19" s="3"/>
      <c r="AF19" s="3"/>
      <c r="AG19" s="3"/>
      <c r="AH19" s="3"/>
      <c r="AI19" s="3"/>
      <c r="AJ19" s="3"/>
    </row>
    <row r="20">
      <c r="A20" s="1"/>
      <c r="B20" s="105"/>
      <c r="C20" s="106"/>
      <c r="D20" s="107"/>
      <c r="E20" s="108"/>
      <c r="F20" s="109"/>
      <c r="G20" s="409"/>
      <c r="H20" s="111"/>
      <c r="I20" s="140"/>
      <c r="J20" s="8"/>
      <c r="K20" s="148"/>
      <c r="L20" s="12"/>
      <c r="M20" s="149"/>
      <c r="N20" s="149"/>
      <c r="O20" s="150"/>
      <c r="P20" s="149"/>
      <c r="Q20" s="160"/>
      <c r="R20" s="149"/>
      <c r="S20" s="12"/>
      <c r="T20" s="12"/>
      <c r="U20" s="12"/>
      <c r="V20" s="12"/>
      <c r="W20" s="12"/>
      <c r="X20" s="13"/>
      <c r="Y20" s="13"/>
      <c r="Z20" s="14"/>
      <c r="AA20" s="15"/>
      <c r="AB20" s="3"/>
      <c r="AC20" s="3"/>
      <c r="AD20" s="3"/>
      <c r="AE20" s="3"/>
      <c r="AF20" s="3"/>
      <c r="AG20" s="3"/>
      <c r="AH20" s="3"/>
      <c r="AI20" s="3"/>
      <c r="AJ20" s="3"/>
    </row>
    <row r="21" ht="15.75" customHeight="1">
      <c r="A21" s="1"/>
      <c r="B21" s="105">
        <v>4.0</v>
      </c>
      <c r="C21" s="106" t="s">
        <v>70</v>
      </c>
      <c r="D21" s="107">
        <f>15000*12*4</f>
        <v>720000</v>
      </c>
      <c r="E21" s="144">
        <v>92.0</v>
      </c>
      <c r="F21" s="109">
        <f>E21*D21</f>
        <v>66240000</v>
      </c>
      <c r="G21" s="409">
        <v>1632825.7999999607</v>
      </c>
      <c r="H21" s="111">
        <v>15759.0</v>
      </c>
      <c r="I21" s="140">
        <v>103.61227235230413</v>
      </c>
      <c r="J21" s="405" t="s">
        <v>71</v>
      </c>
      <c r="K21" s="357"/>
      <c r="L21" s="344" t="s">
        <v>10</v>
      </c>
      <c r="M21" s="345" t="s">
        <v>14</v>
      </c>
      <c r="N21" s="344" t="s">
        <v>18</v>
      </c>
      <c r="O21" s="345" t="s">
        <v>22</v>
      </c>
      <c r="P21" s="344" t="s">
        <v>26</v>
      </c>
      <c r="Q21" s="345" t="s">
        <v>30</v>
      </c>
      <c r="R21" s="344" t="s">
        <v>34</v>
      </c>
      <c r="S21" s="345" t="s">
        <v>38</v>
      </c>
      <c r="T21" s="344" t="s">
        <v>42</v>
      </c>
      <c r="U21" s="345" t="s">
        <v>46</v>
      </c>
      <c r="V21" s="344" t="s">
        <v>50</v>
      </c>
      <c r="W21" s="345" t="s">
        <v>54</v>
      </c>
      <c r="X21" s="143"/>
      <c r="Y21" s="122">
        <v>2027.0</v>
      </c>
      <c r="Z21" s="346">
        <v>2026.0</v>
      </c>
      <c r="AA21" s="49"/>
      <c r="AB21" s="3"/>
      <c r="AC21" s="3"/>
      <c r="AD21" s="3"/>
      <c r="AE21" s="3"/>
      <c r="AF21" s="3"/>
      <c r="AG21" s="3"/>
      <c r="AH21" s="3"/>
      <c r="AI21" s="3"/>
      <c r="AJ21" s="3"/>
    </row>
    <row r="22" ht="15.75" customHeight="1">
      <c r="A22" s="1"/>
      <c r="B22" s="26"/>
      <c r="C22" s="27"/>
      <c r="D22" s="28"/>
      <c r="E22" s="29"/>
      <c r="F22" s="30"/>
      <c r="G22" s="404"/>
      <c r="H22" s="32"/>
      <c r="I22" s="33"/>
      <c r="J22" s="50" t="s">
        <v>61</v>
      </c>
      <c r="K22" s="347"/>
      <c r="L22" s="348">
        <v>0.06</v>
      </c>
      <c r="M22" s="348">
        <v>0.05</v>
      </c>
      <c r="N22" s="348">
        <v>0.06</v>
      </c>
      <c r="O22" s="348">
        <v>0.07</v>
      </c>
      <c r="P22" s="348">
        <v>0.07</v>
      </c>
      <c r="Q22" s="348">
        <v>0.08</v>
      </c>
      <c r="R22" s="348">
        <v>0.08</v>
      </c>
      <c r="S22" s="348">
        <v>0.09</v>
      </c>
      <c r="T22" s="348">
        <v>0.09</v>
      </c>
      <c r="U22" s="348">
        <v>0.11</v>
      </c>
      <c r="V22" s="348">
        <v>0.12</v>
      </c>
      <c r="W22" s="348">
        <v>0.12</v>
      </c>
      <c r="X22" s="125"/>
      <c r="Y22" s="165">
        <f>SUM(L22:W22)</f>
        <v>1</v>
      </c>
      <c r="Z22" s="406">
        <v>1.0</v>
      </c>
      <c r="AA22" s="64"/>
      <c r="AB22" s="3"/>
      <c r="AC22" s="3"/>
      <c r="AD22" s="3"/>
      <c r="AE22" s="3"/>
      <c r="AF22" s="3"/>
      <c r="AG22" s="3"/>
      <c r="AH22" s="3"/>
      <c r="AI22" s="3"/>
      <c r="AJ22" s="3"/>
    </row>
    <row r="23" ht="15.75" customHeight="1">
      <c r="A23" s="1"/>
      <c r="B23" s="105"/>
      <c r="C23" s="106"/>
      <c r="D23" s="107"/>
      <c r="E23" s="144"/>
      <c r="F23" s="109"/>
      <c r="G23" s="404"/>
      <c r="H23" s="32"/>
      <c r="I23" s="145"/>
      <c r="J23" s="50" t="s">
        <v>63</v>
      </c>
      <c r="K23" s="347"/>
      <c r="L23" s="66">
        <f t="shared" ref="L23:W23" si="16">($Y$23)*L22</f>
        <v>600000</v>
      </c>
      <c r="M23" s="66">
        <f t="shared" si="16"/>
        <v>500000</v>
      </c>
      <c r="N23" s="66">
        <f t="shared" si="16"/>
        <v>600000</v>
      </c>
      <c r="O23" s="66">
        <f t="shared" si="16"/>
        <v>700000</v>
      </c>
      <c r="P23" s="66">
        <f t="shared" si="16"/>
        <v>700000</v>
      </c>
      <c r="Q23" s="66">
        <f t="shared" si="16"/>
        <v>800000</v>
      </c>
      <c r="R23" s="66">
        <f t="shared" si="16"/>
        <v>800000</v>
      </c>
      <c r="S23" s="66">
        <f t="shared" si="16"/>
        <v>900000</v>
      </c>
      <c r="T23" s="66">
        <f t="shared" si="16"/>
        <v>900000</v>
      </c>
      <c r="U23" s="66">
        <f t="shared" si="16"/>
        <v>1100000</v>
      </c>
      <c r="V23" s="66">
        <f t="shared" si="16"/>
        <v>1200000</v>
      </c>
      <c r="W23" s="66">
        <f t="shared" si="16"/>
        <v>1200000</v>
      </c>
      <c r="X23" s="75"/>
      <c r="Y23" s="166">
        <v>1.0E7</v>
      </c>
      <c r="Z23" s="350">
        <v>4849096.225694574</v>
      </c>
      <c r="AA23" s="78">
        <f t="shared" ref="AA23:AA25" si="18">Y23/Z23-1</f>
        <v>1.062239959</v>
      </c>
      <c r="AB23" s="147">
        <v>0.03</v>
      </c>
      <c r="AC23" s="4">
        <f>Y23+AB23*Y23</f>
        <v>10300000</v>
      </c>
      <c r="AD23" s="3"/>
      <c r="AE23" s="3"/>
      <c r="AF23" s="3"/>
      <c r="AG23" s="3"/>
      <c r="AH23" s="3"/>
      <c r="AI23" s="3"/>
      <c r="AJ23" s="3"/>
    </row>
    <row r="24" ht="15.75" customHeight="1">
      <c r="A24" s="1"/>
      <c r="B24" s="105"/>
      <c r="C24" s="106"/>
      <c r="D24" s="107"/>
      <c r="E24" s="144"/>
      <c r="F24" s="109"/>
      <c r="G24" s="409"/>
      <c r="H24" s="111"/>
      <c r="I24" s="140"/>
      <c r="J24" s="50" t="s">
        <v>64</v>
      </c>
      <c r="K24" s="351">
        <v>107.0</v>
      </c>
      <c r="L24" s="81">
        <f t="shared" ref="L24:W24" si="17">L23/$K$24</f>
        <v>5607.476636</v>
      </c>
      <c r="M24" s="81">
        <f t="shared" si="17"/>
        <v>4672.897196</v>
      </c>
      <c r="N24" s="81">
        <f t="shared" si="17"/>
        <v>5607.476636</v>
      </c>
      <c r="O24" s="81">
        <f t="shared" si="17"/>
        <v>6542.056075</v>
      </c>
      <c r="P24" s="81">
        <f t="shared" si="17"/>
        <v>6542.056075</v>
      </c>
      <c r="Q24" s="81">
        <f t="shared" si="17"/>
        <v>7476.635514</v>
      </c>
      <c r="R24" s="81">
        <f t="shared" si="17"/>
        <v>7476.635514</v>
      </c>
      <c r="S24" s="81">
        <f t="shared" si="17"/>
        <v>8411.214953</v>
      </c>
      <c r="T24" s="81">
        <f t="shared" si="17"/>
        <v>8411.214953</v>
      </c>
      <c r="U24" s="81">
        <f t="shared" si="17"/>
        <v>10280.37383</v>
      </c>
      <c r="V24" s="81">
        <f t="shared" si="17"/>
        <v>11214.95327</v>
      </c>
      <c r="W24" s="81">
        <f t="shared" si="17"/>
        <v>11214.95327</v>
      </c>
      <c r="X24" s="87"/>
      <c r="Y24" s="352">
        <f t="shared" ref="Y24:Y25" si="20">SUM(L24:W24)</f>
        <v>93457.94393</v>
      </c>
      <c r="Z24" s="353">
        <v>45318.65631490257</v>
      </c>
      <c r="AA24" s="78">
        <f t="shared" si="18"/>
        <v>1.062239959</v>
      </c>
      <c r="AB24" s="147"/>
      <c r="AC24" s="147"/>
      <c r="AD24" s="3"/>
      <c r="AE24" s="3"/>
      <c r="AF24" s="3"/>
      <c r="AG24" s="3"/>
      <c r="AH24" s="3"/>
      <c r="AI24" s="3"/>
      <c r="AJ24" s="3"/>
    </row>
    <row r="25" ht="15.75" customHeight="1">
      <c r="A25" s="1"/>
      <c r="B25" s="105"/>
      <c r="C25" s="106"/>
      <c r="D25" s="107"/>
      <c r="E25" s="144"/>
      <c r="F25" s="109"/>
      <c r="G25" s="409"/>
      <c r="H25" s="111"/>
      <c r="I25" s="140"/>
      <c r="J25" s="91" t="s">
        <v>66</v>
      </c>
      <c r="K25" s="354">
        <v>0.039</v>
      </c>
      <c r="L25" s="94">
        <f t="shared" ref="L25:W25" si="19">IF(L24=0, 0, (L23/L24) * (
  MIN(L24, 1000) * 0.049 +
  MAX(0, MIN(L24, 2500) - 1000) * 0.039 +
  MAX(0, MIN(L24, 5000) - 2500) * 0.032 +
  MAX(0, L24 - 5000) * 0.029
))</f>
        <v>21947.5</v>
      </c>
      <c r="M25" s="94">
        <f t="shared" si="19"/>
        <v>18942.5</v>
      </c>
      <c r="N25" s="94">
        <f t="shared" si="19"/>
        <v>21947.5</v>
      </c>
      <c r="O25" s="94">
        <f t="shared" si="19"/>
        <v>24847.5</v>
      </c>
      <c r="P25" s="94">
        <f t="shared" si="19"/>
        <v>24847.5</v>
      </c>
      <c r="Q25" s="94">
        <f t="shared" si="19"/>
        <v>27747.5</v>
      </c>
      <c r="R25" s="94">
        <f t="shared" si="19"/>
        <v>27747.5</v>
      </c>
      <c r="S25" s="94">
        <f t="shared" si="19"/>
        <v>30647.5</v>
      </c>
      <c r="T25" s="94">
        <f t="shared" si="19"/>
        <v>30647.5</v>
      </c>
      <c r="U25" s="94">
        <f t="shared" si="19"/>
        <v>36447.5</v>
      </c>
      <c r="V25" s="94">
        <f t="shared" si="19"/>
        <v>39347.5</v>
      </c>
      <c r="W25" s="94">
        <f t="shared" si="19"/>
        <v>39347.5</v>
      </c>
      <c r="X25" s="101"/>
      <c r="Y25" s="169">
        <f t="shared" si="20"/>
        <v>344465</v>
      </c>
      <c r="Z25" s="355">
        <v>184934.66039277337</v>
      </c>
      <c r="AA25" s="78">
        <f t="shared" si="18"/>
        <v>0.8626308301</v>
      </c>
      <c r="AB25" s="3"/>
      <c r="AC25" s="3"/>
      <c r="AD25" s="3"/>
      <c r="AE25" s="3"/>
      <c r="AF25" s="3"/>
      <c r="AG25" s="3"/>
      <c r="AH25" s="3"/>
      <c r="AI25" s="3"/>
      <c r="AJ25" s="3"/>
    </row>
    <row r="26" ht="15.75" customHeight="1">
      <c r="A26" s="1"/>
      <c r="B26" s="105"/>
      <c r="C26" s="106"/>
      <c r="D26" s="107"/>
      <c r="E26" s="144"/>
      <c r="F26" s="109"/>
      <c r="G26" s="409"/>
      <c r="H26" s="111"/>
      <c r="I26" s="112"/>
      <c r="J26" s="8"/>
      <c r="K26" s="148"/>
      <c r="L26" s="12"/>
      <c r="M26" s="149"/>
      <c r="N26" s="149"/>
      <c r="O26" s="149"/>
      <c r="P26" s="149"/>
      <c r="Q26" s="160"/>
      <c r="R26" s="149"/>
      <c r="S26" s="12"/>
      <c r="T26" s="12"/>
      <c r="U26" s="12"/>
      <c r="V26" s="12"/>
      <c r="W26" s="12"/>
      <c r="X26" s="13"/>
      <c r="Y26" s="13"/>
      <c r="Z26" s="14"/>
      <c r="AA26" s="15"/>
      <c r="AB26" s="3"/>
      <c r="AC26" s="3"/>
      <c r="AD26" s="3"/>
      <c r="AE26" s="3"/>
      <c r="AF26" s="3"/>
      <c r="AG26" s="3"/>
      <c r="AH26" s="3"/>
      <c r="AI26" s="3"/>
      <c r="AJ26" s="3"/>
    </row>
    <row r="27" ht="15.75" customHeight="1">
      <c r="A27" s="1"/>
      <c r="B27" s="105">
        <v>5.0</v>
      </c>
      <c r="C27" s="106" t="s">
        <v>72</v>
      </c>
      <c r="D27" s="107">
        <f>28*2*12</f>
        <v>672</v>
      </c>
      <c r="E27" s="144"/>
      <c r="F27" s="109">
        <f>D27*35</f>
        <v>23520</v>
      </c>
      <c r="G27" s="409">
        <v>14.9</v>
      </c>
      <c r="H27" s="111">
        <v>1.0</v>
      </c>
      <c r="I27" s="112">
        <v>14.9</v>
      </c>
      <c r="J27" s="405" t="s">
        <v>73</v>
      </c>
      <c r="K27" s="357"/>
      <c r="L27" s="344" t="s">
        <v>10</v>
      </c>
      <c r="M27" s="345" t="s">
        <v>14</v>
      </c>
      <c r="N27" s="344" t="s">
        <v>18</v>
      </c>
      <c r="O27" s="345" t="s">
        <v>22</v>
      </c>
      <c r="P27" s="344" t="s">
        <v>26</v>
      </c>
      <c r="Q27" s="345" t="s">
        <v>30</v>
      </c>
      <c r="R27" s="344" t="s">
        <v>34</v>
      </c>
      <c r="S27" s="345" t="s">
        <v>38</v>
      </c>
      <c r="T27" s="344" t="s">
        <v>42</v>
      </c>
      <c r="U27" s="345" t="s">
        <v>46</v>
      </c>
      <c r="V27" s="344" t="s">
        <v>50</v>
      </c>
      <c r="W27" s="345" t="s">
        <v>54</v>
      </c>
      <c r="X27" s="143"/>
      <c r="Y27" s="122">
        <v>2027.0</v>
      </c>
      <c r="Z27" s="346">
        <v>2026.0</v>
      </c>
      <c r="AA27" s="49"/>
      <c r="AB27" s="3"/>
      <c r="AC27" s="3"/>
      <c r="AD27" s="3"/>
      <c r="AE27" s="3"/>
      <c r="AF27" s="3"/>
      <c r="AG27" s="3"/>
      <c r="AH27" s="3"/>
      <c r="AI27" s="3"/>
      <c r="AJ27" s="3"/>
    </row>
    <row r="28" ht="15.75" customHeight="1">
      <c r="A28" s="1"/>
      <c r="B28" s="105"/>
      <c r="C28" s="106"/>
      <c r="D28" s="107"/>
      <c r="E28" s="144"/>
      <c r="F28" s="109"/>
      <c r="G28" s="409"/>
      <c r="H28" s="111"/>
      <c r="I28" s="112"/>
      <c r="J28" s="50" t="s">
        <v>61</v>
      </c>
      <c r="K28" s="347"/>
      <c r="L28" s="348">
        <v>0.01</v>
      </c>
      <c r="M28" s="348">
        <v>0.02</v>
      </c>
      <c r="N28" s="348">
        <v>0.03</v>
      </c>
      <c r="O28" s="348">
        <v>0.03</v>
      </c>
      <c r="P28" s="348">
        <v>0.04</v>
      </c>
      <c r="Q28" s="348">
        <v>0.04</v>
      </c>
      <c r="R28" s="348">
        <v>0.06</v>
      </c>
      <c r="S28" s="348">
        <v>0.08</v>
      </c>
      <c r="T28" s="348">
        <v>0.12</v>
      </c>
      <c r="U28" s="348">
        <v>0.15</v>
      </c>
      <c r="V28" s="348">
        <v>0.2</v>
      </c>
      <c r="W28" s="348">
        <v>0.22</v>
      </c>
      <c r="X28" s="125"/>
      <c r="Y28" s="165">
        <f>SUM(L28:W28)</f>
        <v>1</v>
      </c>
      <c r="Z28" s="406">
        <v>1.0</v>
      </c>
      <c r="AA28" s="64"/>
      <c r="AB28" s="3"/>
      <c r="AC28" s="3"/>
      <c r="AD28" s="3"/>
      <c r="AE28" s="3"/>
      <c r="AF28" s="3"/>
      <c r="AG28" s="3"/>
      <c r="AH28" s="3"/>
      <c r="AI28" s="3"/>
      <c r="AJ28" s="3"/>
    </row>
    <row r="29" ht="15.75" customHeight="1">
      <c r="A29" s="1"/>
      <c r="B29" s="105"/>
      <c r="C29" s="106"/>
      <c r="D29" s="107"/>
      <c r="E29" s="144"/>
      <c r="F29" s="109"/>
      <c r="G29" s="409"/>
      <c r="H29" s="111"/>
      <c r="I29" s="112"/>
      <c r="J29" s="50" t="s">
        <v>63</v>
      </c>
      <c r="K29" s="347"/>
      <c r="L29" s="66">
        <f t="shared" ref="L29:W29" si="21">($Y$29)*L28</f>
        <v>10000</v>
      </c>
      <c r="M29" s="66">
        <f t="shared" si="21"/>
        <v>20000</v>
      </c>
      <c r="N29" s="66">
        <f t="shared" si="21"/>
        <v>30000</v>
      </c>
      <c r="O29" s="66">
        <f t="shared" si="21"/>
        <v>30000</v>
      </c>
      <c r="P29" s="66">
        <f t="shared" si="21"/>
        <v>40000</v>
      </c>
      <c r="Q29" s="66">
        <f t="shared" si="21"/>
        <v>40000</v>
      </c>
      <c r="R29" s="66">
        <f t="shared" si="21"/>
        <v>60000</v>
      </c>
      <c r="S29" s="66">
        <f t="shared" si="21"/>
        <v>80000</v>
      </c>
      <c r="T29" s="66">
        <f t="shared" si="21"/>
        <v>120000</v>
      </c>
      <c r="U29" s="66">
        <f t="shared" si="21"/>
        <v>150000</v>
      </c>
      <c r="V29" s="66">
        <f t="shared" si="21"/>
        <v>200000</v>
      </c>
      <c r="W29" s="66">
        <f t="shared" si="21"/>
        <v>220000</v>
      </c>
      <c r="X29" s="75"/>
      <c r="Y29" s="166">
        <v>1000000.0</v>
      </c>
      <c r="Z29" s="350">
        <v>50000.0</v>
      </c>
      <c r="AA29" s="78">
        <f t="shared" ref="AA29:AA31" si="23">Y29/Z29-1</f>
        <v>19</v>
      </c>
      <c r="AB29" s="147">
        <v>0.1</v>
      </c>
      <c r="AC29" s="4">
        <f>Y29+AB29*Y29</f>
        <v>1100000</v>
      </c>
      <c r="AD29" s="3"/>
      <c r="AE29" s="3"/>
      <c r="AF29" s="3"/>
      <c r="AG29" s="3"/>
      <c r="AH29" s="3"/>
      <c r="AI29" s="3"/>
      <c r="AJ29" s="3"/>
    </row>
    <row r="30" ht="15.75" customHeight="1">
      <c r="A30" s="1"/>
      <c r="B30" s="105"/>
      <c r="C30" s="106"/>
      <c r="D30" s="107"/>
      <c r="E30" s="144"/>
      <c r="F30" s="109"/>
      <c r="G30" s="409"/>
      <c r="H30" s="111"/>
      <c r="I30" s="112"/>
      <c r="J30" s="50" t="s">
        <v>64</v>
      </c>
      <c r="K30" s="351">
        <v>60.0</v>
      </c>
      <c r="L30" s="81">
        <f t="shared" ref="L30:W30" si="22">L29/$K$30</f>
        <v>166.6666667</v>
      </c>
      <c r="M30" s="81">
        <f t="shared" si="22"/>
        <v>333.3333333</v>
      </c>
      <c r="N30" s="81">
        <f t="shared" si="22"/>
        <v>500</v>
      </c>
      <c r="O30" s="81">
        <f t="shared" si="22"/>
        <v>500</v>
      </c>
      <c r="P30" s="81">
        <f t="shared" si="22"/>
        <v>666.6666667</v>
      </c>
      <c r="Q30" s="81">
        <f t="shared" si="22"/>
        <v>666.6666667</v>
      </c>
      <c r="R30" s="81">
        <f t="shared" si="22"/>
        <v>1000</v>
      </c>
      <c r="S30" s="81">
        <f t="shared" si="22"/>
        <v>1333.333333</v>
      </c>
      <c r="T30" s="81">
        <f t="shared" si="22"/>
        <v>2000</v>
      </c>
      <c r="U30" s="81">
        <f t="shared" si="22"/>
        <v>2500</v>
      </c>
      <c r="V30" s="81">
        <f t="shared" si="22"/>
        <v>3333.333333</v>
      </c>
      <c r="W30" s="81">
        <f t="shared" si="22"/>
        <v>3666.666667</v>
      </c>
      <c r="X30" s="87"/>
      <c r="Y30" s="352">
        <f t="shared" ref="Y30:Y31" si="25">SUM(L30:W30)</f>
        <v>16666.66667</v>
      </c>
      <c r="Z30" s="353">
        <v>833.3333333333333</v>
      </c>
      <c r="AA30" s="78">
        <f t="shared" si="23"/>
        <v>19</v>
      </c>
      <c r="AB30" s="3"/>
      <c r="AC30" s="3"/>
      <c r="AD30" s="3"/>
      <c r="AE30" s="3"/>
      <c r="AF30" s="3"/>
      <c r="AG30" s="3"/>
      <c r="AH30" s="3"/>
      <c r="AI30" s="3"/>
      <c r="AJ30" s="3"/>
    </row>
    <row r="31" ht="15.75" customHeight="1">
      <c r="A31" s="1"/>
      <c r="B31" s="105"/>
      <c r="C31" s="106"/>
      <c r="D31" s="107"/>
      <c r="E31" s="144"/>
      <c r="F31" s="109"/>
      <c r="G31" s="409"/>
      <c r="H31" s="111"/>
      <c r="I31" s="112"/>
      <c r="J31" s="91" t="s">
        <v>66</v>
      </c>
      <c r="K31" s="354">
        <v>0.049</v>
      </c>
      <c r="L31" s="97">
        <f t="shared" ref="L31:W31" si="24">L29*$K$31</f>
        <v>490</v>
      </c>
      <c r="M31" s="97">
        <f t="shared" si="24"/>
        <v>980</v>
      </c>
      <c r="N31" s="97">
        <f t="shared" si="24"/>
        <v>1470</v>
      </c>
      <c r="O31" s="97">
        <f t="shared" si="24"/>
        <v>1470</v>
      </c>
      <c r="P31" s="97">
        <f t="shared" si="24"/>
        <v>1960</v>
      </c>
      <c r="Q31" s="97">
        <f t="shared" si="24"/>
        <v>1960</v>
      </c>
      <c r="R31" s="97">
        <f t="shared" si="24"/>
        <v>2940</v>
      </c>
      <c r="S31" s="97">
        <f t="shared" si="24"/>
        <v>3920</v>
      </c>
      <c r="T31" s="97">
        <f t="shared" si="24"/>
        <v>5880</v>
      </c>
      <c r="U31" s="97">
        <f t="shared" si="24"/>
        <v>7350</v>
      </c>
      <c r="V31" s="97">
        <f t="shared" si="24"/>
        <v>9800</v>
      </c>
      <c r="W31" s="97">
        <f t="shared" si="24"/>
        <v>10780</v>
      </c>
      <c r="X31" s="101"/>
      <c r="Y31" s="169">
        <f t="shared" si="25"/>
        <v>49000</v>
      </c>
      <c r="Z31" s="355">
        <v>2450.0</v>
      </c>
      <c r="AA31" s="78">
        <f t="shared" si="23"/>
        <v>19</v>
      </c>
      <c r="AB31" s="3"/>
      <c r="AC31" s="3"/>
      <c r="AD31" s="3"/>
      <c r="AE31" s="3"/>
      <c r="AF31" s="3"/>
      <c r="AG31" s="3"/>
      <c r="AH31" s="3"/>
      <c r="AI31" s="3"/>
      <c r="AJ31" s="3"/>
    </row>
    <row r="32" ht="15.75" customHeight="1">
      <c r="A32" s="1"/>
      <c r="B32" s="105"/>
      <c r="C32" s="106"/>
      <c r="D32" s="107"/>
      <c r="E32" s="144"/>
      <c r="F32" s="109"/>
      <c r="G32" s="409"/>
      <c r="H32" s="111"/>
      <c r="I32" s="112"/>
      <c r="J32" s="8"/>
      <c r="K32" s="148"/>
      <c r="L32" s="12"/>
      <c r="M32" s="149"/>
      <c r="N32" s="149"/>
      <c r="O32" s="149"/>
      <c r="P32" s="149"/>
      <c r="Q32" s="160"/>
      <c r="R32" s="149"/>
      <c r="S32" s="12"/>
      <c r="T32" s="12"/>
      <c r="U32" s="12"/>
      <c r="V32" s="12"/>
      <c r="W32" s="12"/>
      <c r="X32" s="13"/>
      <c r="Y32" s="13"/>
      <c r="Z32" s="14"/>
      <c r="AA32" s="15"/>
      <c r="AB32" s="3"/>
      <c r="AC32" s="3"/>
      <c r="AD32" s="3"/>
      <c r="AE32" s="3"/>
      <c r="AF32" s="3"/>
      <c r="AG32" s="3"/>
      <c r="AH32" s="3"/>
      <c r="AI32" s="3"/>
      <c r="AJ32" s="3"/>
    </row>
    <row r="33" ht="15.75" customHeight="1">
      <c r="A33" s="1"/>
      <c r="B33" s="105">
        <v>6.0</v>
      </c>
      <c r="C33" s="106" t="s">
        <v>74</v>
      </c>
      <c r="D33" s="107">
        <f>17000*12</f>
        <v>204000</v>
      </c>
      <c r="E33" s="144">
        <v>170.0</v>
      </c>
      <c r="F33" s="109">
        <f>E33*D33</f>
        <v>34680000</v>
      </c>
      <c r="G33" s="409">
        <v>368854.13999999926</v>
      </c>
      <c r="H33" s="111">
        <v>5074.0</v>
      </c>
      <c r="I33" s="112">
        <v>72.69494284588082</v>
      </c>
      <c r="J33" s="405" t="s">
        <v>76</v>
      </c>
      <c r="K33" s="342"/>
      <c r="L33" s="344" t="s">
        <v>10</v>
      </c>
      <c r="M33" s="345" t="s">
        <v>14</v>
      </c>
      <c r="N33" s="344" t="s">
        <v>18</v>
      </c>
      <c r="O33" s="345" t="s">
        <v>22</v>
      </c>
      <c r="P33" s="344" t="s">
        <v>26</v>
      </c>
      <c r="Q33" s="345" t="s">
        <v>30</v>
      </c>
      <c r="R33" s="344" t="s">
        <v>34</v>
      </c>
      <c r="S33" s="345" t="s">
        <v>38</v>
      </c>
      <c r="T33" s="344" t="s">
        <v>42</v>
      </c>
      <c r="U33" s="345" t="s">
        <v>46</v>
      </c>
      <c r="V33" s="344" t="s">
        <v>50</v>
      </c>
      <c r="W33" s="345" t="s">
        <v>54</v>
      </c>
      <c r="X33" s="143"/>
      <c r="Y33" s="122">
        <v>2027.0</v>
      </c>
      <c r="Z33" s="346">
        <v>2026.0</v>
      </c>
      <c r="AA33" s="49"/>
      <c r="AB33" s="3"/>
      <c r="AC33" s="3"/>
      <c r="AD33" s="3"/>
      <c r="AE33" s="3"/>
      <c r="AF33" s="3"/>
      <c r="AG33" s="3"/>
      <c r="AH33" s="3"/>
      <c r="AI33" s="3"/>
      <c r="AJ33" s="3"/>
    </row>
    <row r="34" ht="15.75" customHeight="1">
      <c r="A34" s="1"/>
      <c r="B34" s="105"/>
      <c r="C34" s="106"/>
      <c r="D34" s="107"/>
      <c r="E34" s="144"/>
      <c r="F34" s="109"/>
      <c r="G34" s="409"/>
      <c r="H34" s="111"/>
      <c r="I34" s="112"/>
      <c r="J34" s="50" t="s">
        <v>78</v>
      </c>
      <c r="K34" s="347"/>
      <c r="L34" s="348">
        <v>0.08</v>
      </c>
      <c r="M34" s="348">
        <v>0.06</v>
      </c>
      <c r="N34" s="348">
        <v>0.07</v>
      </c>
      <c r="O34" s="348">
        <v>0.07</v>
      </c>
      <c r="P34" s="348">
        <v>0.08</v>
      </c>
      <c r="Q34" s="348">
        <v>0.08</v>
      </c>
      <c r="R34" s="348">
        <v>0.07</v>
      </c>
      <c r="S34" s="348">
        <v>0.08</v>
      </c>
      <c r="T34" s="348">
        <v>0.08</v>
      </c>
      <c r="U34" s="348">
        <v>0.09</v>
      </c>
      <c r="V34" s="348">
        <v>0.11</v>
      </c>
      <c r="W34" s="348">
        <v>0.13</v>
      </c>
      <c r="X34" s="125"/>
      <c r="Y34" s="165">
        <f>SUM(L34:W34)</f>
        <v>1</v>
      </c>
      <c r="Z34" s="406">
        <v>1.0</v>
      </c>
      <c r="AA34" s="64"/>
      <c r="AB34" s="3"/>
      <c r="AC34" s="3"/>
      <c r="AD34" s="3"/>
      <c r="AE34" s="3"/>
      <c r="AF34" s="3"/>
      <c r="AG34" s="3"/>
      <c r="AH34" s="3"/>
      <c r="AI34" s="3"/>
      <c r="AJ34" s="3"/>
    </row>
    <row r="35" ht="15.75" customHeight="1">
      <c r="A35" s="1"/>
      <c r="B35" s="105"/>
      <c r="C35" s="106"/>
      <c r="D35" s="107"/>
      <c r="E35" s="144"/>
      <c r="F35" s="109"/>
      <c r="G35" s="409"/>
      <c r="H35" s="111"/>
      <c r="I35" s="112"/>
      <c r="J35" s="50" t="s">
        <v>63</v>
      </c>
      <c r="K35" s="347"/>
      <c r="L35" s="66">
        <f t="shared" ref="L35:W35" si="26">($Y$35)*L34</f>
        <v>160000</v>
      </c>
      <c r="M35" s="66">
        <f t="shared" si="26"/>
        <v>120000</v>
      </c>
      <c r="N35" s="66">
        <f t="shared" si="26"/>
        <v>140000</v>
      </c>
      <c r="O35" s="66">
        <f t="shared" si="26"/>
        <v>140000</v>
      </c>
      <c r="P35" s="66">
        <f t="shared" si="26"/>
        <v>160000</v>
      </c>
      <c r="Q35" s="66">
        <f t="shared" si="26"/>
        <v>160000</v>
      </c>
      <c r="R35" s="66">
        <f t="shared" si="26"/>
        <v>140000</v>
      </c>
      <c r="S35" s="66">
        <f t="shared" si="26"/>
        <v>160000</v>
      </c>
      <c r="T35" s="66">
        <f t="shared" si="26"/>
        <v>160000</v>
      </c>
      <c r="U35" s="66">
        <f t="shared" si="26"/>
        <v>180000</v>
      </c>
      <c r="V35" s="66">
        <f t="shared" si="26"/>
        <v>220000</v>
      </c>
      <c r="W35" s="66">
        <f t="shared" si="26"/>
        <v>260000</v>
      </c>
      <c r="X35" s="75"/>
      <c r="Y35" s="166">
        <v>2000000.0</v>
      </c>
      <c r="Z35" s="350">
        <v>1278979.9757081596</v>
      </c>
      <c r="AA35" s="78">
        <f t="shared" ref="AA35:AA37" si="28">Y35/Z35-1</f>
        <v>0.5637461399</v>
      </c>
      <c r="AB35" s="147">
        <v>0.03</v>
      </c>
      <c r="AC35" s="4">
        <f>Y35+AB35*Y35</f>
        <v>2060000</v>
      </c>
      <c r="AD35" s="3"/>
      <c r="AE35" s="3"/>
      <c r="AF35" s="3"/>
      <c r="AG35" s="3"/>
      <c r="AH35" s="3"/>
      <c r="AI35" s="3"/>
      <c r="AJ35" s="3"/>
    </row>
    <row r="36" ht="15.75" customHeight="1">
      <c r="A36" s="1"/>
      <c r="B36" s="105"/>
      <c r="C36" s="106"/>
      <c r="D36" s="107"/>
      <c r="E36" s="144"/>
      <c r="F36" s="109"/>
      <c r="G36" s="409"/>
      <c r="H36" s="111"/>
      <c r="I36" s="112"/>
      <c r="J36" s="50" t="s">
        <v>64</v>
      </c>
      <c r="K36" s="351">
        <v>72.0</v>
      </c>
      <c r="L36" s="81">
        <f t="shared" ref="L36:W36" si="27">L35/$K$36</f>
        <v>2222.222222</v>
      </c>
      <c r="M36" s="81">
        <f t="shared" si="27"/>
        <v>1666.666667</v>
      </c>
      <c r="N36" s="81">
        <f t="shared" si="27"/>
        <v>1944.444444</v>
      </c>
      <c r="O36" s="81">
        <f t="shared" si="27"/>
        <v>1944.444444</v>
      </c>
      <c r="P36" s="81">
        <f t="shared" si="27"/>
        <v>2222.222222</v>
      </c>
      <c r="Q36" s="81">
        <f t="shared" si="27"/>
        <v>2222.222222</v>
      </c>
      <c r="R36" s="81">
        <f t="shared" si="27"/>
        <v>1944.444444</v>
      </c>
      <c r="S36" s="81">
        <f t="shared" si="27"/>
        <v>2222.222222</v>
      </c>
      <c r="T36" s="81">
        <f t="shared" si="27"/>
        <v>2222.222222</v>
      </c>
      <c r="U36" s="81">
        <f t="shared" si="27"/>
        <v>2500</v>
      </c>
      <c r="V36" s="81">
        <f t="shared" si="27"/>
        <v>3055.555556</v>
      </c>
      <c r="W36" s="81">
        <f t="shared" si="27"/>
        <v>3611.111111</v>
      </c>
      <c r="X36" s="87"/>
      <c r="Y36" s="352">
        <f t="shared" ref="Y36:Y37" si="30">SUM(L36:W36)</f>
        <v>27777.77778</v>
      </c>
      <c r="Z36" s="353">
        <v>17673.87466261333</v>
      </c>
      <c r="AA36" s="78">
        <f t="shared" si="28"/>
        <v>0.5716857966</v>
      </c>
      <c r="AB36" s="411"/>
      <c r="AC36" s="3"/>
      <c r="AD36" s="3"/>
      <c r="AE36" s="3"/>
      <c r="AF36" s="3"/>
      <c r="AG36" s="3"/>
      <c r="AH36" s="3"/>
      <c r="AI36" s="3"/>
      <c r="AJ36" s="3"/>
    </row>
    <row r="37" ht="15.75" customHeight="1">
      <c r="A37" s="1"/>
      <c r="B37" s="105"/>
      <c r="C37" s="106"/>
      <c r="D37" s="107"/>
      <c r="E37" s="144"/>
      <c r="F37" s="109"/>
      <c r="G37" s="409"/>
      <c r="H37" s="111"/>
      <c r="I37" s="112"/>
      <c r="J37" s="91" t="s">
        <v>66</v>
      </c>
      <c r="K37" s="354">
        <v>0.04</v>
      </c>
      <c r="L37" s="94">
        <f t="shared" ref="L37:W37" si="29">MIN(L35, 500000) * 0.04 +
 MAX(0, MIN(L35, 1000000) - 500000) * 0.035 +
 MAX(0, L35 - 1000000) * 0.03</f>
        <v>6400</v>
      </c>
      <c r="M37" s="94">
        <f t="shared" si="29"/>
        <v>4800</v>
      </c>
      <c r="N37" s="94">
        <f t="shared" si="29"/>
        <v>5600</v>
      </c>
      <c r="O37" s="94">
        <f t="shared" si="29"/>
        <v>5600</v>
      </c>
      <c r="P37" s="94">
        <f t="shared" si="29"/>
        <v>6400</v>
      </c>
      <c r="Q37" s="94">
        <f t="shared" si="29"/>
        <v>6400</v>
      </c>
      <c r="R37" s="94">
        <f t="shared" si="29"/>
        <v>5600</v>
      </c>
      <c r="S37" s="94">
        <f t="shared" si="29"/>
        <v>6400</v>
      </c>
      <c r="T37" s="94">
        <f t="shared" si="29"/>
        <v>6400</v>
      </c>
      <c r="U37" s="94">
        <f t="shared" si="29"/>
        <v>7200</v>
      </c>
      <c r="V37" s="94">
        <f t="shared" si="29"/>
        <v>8800</v>
      </c>
      <c r="W37" s="94">
        <f t="shared" si="29"/>
        <v>10400</v>
      </c>
      <c r="X37" s="101"/>
      <c r="Y37" s="169">
        <f t="shared" si="30"/>
        <v>80000</v>
      </c>
      <c r="Z37" s="355">
        <v>51159.19902832639</v>
      </c>
      <c r="AA37" s="78">
        <f t="shared" si="28"/>
        <v>0.5637461399</v>
      </c>
      <c r="AB37" s="3"/>
      <c r="AC37" s="3"/>
      <c r="AD37" s="3"/>
      <c r="AE37" s="3"/>
      <c r="AF37" s="3"/>
      <c r="AG37" s="3"/>
      <c r="AH37" s="3"/>
      <c r="AI37" s="3"/>
      <c r="AJ37" s="3"/>
    </row>
    <row r="38" ht="15.75" customHeight="1">
      <c r="A38" s="1"/>
      <c r="B38" s="105"/>
      <c r="C38" s="106"/>
      <c r="D38" s="107"/>
      <c r="E38" s="144"/>
      <c r="F38" s="109"/>
      <c r="G38" s="409"/>
      <c r="H38" s="111"/>
      <c r="I38" s="112"/>
      <c r="J38" s="407"/>
      <c r="K38" s="113"/>
      <c r="L38" s="136"/>
      <c r="M38" s="136"/>
      <c r="N38" s="136"/>
      <c r="O38" s="149">
        <f t="shared" ref="O38:P38" si="31">O41/7000</f>
        <v>80</v>
      </c>
      <c r="P38" s="149">
        <f t="shared" si="31"/>
        <v>91.42857143</v>
      </c>
      <c r="Q38" s="160"/>
      <c r="R38" s="149">
        <f t="shared" ref="R38:W38" si="32">R41/7000</f>
        <v>114.2857143</v>
      </c>
      <c r="S38" s="149">
        <f t="shared" si="32"/>
        <v>91.42857143</v>
      </c>
      <c r="T38" s="149">
        <f t="shared" si="32"/>
        <v>91.42857143</v>
      </c>
      <c r="U38" s="149">
        <f t="shared" si="32"/>
        <v>114.2857143</v>
      </c>
      <c r="V38" s="149">
        <f t="shared" si="32"/>
        <v>114.2857143</v>
      </c>
      <c r="W38" s="149">
        <f t="shared" si="32"/>
        <v>114.2857143</v>
      </c>
      <c r="X38" s="137"/>
      <c r="Y38" s="137"/>
      <c r="Z38" s="410"/>
      <c r="AA38" s="170"/>
      <c r="AB38" s="3"/>
      <c r="AC38" s="3"/>
      <c r="AD38" s="3"/>
      <c r="AE38" s="3"/>
      <c r="AF38" s="3"/>
      <c r="AG38" s="3"/>
      <c r="AH38" s="3"/>
      <c r="AI38" s="3"/>
      <c r="AJ38" s="3"/>
    </row>
    <row r="39" ht="15.75" customHeight="1">
      <c r="A39" s="1"/>
      <c r="B39" s="105">
        <v>7.0</v>
      </c>
      <c r="C39" s="106" t="s">
        <v>77</v>
      </c>
      <c r="D39" s="107"/>
      <c r="E39" s="144"/>
      <c r="F39" s="109"/>
      <c r="G39" s="409"/>
      <c r="H39" s="111"/>
      <c r="I39" s="112"/>
      <c r="J39" s="405" t="s">
        <v>79</v>
      </c>
      <c r="K39" s="342"/>
      <c r="L39" s="344" t="s">
        <v>10</v>
      </c>
      <c r="M39" s="345" t="s">
        <v>14</v>
      </c>
      <c r="N39" s="344" t="s">
        <v>18</v>
      </c>
      <c r="O39" s="345" t="s">
        <v>22</v>
      </c>
      <c r="P39" s="344" t="s">
        <v>26</v>
      </c>
      <c r="Q39" s="345" t="s">
        <v>30</v>
      </c>
      <c r="R39" s="344" t="s">
        <v>34</v>
      </c>
      <c r="S39" s="345" t="s">
        <v>38</v>
      </c>
      <c r="T39" s="344" t="s">
        <v>42</v>
      </c>
      <c r="U39" s="345" t="s">
        <v>46</v>
      </c>
      <c r="V39" s="344" t="s">
        <v>50</v>
      </c>
      <c r="W39" s="345" t="s">
        <v>54</v>
      </c>
      <c r="X39" s="143"/>
      <c r="Y39" s="122">
        <v>2027.0</v>
      </c>
      <c r="Z39" s="346">
        <v>2026.0</v>
      </c>
      <c r="AA39" s="49"/>
      <c r="AB39" s="3"/>
      <c r="AC39" s="3"/>
      <c r="AD39" s="3"/>
      <c r="AE39" s="3"/>
      <c r="AF39" s="3"/>
      <c r="AG39" s="3"/>
      <c r="AH39" s="3"/>
      <c r="AI39" s="3"/>
      <c r="AJ39" s="3"/>
    </row>
    <row r="40" ht="15.75" customHeight="1">
      <c r="A40" s="1"/>
      <c r="B40" s="105"/>
      <c r="C40" s="106"/>
      <c r="D40" s="107"/>
      <c r="E40" s="144"/>
      <c r="F40" s="109"/>
      <c r="G40" s="409"/>
      <c r="H40" s="111"/>
      <c r="I40" s="112"/>
      <c r="J40" s="50" t="s">
        <v>61</v>
      </c>
      <c r="K40" s="347"/>
      <c r="L40" s="348">
        <v>0.07</v>
      </c>
      <c r="M40" s="348">
        <v>0.05</v>
      </c>
      <c r="N40" s="348">
        <v>0.07</v>
      </c>
      <c r="O40" s="348">
        <v>0.07</v>
      </c>
      <c r="P40" s="348">
        <v>0.08</v>
      </c>
      <c r="Q40" s="348">
        <v>0.1</v>
      </c>
      <c r="R40" s="348">
        <v>0.1</v>
      </c>
      <c r="S40" s="348">
        <v>0.08</v>
      </c>
      <c r="T40" s="348">
        <v>0.08</v>
      </c>
      <c r="U40" s="348">
        <v>0.1</v>
      </c>
      <c r="V40" s="348">
        <v>0.1</v>
      </c>
      <c r="W40" s="348">
        <v>0.1</v>
      </c>
      <c r="X40" s="125"/>
      <c r="Y40" s="165">
        <f>SUM(L40:W40)</f>
        <v>1</v>
      </c>
      <c r="Z40" s="406">
        <v>1.0</v>
      </c>
      <c r="AA40" s="64"/>
      <c r="AB40" s="3"/>
      <c r="AC40" s="3"/>
      <c r="AD40" s="3"/>
      <c r="AE40" s="3"/>
      <c r="AF40" s="3"/>
      <c r="AG40" s="3"/>
      <c r="AH40" s="3"/>
      <c r="AI40" s="3"/>
      <c r="AJ40" s="3"/>
    </row>
    <row r="41" ht="15.75" customHeight="1">
      <c r="A41" s="1"/>
      <c r="B41" s="105"/>
      <c r="C41" s="106"/>
      <c r="D41" s="107"/>
      <c r="E41" s="144"/>
      <c r="F41" s="109"/>
      <c r="G41" s="409"/>
      <c r="H41" s="111"/>
      <c r="I41" s="112"/>
      <c r="J41" s="50" t="s">
        <v>63</v>
      </c>
      <c r="K41" s="347"/>
      <c r="L41" s="66">
        <f t="shared" ref="L41:W41" si="33">($Y$41)*L40</f>
        <v>560000</v>
      </c>
      <c r="M41" s="66">
        <f t="shared" si="33"/>
        <v>400000</v>
      </c>
      <c r="N41" s="66">
        <f t="shared" si="33"/>
        <v>560000</v>
      </c>
      <c r="O41" s="66">
        <f t="shared" si="33"/>
        <v>560000</v>
      </c>
      <c r="P41" s="66">
        <f t="shared" si="33"/>
        <v>640000</v>
      </c>
      <c r="Q41" s="66">
        <f t="shared" si="33"/>
        <v>800000</v>
      </c>
      <c r="R41" s="66">
        <f t="shared" si="33"/>
        <v>800000</v>
      </c>
      <c r="S41" s="66">
        <f t="shared" si="33"/>
        <v>640000</v>
      </c>
      <c r="T41" s="66">
        <f t="shared" si="33"/>
        <v>640000</v>
      </c>
      <c r="U41" s="66">
        <f t="shared" si="33"/>
        <v>800000</v>
      </c>
      <c r="V41" s="66">
        <f t="shared" si="33"/>
        <v>800000</v>
      </c>
      <c r="W41" s="66">
        <f t="shared" si="33"/>
        <v>800000</v>
      </c>
      <c r="X41" s="75"/>
      <c r="Y41" s="166">
        <v>8000000.0</v>
      </c>
      <c r="Z41" s="350">
        <v>4000000.0</v>
      </c>
      <c r="AA41" s="78">
        <f t="shared" ref="AA41:AA43" si="35">Y41/Z41-1</f>
        <v>1</v>
      </c>
      <c r="AB41" s="147">
        <v>0.1</v>
      </c>
      <c r="AC41" s="4">
        <f>Y41+AB41*Y41</f>
        <v>8800000</v>
      </c>
      <c r="AD41" s="3"/>
      <c r="AE41" s="3"/>
      <c r="AF41" s="3"/>
      <c r="AG41" s="3"/>
      <c r="AH41" s="3"/>
      <c r="AI41" s="3"/>
      <c r="AJ41" s="3"/>
    </row>
    <row r="42" ht="15.75" customHeight="1">
      <c r="A42" s="1"/>
      <c r="B42" s="105"/>
      <c r="C42" s="106"/>
      <c r="D42" s="107"/>
      <c r="E42" s="144"/>
      <c r="F42" s="109"/>
      <c r="G42" s="409"/>
      <c r="H42" s="111"/>
      <c r="I42" s="112"/>
      <c r="J42" s="50" t="s">
        <v>64</v>
      </c>
      <c r="K42" s="351">
        <v>105.0</v>
      </c>
      <c r="L42" s="81">
        <f t="shared" ref="L42:W42" si="34">L41/$K$42</f>
        <v>5333.333333</v>
      </c>
      <c r="M42" s="81">
        <f t="shared" si="34"/>
        <v>3809.52381</v>
      </c>
      <c r="N42" s="81">
        <f t="shared" si="34"/>
        <v>5333.333333</v>
      </c>
      <c r="O42" s="81">
        <f t="shared" si="34"/>
        <v>5333.333333</v>
      </c>
      <c r="P42" s="81">
        <f t="shared" si="34"/>
        <v>6095.238095</v>
      </c>
      <c r="Q42" s="81">
        <f t="shared" si="34"/>
        <v>7619.047619</v>
      </c>
      <c r="R42" s="81">
        <f t="shared" si="34"/>
        <v>7619.047619</v>
      </c>
      <c r="S42" s="81">
        <f t="shared" si="34"/>
        <v>6095.238095</v>
      </c>
      <c r="T42" s="81">
        <f t="shared" si="34"/>
        <v>6095.238095</v>
      </c>
      <c r="U42" s="81">
        <f t="shared" si="34"/>
        <v>7619.047619</v>
      </c>
      <c r="V42" s="81">
        <f t="shared" si="34"/>
        <v>7619.047619</v>
      </c>
      <c r="W42" s="81">
        <f t="shared" si="34"/>
        <v>7619.047619</v>
      </c>
      <c r="X42" s="87"/>
      <c r="Y42" s="352">
        <f>SUM(L42:W42)</f>
        <v>76190.47619</v>
      </c>
      <c r="Z42" s="353">
        <v>38095.2380952381</v>
      </c>
      <c r="AA42" s="78">
        <f t="shared" si="35"/>
        <v>1</v>
      </c>
      <c r="AB42" s="3"/>
      <c r="AC42" s="3"/>
      <c r="AD42" s="3"/>
      <c r="AE42" s="3"/>
      <c r="AF42" s="3"/>
      <c r="AG42" s="3"/>
      <c r="AH42" s="3"/>
      <c r="AI42" s="3"/>
      <c r="AJ42" s="3"/>
    </row>
    <row r="43" ht="15.75" customHeight="1">
      <c r="A43" s="1"/>
      <c r="B43" s="105"/>
      <c r="C43" s="106"/>
      <c r="D43" s="107"/>
      <c r="E43" s="144"/>
      <c r="F43" s="109"/>
      <c r="G43" s="409"/>
      <c r="H43" s="111"/>
      <c r="I43" s="112"/>
      <c r="J43" s="91" t="s">
        <v>66</v>
      </c>
      <c r="K43" s="354">
        <v>0.03</v>
      </c>
      <c r="L43" s="94">
        <f t="shared" ref="L43:W43" si="36">MIN(L41, 500000) * 0.03 + MAX(0, MIN(L41, 1000000) - 500000) * 0.025 + MAX(0, MIN(L41, 2000000) - 1000000) * 0.0225 + MAX(0, MIN(L41, 3000000) - 2000000) * 0.02 + MAX(0, MIN(L41, 5000000) - 3000000) * 0.0175 + MAX(0, L41 - 5000000) * 0.015</f>
        <v>16500</v>
      </c>
      <c r="M43" s="94">
        <f t="shared" si="36"/>
        <v>12000</v>
      </c>
      <c r="N43" s="94">
        <f t="shared" si="36"/>
        <v>16500</v>
      </c>
      <c r="O43" s="94">
        <f t="shared" si="36"/>
        <v>16500</v>
      </c>
      <c r="P43" s="94">
        <f t="shared" si="36"/>
        <v>18500</v>
      </c>
      <c r="Q43" s="94">
        <f t="shared" si="36"/>
        <v>22500</v>
      </c>
      <c r="R43" s="94">
        <f t="shared" si="36"/>
        <v>22500</v>
      </c>
      <c r="S43" s="94">
        <f t="shared" si="36"/>
        <v>18500</v>
      </c>
      <c r="T43" s="94">
        <f t="shared" si="36"/>
        <v>18500</v>
      </c>
      <c r="U43" s="94">
        <f t="shared" si="36"/>
        <v>22500</v>
      </c>
      <c r="V43" s="94">
        <f t="shared" si="36"/>
        <v>22500</v>
      </c>
      <c r="W43" s="94">
        <f t="shared" si="36"/>
        <v>22500</v>
      </c>
      <c r="X43" s="101"/>
      <c r="Y43" s="169">
        <f>Y41*$K$43</f>
        <v>240000</v>
      </c>
      <c r="Z43" s="355">
        <v>120000.0</v>
      </c>
      <c r="AA43" s="78">
        <f t="shared" si="35"/>
        <v>1</v>
      </c>
      <c r="AB43" s="3"/>
      <c r="AC43" s="3"/>
      <c r="AD43" s="3"/>
      <c r="AE43" s="3"/>
      <c r="AF43" s="3"/>
      <c r="AG43" s="3"/>
      <c r="AH43" s="3"/>
      <c r="AI43" s="3"/>
      <c r="AJ43" s="3"/>
    </row>
    <row r="44" ht="15.75" customHeight="1">
      <c r="A44" s="1"/>
      <c r="B44" s="105"/>
      <c r="C44" s="106"/>
      <c r="D44" s="107"/>
      <c r="E44" s="144"/>
      <c r="F44" s="109"/>
      <c r="G44" s="409"/>
      <c r="H44" s="111"/>
      <c r="I44" s="112"/>
      <c r="J44" s="8"/>
      <c r="K44" s="148"/>
      <c r="L44" s="172">
        <f>L47/4600</f>
        <v>156.5217391</v>
      </c>
      <c r="M44" s="149">
        <f>M47/2890</f>
        <v>174.3944637</v>
      </c>
      <c r="N44" s="149">
        <f>N47/3000</f>
        <v>192</v>
      </c>
      <c r="O44" s="149">
        <f>O47/10000</f>
        <v>57.6</v>
      </c>
      <c r="P44" s="149">
        <f>P47/15000</f>
        <v>33.6</v>
      </c>
      <c r="Q44" s="160"/>
      <c r="R44" s="149">
        <f t="shared" ref="R44:U44" si="37">R47/15000</f>
        <v>28.8</v>
      </c>
      <c r="S44" s="149">
        <f t="shared" si="37"/>
        <v>38.4</v>
      </c>
      <c r="T44" s="149">
        <f t="shared" si="37"/>
        <v>43.2</v>
      </c>
      <c r="U44" s="149">
        <f t="shared" si="37"/>
        <v>48</v>
      </c>
      <c r="V44" s="149">
        <f>V47/25000</f>
        <v>28.8</v>
      </c>
      <c r="W44" s="149">
        <f>W47/15000</f>
        <v>52.8</v>
      </c>
      <c r="X44" s="13"/>
      <c r="Y44" s="13"/>
      <c r="Z44" s="14"/>
      <c r="AA44" s="15"/>
      <c r="AB44" s="3"/>
      <c r="AC44" s="3"/>
      <c r="AD44" s="157"/>
      <c r="AE44" s="3"/>
      <c r="AF44" s="3"/>
      <c r="AG44" s="3"/>
      <c r="AH44" s="3"/>
      <c r="AI44" s="3"/>
      <c r="AJ44" s="3"/>
    </row>
    <row r="45" ht="15.75" customHeight="1">
      <c r="A45" s="1"/>
      <c r="B45" s="105">
        <v>8.0</v>
      </c>
      <c r="C45" s="412" t="s">
        <v>80</v>
      </c>
      <c r="D45" s="107">
        <v>3000000.0</v>
      </c>
      <c r="E45" s="144">
        <v>80.0</v>
      </c>
      <c r="F45" s="109">
        <f>E45*D45</f>
        <v>240000000</v>
      </c>
      <c r="G45" s="409">
        <v>294165.12000000407</v>
      </c>
      <c r="H45" s="111">
        <v>3683.0</v>
      </c>
      <c r="I45" s="140">
        <v>79.87106163453817</v>
      </c>
      <c r="J45" s="413" t="s">
        <v>81</v>
      </c>
      <c r="K45" s="342"/>
      <c r="L45" s="344" t="s">
        <v>10</v>
      </c>
      <c r="M45" s="345" t="s">
        <v>14</v>
      </c>
      <c r="N45" s="344" t="s">
        <v>18</v>
      </c>
      <c r="O45" s="345" t="s">
        <v>22</v>
      </c>
      <c r="P45" s="344" t="s">
        <v>26</v>
      </c>
      <c r="Q45" s="345" t="s">
        <v>30</v>
      </c>
      <c r="R45" s="344" t="s">
        <v>34</v>
      </c>
      <c r="S45" s="345" t="s">
        <v>38</v>
      </c>
      <c r="T45" s="344" t="s">
        <v>42</v>
      </c>
      <c r="U45" s="345" t="s">
        <v>46</v>
      </c>
      <c r="V45" s="344" t="s">
        <v>50</v>
      </c>
      <c r="W45" s="345" t="s">
        <v>54</v>
      </c>
      <c r="X45" s="143"/>
      <c r="Y45" s="122">
        <v>2027.0</v>
      </c>
      <c r="Z45" s="346">
        <v>2026.0</v>
      </c>
      <c r="AA45" s="49"/>
      <c r="AB45" s="3"/>
      <c r="AC45" s="4"/>
      <c r="AD45" s="3"/>
      <c r="AE45" s="3"/>
      <c r="AF45" s="3"/>
      <c r="AG45" s="3"/>
      <c r="AH45" s="3"/>
      <c r="AI45" s="3"/>
      <c r="AJ45" s="3"/>
    </row>
    <row r="46" ht="15.75" customHeight="1">
      <c r="A46" s="1"/>
      <c r="B46" s="105"/>
      <c r="C46" s="106"/>
      <c r="D46" s="107"/>
      <c r="E46" s="144"/>
      <c r="F46" s="109"/>
      <c r="G46" s="409"/>
      <c r="H46" s="111"/>
      <c r="I46" s="140"/>
      <c r="J46" s="50" t="s">
        <v>61</v>
      </c>
      <c r="K46" s="347"/>
      <c r="L46" s="348">
        <v>0.1</v>
      </c>
      <c r="M46" s="348">
        <v>0.07</v>
      </c>
      <c r="N46" s="348">
        <v>0.08</v>
      </c>
      <c r="O46" s="348">
        <v>0.08</v>
      </c>
      <c r="P46" s="348">
        <v>0.07</v>
      </c>
      <c r="Q46" s="348">
        <v>0.06</v>
      </c>
      <c r="R46" s="348">
        <v>0.06</v>
      </c>
      <c r="S46" s="348">
        <v>0.08</v>
      </c>
      <c r="T46" s="348">
        <v>0.09</v>
      </c>
      <c r="U46" s="348">
        <v>0.1</v>
      </c>
      <c r="V46" s="348">
        <v>0.1</v>
      </c>
      <c r="W46" s="348">
        <v>0.11</v>
      </c>
      <c r="X46" s="125"/>
      <c r="Y46" s="165">
        <f>SUM(L46:W46)</f>
        <v>1</v>
      </c>
      <c r="Z46" s="406">
        <v>1.0</v>
      </c>
      <c r="AA46" s="64"/>
      <c r="AB46" s="3"/>
      <c r="AC46" s="3"/>
      <c r="AD46" s="3"/>
      <c r="AE46" s="3"/>
      <c r="AF46" s="3"/>
      <c r="AG46" s="3"/>
      <c r="AH46" s="3"/>
      <c r="AI46" s="3"/>
      <c r="AJ46" s="3"/>
    </row>
    <row r="47" ht="15.75" customHeight="1">
      <c r="A47" s="1"/>
      <c r="B47" s="105"/>
      <c r="C47" s="106"/>
      <c r="D47" s="107"/>
      <c r="E47" s="144"/>
      <c r="F47" s="109"/>
      <c r="G47" s="409"/>
      <c r="H47" s="111"/>
      <c r="I47" s="140"/>
      <c r="J47" s="50" t="s">
        <v>63</v>
      </c>
      <c r="K47" s="347"/>
      <c r="L47" s="66">
        <f t="shared" ref="L47:W47" si="38">($Y$47)*L46</f>
        <v>720000</v>
      </c>
      <c r="M47" s="66">
        <f t="shared" si="38"/>
        <v>504000</v>
      </c>
      <c r="N47" s="66">
        <f t="shared" si="38"/>
        <v>576000</v>
      </c>
      <c r="O47" s="66">
        <f t="shared" si="38"/>
        <v>576000</v>
      </c>
      <c r="P47" s="66">
        <f t="shared" si="38"/>
        <v>504000</v>
      </c>
      <c r="Q47" s="66">
        <f t="shared" si="38"/>
        <v>432000</v>
      </c>
      <c r="R47" s="66">
        <f t="shared" si="38"/>
        <v>432000</v>
      </c>
      <c r="S47" s="66">
        <f t="shared" si="38"/>
        <v>576000</v>
      </c>
      <c r="T47" s="66">
        <f t="shared" si="38"/>
        <v>648000</v>
      </c>
      <c r="U47" s="66">
        <f t="shared" si="38"/>
        <v>720000</v>
      </c>
      <c r="V47" s="66">
        <f t="shared" si="38"/>
        <v>720000</v>
      </c>
      <c r="W47" s="66">
        <f t="shared" si="38"/>
        <v>792000</v>
      </c>
      <c r="X47" s="75"/>
      <c r="Y47" s="166">
        <v>7200000.0</v>
      </c>
      <c r="Z47" s="350">
        <v>6000000.0</v>
      </c>
      <c r="AA47" s="78">
        <f t="shared" ref="AA47:AA49" si="40">Y47/Z47-1</f>
        <v>0.2</v>
      </c>
      <c r="AB47" s="147">
        <v>0.03</v>
      </c>
      <c r="AC47" s="4">
        <f>Y47+AB47*Y47</f>
        <v>7416000</v>
      </c>
      <c r="AD47" s="3"/>
      <c r="AE47" s="3"/>
      <c r="AF47" s="3"/>
      <c r="AG47" s="3"/>
      <c r="AH47" s="3"/>
      <c r="AI47" s="3"/>
      <c r="AJ47" s="3"/>
    </row>
    <row r="48" ht="15.75" customHeight="1">
      <c r="A48" s="1"/>
      <c r="B48" s="105"/>
      <c r="C48" s="106"/>
      <c r="D48" s="107"/>
      <c r="E48" s="144"/>
      <c r="F48" s="109"/>
      <c r="G48" s="409"/>
      <c r="H48" s="111"/>
      <c r="I48" s="140"/>
      <c r="J48" s="50" t="s">
        <v>64</v>
      </c>
      <c r="K48" s="351">
        <v>92.0</v>
      </c>
      <c r="L48" s="81">
        <f t="shared" ref="L48:W48" si="39">L47/$K$48</f>
        <v>7826.086957</v>
      </c>
      <c r="M48" s="81">
        <f t="shared" si="39"/>
        <v>5478.26087</v>
      </c>
      <c r="N48" s="81">
        <f t="shared" si="39"/>
        <v>6260.869565</v>
      </c>
      <c r="O48" s="81">
        <f t="shared" si="39"/>
        <v>6260.869565</v>
      </c>
      <c r="P48" s="81">
        <f t="shared" si="39"/>
        <v>5478.26087</v>
      </c>
      <c r="Q48" s="81">
        <f t="shared" si="39"/>
        <v>4695.652174</v>
      </c>
      <c r="R48" s="81">
        <f t="shared" si="39"/>
        <v>4695.652174</v>
      </c>
      <c r="S48" s="81">
        <f t="shared" si="39"/>
        <v>6260.869565</v>
      </c>
      <c r="T48" s="81">
        <f t="shared" si="39"/>
        <v>7043.478261</v>
      </c>
      <c r="U48" s="81">
        <f t="shared" si="39"/>
        <v>7826.086957</v>
      </c>
      <c r="V48" s="81">
        <f t="shared" si="39"/>
        <v>7826.086957</v>
      </c>
      <c r="W48" s="81">
        <f t="shared" si="39"/>
        <v>8608.695652</v>
      </c>
      <c r="X48" s="87"/>
      <c r="Y48" s="352">
        <f>Y47/$K$48</f>
        <v>78260.86957</v>
      </c>
      <c r="Z48" s="353">
        <v>65217.391304347824</v>
      </c>
      <c r="AA48" s="78">
        <f t="shared" si="40"/>
        <v>0.2</v>
      </c>
      <c r="AB48" s="3"/>
      <c r="AC48" s="3"/>
      <c r="AD48" s="3"/>
      <c r="AE48" s="3"/>
      <c r="AF48" s="3"/>
      <c r="AG48" s="3"/>
      <c r="AH48" s="3"/>
      <c r="AI48" s="3"/>
      <c r="AJ48" s="3"/>
    </row>
    <row r="49" ht="15.75" customHeight="1">
      <c r="A49" s="1"/>
      <c r="B49" s="105"/>
      <c r="C49" s="106"/>
      <c r="D49" s="107"/>
      <c r="E49" s="144"/>
      <c r="F49" s="109"/>
      <c r="G49" s="409"/>
      <c r="H49" s="111"/>
      <c r="I49" s="171">
        <v>0.0325</v>
      </c>
      <c r="J49" s="91" t="s">
        <v>66</v>
      </c>
      <c r="K49" s="354">
        <v>0.0325</v>
      </c>
      <c r="L49" s="94">
        <f t="shared" ref="L49:W49" si="41">IF(L48=0, 0, (MIN(L48, 10000) * 0.0325 + MAX(0, MIN(L48, 25000) - 10000) * 0.03 + MAX(0, MIN(L48, 50000) - 25000) * 0.0275 + MAX(0, L48 - 50000) * 0.025) * (L47 / L48))</f>
        <v>23400</v>
      </c>
      <c r="M49" s="94">
        <f t="shared" si="41"/>
        <v>16380</v>
      </c>
      <c r="N49" s="94">
        <f t="shared" si="41"/>
        <v>18720</v>
      </c>
      <c r="O49" s="94">
        <f t="shared" si="41"/>
        <v>18720</v>
      </c>
      <c r="P49" s="94">
        <f t="shared" si="41"/>
        <v>16380</v>
      </c>
      <c r="Q49" s="94">
        <f t="shared" si="41"/>
        <v>14040</v>
      </c>
      <c r="R49" s="94">
        <f t="shared" si="41"/>
        <v>14040</v>
      </c>
      <c r="S49" s="94">
        <f t="shared" si="41"/>
        <v>18720</v>
      </c>
      <c r="T49" s="94">
        <f t="shared" si="41"/>
        <v>21060</v>
      </c>
      <c r="U49" s="94">
        <f t="shared" si="41"/>
        <v>23400</v>
      </c>
      <c r="V49" s="94">
        <f t="shared" si="41"/>
        <v>23400</v>
      </c>
      <c r="W49" s="94">
        <f t="shared" si="41"/>
        <v>25740</v>
      </c>
      <c r="X49" s="101"/>
      <c r="Y49" s="169">
        <f>SUM(L49:W49)</f>
        <v>234000</v>
      </c>
      <c r="Z49" s="355">
        <v>192077.21240999998</v>
      </c>
      <c r="AA49" s="78">
        <f t="shared" si="40"/>
        <v>0.2182600792</v>
      </c>
      <c r="AB49" s="3"/>
      <c r="AC49" s="3"/>
      <c r="AD49" s="3"/>
      <c r="AE49" s="3"/>
      <c r="AF49" s="3"/>
      <c r="AG49" s="3"/>
      <c r="AH49" s="3"/>
      <c r="AI49" s="3"/>
      <c r="AJ49" s="3"/>
    </row>
    <row r="50" ht="15.75" customHeight="1">
      <c r="A50" s="1"/>
      <c r="B50" s="105"/>
      <c r="C50" s="106"/>
      <c r="D50" s="107"/>
      <c r="E50" s="144"/>
      <c r="F50" s="109"/>
      <c r="G50" s="409"/>
      <c r="H50" s="111"/>
      <c r="I50" s="173"/>
      <c r="J50" s="407"/>
      <c r="K50" s="175"/>
      <c r="L50" s="136"/>
      <c r="M50" s="136"/>
      <c r="N50" s="136"/>
      <c r="O50" s="136"/>
      <c r="P50" s="136"/>
      <c r="Q50" s="160"/>
      <c r="R50" s="136"/>
      <c r="S50" s="136"/>
      <c r="T50" s="136"/>
      <c r="U50" s="136"/>
      <c r="V50" s="136"/>
      <c r="W50" s="136"/>
      <c r="X50" s="137"/>
      <c r="Y50" s="137"/>
      <c r="Z50" s="410"/>
      <c r="AA50" s="15"/>
      <c r="AB50" s="3"/>
      <c r="AC50" s="3"/>
      <c r="AD50" s="3"/>
      <c r="AE50" s="3"/>
      <c r="AF50" s="3"/>
      <c r="AG50" s="3"/>
      <c r="AH50" s="3"/>
      <c r="AI50" s="3"/>
      <c r="AJ50" s="3"/>
    </row>
    <row r="51" ht="15.75" customHeight="1">
      <c r="A51" s="1"/>
      <c r="B51" s="105">
        <v>9.0</v>
      </c>
      <c r="C51" s="412" t="s">
        <v>82</v>
      </c>
      <c r="D51" s="107">
        <v>7200000.0</v>
      </c>
      <c r="E51" s="144">
        <v>30.0</v>
      </c>
      <c r="F51" s="109">
        <f>E51*D51</f>
        <v>216000000</v>
      </c>
      <c r="G51" s="409">
        <v>1580724.5999999477</v>
      </c>
      <c r="H51" s="111">
        <v>66014.0</v>
      </c>
      <c r="I51" s="140">
        <v>23.945293422606532</v>
      </c>
      <c r="J51" s="414" t="s">
        <v>83</v>
      </c>
      <c r="K51" s="342"/>
      <c r="L51" s="344" t="s">
        <v>10</v>
      </c>
      <c r="M51" s="345" t="s">
        <v>14</v>
      </c>
      <c r="N51" s="344" t="s">
        <v>18</v>
      </c>
      <c r="O51" s="345" t="s">
        <v>22</v>
      </c>
      <c r="P51" s="344" t="s">
        <v>26</v>
      </c>
      <c r="Q51" s="345" t="s">
        <v>30</v>
      </c>
      <c r="R51" s="344" t="s">
        <v>34</v>
      </c>
      <c r="S51" s="345" t="s">
        <v>38</v>
      </c>
      <c r="T51" s="344" t="s">
        <v>42</v>
      </c>
      <c r="U51" s="345" t="s">
        <v>46</v>
      </c>
      <c r="V51" s="344" t="s">
        <v>50</v>
      </c>
      <c r="W51" s="345" t="s">
        <v>54</v>
      </c>
      <c r="X51" s="143"/>
      <c r="Y51" s="122">
        <v>2027.0</v>
      </c>
      <c r="Z51" s="346">
        <v>2026.0</v>
      </c>
      <c r="AA51" s="49"/>
      <c r="AB51" s="3"/>
      <c r="AC51" s="3"/>
      <c r="AD51" s="3"/>
      <c r="AE51" s="3"/>
      <c r="AF51" s="3"/>
      <c r="AG51" s="3"/>
      <c r="AH51" s="3"/>
      <c r="AI51" s="3"/>
      <c r="AJ51" s="3"/>
    </row>
    <row r="52" ht="15.75" customHeight="1">
      <c r="A52" s="1"/>
      <c r="B52" s="105"/>
      <c r="C52" s="106"/>
      <c r="D52" s="107"/>
      <c r="E52" s="144"/>
      <c r="F52" s="109"/>
      <c r="G52" s="409"/>
      <c r="H52" s="111"/>
      <c r="I52" s="140"/>
      <c r="J52" s="50" t="s">
        <v>61</v>
      </c>
      <c r="K52" s="347"/>
      <c r="L52" s="348">
        <v>0.1</v>
      </c>
      <c r="M52" s="348">
        <v>0.07</v>
      </c>
      <c r="N52" s="348">
        <v>0.08</v>
      </c>
      <c r="O52" s="348">
        <v>0.08</v>
      </c>
      <c r="P52" s="348">
        <v>0.07</v>
      </c>
      <c r="Q52" s="348">
        <v>0.06</v>
      </c>
      <c r="R52" s="348">
        <v>0.06</v>
      </c>
      <c r="S52" s="348">
        <v>0.08</v>
      </c>
      <c r="T52" s="348">
        <v>0.09</v>
      </c>
      <c r="U52" s="348">
        <v>0.1</v>
      </c>
      <c r="V52" s="348">
        <v>0.1</v>
      </c>
      <c r="W52" s="348">
        <v>0.11</v>
      </c>
      <c r="X52" s="125"/>
      <c r="Y52" s="165">
        <f>SUM(L52:W52)</f>
        <v>1</v>
      </c>
      <c r="Z52" s="406">
        <v>1.0</v>
      </c>
      <c r="AA52" s="64"/>
      <c r="AB52" s="3"/>
      <c r="AC52" s="3"/>
      <c r="AD52" s="3"/>
      <c r="AE52" s="3"/>
      <c r="AF52" s="3"/>
      <c r="AG52" s="3"/>
      <c r="AH52" s="3"/>
      <c r="AI52" s="3"/>
      <c r="AJ52" s="3"/>
    </row>
    <row r="53" ht="15.75" customHeight="1">
      <c r="A53" s="1"/>
      <c r="B53" s="105"/>
      <c r="C53" s="106"/>
      <c r="D53" s="107"/>
      <c r="E53" s="144"/>
      <c r="F53" s="109"/>
      <c r="G53" s="409"/>
      <c r="H53" s="111"/>
      <c r="I53" s="140"/>
      <c r="J53" s="50" t="s">
        <v>63</v>
      </c>
      <c r="K53" s="347"/>
      <c r="L53" s="66">
        <f t="shared" ref="L53:W53" si="42">($Y$53)*L52</f>
        <v>2000000</v>
      </c>
      <c r="M53" s="66">
        <f t="shared" si="42"/>
        <v>1400000</v>
      </c>
      <c r="N53" s="66">
        <f t="shared" si="42"/>
        <v>1600000</v>
      </c>
      <c r="O53" s="66">
        <f t="shared" si="42"/>
        <v>1600000</v>
      </c>
      <c r="P53" s="66">
        <f t="shared" si="42"/>
        <v>1400000</v>
      </c>
      <c r="Q53" s="66">
        <f t="shared" si="42"/>
        <v>1200000</v>
      </c>
      <c r="R53" s="66">
        <f t="shared" si="42"/>
        <v>1200000</v>
      </c>
      <c r="S53" s="66">
        <f t="shared" si="42"/>
        <v>1600000</v>
      </c>
      <c r="T53" s="66">
        <f t="shared" si="42"/>
        <v>1800000</v>
      </c>
      <c r="U53" s="66">
        <f t="shared" si="42"/>
        <v>2000000</v>
      </c>
      <c r="V53" s="66">
        <f t="shared" si="42"/>
        <v>2000000</v>
      </c>
      <c r="W53" s="66">
        <f t="shared" si="42"/>
        <v>2200000</v>
      </c>
      <c r="X53" s="75"/>
      <c r="Y53" s="166">
        <v>2.0E7</v>
      </c>
      <c r="Z53" s="350">
        <v>1.4E7</v>
      </c>
      <c r="AA53" s="78">
        <f t="shared" ref="AA53:AA55" si="44">Y53/Z53-1</f>
        <v>0.4285714286</v>
      </c>
      <c r="AB53" s="147">
        <v>0.03</v>
      </c>
      <c r="AC53" s="4">
        <f>Y53+AB53*Y53</f>
        <v>20600000</v>
      </c>
      <c r="AD53" s="3"/>
      <c r="AE53" s="3"/>
      <c r="AF53" s="3"/>
      <c r="AG53" s="3"/>
      <c r="AH53" s="3"/>
      <c r="AI53" s="3"/>
      <c r="AJ53" s="3"/>
    </row>
    <row r="54" ht="15.75" customHeight="1">
      <c r="A54" s="1"/>
      <c r="B54" s="105"/>
      <c r="C54" s="106"/>
      <c r="D54" s="107"/>
      <c r="E54" s="144"/>
      <c r="F54" s="109"/>
      <c r="G54" s="409"/>
      <c r="H54" s="111"/>
      <c r="I54" s="140"/>
      <c r="J54" s="50" t="s">
        <v>64</v>
      </c>
      <c r="K54" s="351">
        <v>30.0</v>
      </c>
      <c r="L54" s="81">
        <f t="shared" ref="L54:W54" si="43">L53/$K$54</f>
        <v>66666.66667</v>
      </c>
      <c r="M54" s="81">
        <f t="shared" si="43"/>
        <v>46666.66667</v>
      </c>
      <c r="N54" s="81">
        <f t="shared" si="43"/>
        <v>53333.33333</v>
      </c>
      <c r="O54" s="81">
        <f t="shared" si="43"/>
        <v>53333.33333</v>
      </c>
      <c r="P54" s="81">
        <f t="shared" si="43"/>
        <v>46666.66667</v>
      </c>
      <c r="Q54" s="81">
        <f t="shared" si="43"/>
        <v>40000</v>
      </c>
      <c r="R54" s="81">
        <f t="shared" si="43"/>
        <v>40000</v>
      </c>
      <c r="S54" s="81">
        <f t="shared" si="43"/>
        <v>53333.33333</v>
      </c>
      <c r="T54" s="81">
        <f t="shared" si="43"/>
        <v>60000</v>
      </c>
      <c r="U54" s="81">
        <f t="shared" si="43"/>
        <v>66666.66667</v>
      </c>
      <c r="V54" s="81">
        <f t="shared" si="43"/>
        <v>66666.66667</v>
      </c>
      <c r="W54" s="81">
        <f t="shared" si="43"/>
        <v>73333.33333</v>
      </c>
      <c r="X54" s="87"/>
      <c r="Y54" s="352">
        <f t="shared" ref="Y54:Y55" si="46">SUM(L54:W54)</f>
        <v>666666.6667</v>
      </c>
      <c r="Z54" s="353">
        <v>466620.5833333333</v>
      </c>
      <c r="AA54" s="78">
        <f t="shared" si="44"/>
        <v>0.4287125139</v>
      </c>
      <c r="AB54" s="3"/>
      <c r="AC54" s="3"/>
      <c r="AD54" s="3"/>
      <c r="AE54" s="3"/>
      <c r="AF54" s="3"/>
      <c r="AG54" s="3"/>
      <c r="AH54" s="3"/>
      <c r="AI54" s="3"/>
      <c r="AJ54" s="3"/>
    </row>
    <row r="55" ht="15.75" customHeight="1">
      <c r="A55" s="1"/>
      <c r="B55" s="105"/>
      <c r="C55" s="106"/>
      <c r="D55" s="107"/>
      <c r="E55" s="144"/>
      <c r="F55" s="109"/>
      <c r="G55" s="409"/>
      <c r="H55" s="111"/>
      <c r="I55" s="112"/>
      <c r="J55" s="91" t="s">
        <v>66</v>
      </c>
      <c r="K55" s="354">
        <v>0.04</v>
      </c>
      <c r="L55" s="94">
        <f t="shared" ref="L55:W55" si="45">IF(L53&gt;=1000000,$K$55*L53,0)</f>
        <v>80000</v>
      </c>
      <c r="M55" s="94">
        <f t="shared" si="45"/>
        <v>56000</v>
      </c>
      <c r="N55" s="94">
        <f t="shared" si="45"/>
        <v>64000</v>
      </c>
      <c r="O55" s="94">
        <f t="shared" si="45"/>
        <v>64000</v>
      </c>
      <c r="P55" s="94">
        <f t="shared" si="45"/>
        <v>56000</v>
      </c>
      <c r="Q55" s="94">
        <f t="shared" si="45"/>
        <v>48000</v>
      </c>
      <c r="R55" s="94">
        <f t="shared" si="45"/>
        <v>48000</v>
      </c>
      <c r="S55" s="94">
        <f t="shared" si="45"/>
        <v>64000</v>
      </c>
      <c r="T55" s="94">
        <f t="shared" si="45"/>
        <v>72000</v>
      </c>
      <c r="U55" s="94">
        <f t="shared" si="45"/>
        <v>80000</v>
      </c>
      <c r="V55" s="94">
        <f t="shared" si="45"/>
        <v>80000</v>
      </c>
      <c r="W55" s="94">
        <f t="shared" si="45"/>
        <v>88000</v>
      </c>
      <c r="X55" s="101"/>
      <c r="Y55" s="169">
        <f t="shared" si="46"/>
        <v>800000</v>
      </c>
      <c r="Z55" s="355">
        <v>465038.995</v>
      </c>
      <c r="AA55" s="78">
        <f t="shared" si="44"/>
        <v>0.720285844</v>
      </c>
      <c r="AB55" s="3"/>
      <c r="AC55" s="3"/>
      <c r="AD55" s="3"/>
      <c r="AE55" s="3"/>
      <c r="AF55" s="3"/>
      <c r="AG55" s="3"/>
      <c r="AH55" s="3"/>
      <c r="AI55" s="3"/>
      <c r="AJ55" s="3"/>
    </row>
    <row r="56" ht="15.75" customHeight="1">
      <c r="A56" s="1"/>
      <c r="B56" s="105"/>
      <c r="C56" s="106"/>
      <c r="D56" s="107"/>
      <c r="E56" s="144"/>
      <c r="F56" s="109"/>
      <c r="G56" s="409"/>
      <c r="H56" s="111"/>
      <c r="I56" s="112"/>
      <c r="J56" s="407"/>
      <c r="K56" s="113"/>
      <c r="L56" s="149"/>
      <c r="M56" s="149"/>
      <c r="N56" s="149"/>
      <c r="O56" s="149"/>
      <c r="P56" s="149"/>
      <c r="Q56" s="160"/>
      <c r="R56" s="149"/>
      <c r="S56" s="149"/>
      <c r="T56" s="149"/>
      <c r="U56" s="149"/>
      <c r="V56" s="149"/>
      <c r="W56" s="149"/>
      <c r="X56" s="415"/>
      <c r="Y56" s="176"/>
      <c r="Z56" s="416"/>
      <c r="AA56" s="15"/>
      <c r="AB56" s="3"/>
      <c r="AC56" s="3"/>
      <c r="AD56" s="3"/>
      <c r="AE56" s="3"/>
      <c r="AF56" s="3"/>
      <c r="AG56" s="3"/>
      <c r="AH56" s="3"/>
      <c r="AI56" s="3"/>
      <c r="AJ56" s="3"/>
    </row>
    <row r="57" ht="15.75" customHeight="1">
      <c r="A57" s="1"/>
      <c r="B57" s="105">
        <v>10.0</v>
      </c>
      <c r="C57" s="412" t="s">
        <v>84</v>
      </c>
      <c r="D57" s="107">
        <f>3000*12*8</f>
        <v>288000</v>
      </c>
      <c r="E57" s="144">
        <v>100.0</v>
      </c>
      <c r="F57" s="109">
        <f>E57*D57</f>
        <v>28800000</v>
      </c>
      <c r="G57" s="409">
        <v>195455.89999999918</v>
      </c>
      <c r="H57" s="111">
        <v>1727.0</v>
      </c>
      <c r="I57" s="112">
        <v>113.17654892877775</v>
      </c>
      <c r="J57" s="405" t="s">
        <v>85</v>
      </c>
      <c r="K57" s="342"/>
      <c r="L57" s="344" t="s">
        <v>10</v>
      </c>
      <c r="M57" s="345" t="s">
        <v>14</v>
      </c>
      <c r="N57" s="344" t="s">
        <v>18</v>
      </c>
      <c r="O57" s="345" t="s">
        <v>22</v>
      </c>
      <c r="P57" s="344" t="s">
        <v>26</v>
      </c>
      <c r="Q57" s="345" t="s">
        <v>30</v>
      </c>
      <c r="R57" s="344" t="s">
        <v>34</v>
      </c>
      <c r="S57" s="345" t="s">
        <v>38</v>
      </c>
      <c r="T57" s="344" t="s">
        <v>42</v>
      </c>
      <c r="U57" s="345" t="s">
        <v>46</v>
      </c>
      <c r="V57" s="344" t="s">
        <v>50</v>
      </c>
      <c r="W57" s="345" t="s">
        <v>54</v>
      </c>
      <c r="X57" s="143"/>
      <c r="Y57" s="122">
        <v>2027.0</v>
      </c>
      <c r="Z57" s="346">
        <v>2026.0</v>
      </c>
      <c r="AA57" s="49"/>
      <c r="AB57" s="3"/>
      <c r="AC57" s="3"/>
      <c r="AD57" s="3"/>
      <c r="AE57" s="3"/>
      <c r="AF57" s="3"/>
      <c r="AG57" s="3"/>
      <c r="AH57" s="3"/>
      <c r="AI57" s="3"/>
      <c r="AJ57" s="3"/>
    </row>
    <row r="58" ht="15.75" customHeight="1">
      <c r="A58" s="1"/>
      <c r="B58" s="105"/>
      <c r="C58" s="106"/>
      <c r="D58" s="107"/>
      <c r="E58" s="144"/>
      <c r="F58" s="109"/>
      <c r="G58" s="409"/>
      <c r="H58" s="111"/>
      <c r="I58" s="112"/>
      <c r="J58" s="50" t="s">
        <v>61</v>
      </c>
      <c r="K58" s="347"/>
      <c r="L58" s="348">
        <v>0.08</v>
      </c>
      <c r="M58" s="348">
        <v>0.06</v>
      </c>
      <c r="N58" s="348">
        <v>0.07</v>
      </c>
      <c r="O58" s="348">
        <v>0.07</v>
      </c>
      <c r="P58" s="348">
        <v>0.08</v>
      </c>
      <c r="Q58" s="348">
        <v>0.08</v>
      </c>
      <c r="R58" s="348">
        <v>0.08</v>
      </c>
      <c r="S58" s="348">
        <v>0.08</v>
      </c>
      <c r="T58" s="348">
        <v>0.09</v>
      </c>
      <c r="U58" s="348">
        <v>0.1</v>
      </c>
      <c r="V58" s="348">
        <v>0.11</v>
      </c>
      <c r="W58" s="348">
        <v>0.1</v>
      </c>
      <c r="X58" s="125"/>
      <c r="Y58" s="165">
        <f>SUM(L58:W58)</f>
        <v>1</v>
      </c>
      <c r="Z58" s="406">
        <v>1.0</v>
      </c>
      <c r="AA58" s="64"/>
      <c r="AB58" s="3"/>
      <c r="AC58" s="3"/>
      <c r="AD58" s="3"/>
      <c r="AE58" s="3"/>
      <c r="AF58" s="3"/>
      <c r="AG58" s="3"/>
      <c r="AH58" s="3"/>
      <c r="AI58" s="3"/>
      <c r="AJ58" s="3"/>
    </row>
    <row r="59" ht="15.75" customHeight="1">
      <c r="A59" s="1"/>
      <c r="B59" s="105"/>
      <c r="C59" s="106"/>
      <c r="D59" s="107"/>
      <c r="E59" s="144"/>
      <c r="F59" s="109"/>
      <c r="G59" s="409"/>
      <c r="H59" s="111"/>
      <c r="I59" s="112"/>
      <c r="J59" s="50" t="s">
        <v>63</v>
      </c>
      <c r="K59" s="347"/>
      <c r="L59" s="66">
        <f t="shared" ref="L59:W59" si="47">($Y$59)*L58</f>
        <v>168000</v>
      </c>
      <c r="M59" s="66">
        <f t="shared" si="47"/>
        <v>126000</v>
      </c>
      <c r="N59" s="66">
        <f t="shared" si="47"/>
        <v>147000</v>
      </c>
      <c r="O59" s="66">
        <f t="shared" si="47"/>
        <v>147000</v>
      </c>
      <c r="P59" s="66">
        <f t="shared" si="47"/>
        <v>168000</v>
      </c>
      <c r="Q59" s="66">
        <f t="shared" si="47"/>
        <v>168000</v>
      </c>
      <c r="R59" s="66">
        <f t="shared" si="47"/>
        <v>168000</v>
      </c>
      <c r="S59" s="66">
        <f t="shared" si="47"/>
        <v>168000</v>
      </c>
      <c r="T59" s="66">
        <f t="shared" si="47"/>
        <v>189000</v>
      </c>
      <c r="U59" s="66">
        <f t="shared" si="47"/>
        <v>210000</v>
      </c>
      <c r="V59" s="66">
        <f t="shared" si="47"/>
        <v>231000</v>
      </c>
      <c r="W59" s="66">
        <f t="shared" si="47"/>
        <v>210000</v>
      </c>
      <c r="X59" s="75"/>
      <c r="Y59" s="166">
        <v>2100000.0</v>
      </c>
      <c r="Z59" s="350">
        <v>2000000.0</v>
      </c>
      <c r="AA59" s="78">
        <f t="shared" ref="AA59:AA61" si="49">Y59/Z59-1</f>
        <v>0.05</v>
      </c>
      <c r="AB59" s="147">
        <v>0.03</v>
      </c>
      <c r="AC59" s="4">
        <f>Y59+AB59*Y59</f>
        <v>2163000</v>
      </c>
      <c r="AD59" s="3"/>
      <c r="AE59" s="3"/>
      <c r="AF59" s="3"/>
      <c r="AG59" s="3"/>
      <c r="AH59" s="3"/>
      <c r="AI59" s="3"/>
      <c r="AJ59" s="3"/>
    </row>
    <row r="60" ht="15.75" customHeight="1">
      <c r="A60" s="1"/>
      <c r="B60" s="105"/>
      <c r="C60" s="106"/>
      <c r="D60" s="107"/>
      <c r="E60" s="144"/>
      <c r="F60" s="109"/>
      <c r="G60" s="409"/>
      <c r="H60" s="111"/>
      <c r="I60" s="112"/>
      <c r="J60" s="50" t="s">
        <v>64</v>
      </c>
      <c r="K60" s="351">
        <v>114.0</v>
      </c>
      <c r="L60" s="81">
        <f t="shared" ref="L60:W60" si="48">L59/$K$60</f>
        <v>1473.684211</v>
      </c>
      <c r="M60" s="81">
        <f t="shared" si="48"/>
        <v>1105.263158</v>
      </c>
      <c r="N60" s="81">
        <f t="shared" si="48"/>
        <v>1289.473684</v>
      </c>
      <c r="O60" s="81">
        <f t="shared" si="48"/>
        <v>1289.473684</v>
      </c>
      <c r="P60" s="81">
        <f t="shared" si="48"/>
        <v>1473.684211</v>
      </c>
      <c r="Q60" s="81">
        <f t="shared" si="48"/>
        <v>1473.684211</v>
      </c>
      <c r="R60" s="81">
        <f t="shared" si="48"/>
        <v>1473.684211</v>
      </c>
      <c r="S60" s="81">
        <f t="shared" si="48"/>
        <v>1473.684211</v>
      </c>
      <c r="T60" s="81">
        <f t="shared" si="48"/>
        <v>1657.894737</v>
      </c>
      <c r="U60" s="81">
        <f t="shared" si="48"/>
        <v>1842.105263</v>
      </c>
      <c r="V60" s="81">
        <f t="shared" si="48"/>
        <v>2026.315789</v>
      </c>
      <c r="W60" s="81">
        <f t="shared" si="48"/>
        <v>1842.105263</v>
      </c>
      <c r="X60" s="87"/>
      <c r="Y60" s="352">
        <f t="shared" ref="Y60:Y61" si="51">SUM(L60:W60)</f>
        <v>18421.05263</v>
      </c>
      <c r="Z60" s="353">
        <v>17525.14035087719</v>
      </c>
      <c r="AA60" s="78">
        <f t="shared" si="49"/>
        <v>0.05112154669</v>
      </c>
      <c r="AB60" s="3"/>
      <c r="AC60" s="3"/>
      <c r="AD60" s="3"/>
      <c r="AE60" s="3"/>
      <c r="AF60" s="3"/>
      <c r="AG60" s="3"/>
      <c r="AH60" s="3"/>
      <c r="AI60" s="3"/>
      <c r="AJ60" s="3"/>
    </row>
    <row r="61" ht="15.75" customHeight="1">
      <c r="A61" s="1"/>
      <c r="B61" s="105"/>
      <c r="C61" s="106"/>
      <c r="D61" s="107"/>
      <c r="E61" s="144"/>
      <c r="F61" s="109"/>
      <c r="G61" s="409"/>
      <c r="H61" s="111"/>
      <c r="I61" s="112"/>
      <c r="J61" s="91" t="s">
        <v>66</v>
      </c>
      <c r="K61" s="354">
        <v>0.039</v>
      </c>
      <c r="L61" s="94">
        <f t="shared" ref="L61:W61" si="50">L59*$K$61</f>
        <v>6552</v>
      </c>
      <c r="M61" s="94">
        <f t="shared" si="50"/>
        <v>4914</v>
      </c>
      <c r="N61" s="94">
        <f t="shared" si="50"/>
        <v>5733</v>
      </c>
      <c r="O61" s="94">
        <f t="shared" si="50"/>
        <v>5733</v>
      </c>
      <c r="P61" s="94">
        <f t="shared" si="50"/>
        <v>6552</v>
      </c>
      <c r="Q61" s="94">
        <f t="shared" si="50"/>
        <v>6552</v>
      </c>
      <c r="R61" s="94">
        <f t="shared" si="50"/>
        <v>6552</v>
      </c>
      <c r="S61" s="94">
        <f t="shared" si="50"/>
        <v>6552</v>
      </c>
      <c r="T61" s="94">
        <f t="shared" si="50"/>
        <v>7371</v>
      </c>
      <c r="U61" s="94">
        <f t="shared" si="50"/>
        <v>8190</v>
      </c>
      <c r="V61" s="94">
        <f t="shared" si="50"/>
        <v>9009</v>
      </c>
      <c r="W61" s="94">
        <f t="shared" si="50"/>
        <v>8190</v>
      </c>
      <c r="X61" s="101"/>
      <c r="Y61" s="169">
        <f t="shared" si="51"/>
        <v>81900</v>
      </c>
      <c r="Z61" s="355">
        <v>78000.0</v>
      </c>
      <c r="AA61" s="78">
        <f t="shared" si="49"/>
        <v>0.05</v>
      </c>
      <c r="AB61" s="3"/>
      <c r="AC61" s="3"/>
      <c r="AD61" s="3"/>
      <c r="AE61" s="3"/>
      <c r="AF61" s="3"/>
      <c r="AG61" s="3"/>
      <c r="AH61" s="3"/>
      <c r="AI61" s="3"/>
      <c r="AJ61" s="3"/>
    </row>
    <row r="62" ht="15.75" customHeight="1">
      <c r="A62" s="1"/>
      <c r="B62" s="105"/>
      <c r="C62" s="106"/>
      <c r="D62" s="107"/>
      <c r="E62" s="144"/>
      <c r="F62" s="109"/>
      <c r="G62" s="409"/>
      <c r="H62" s="111"/>
      <c r="I62" s="112"/>
      <c r="J62" s="8"/>
      <c r="K62" s="148"/>
      <c r="L62" s="136"/>
      <c r="M62" s="136"/>
      <c r="N62" s="136"/>
      <c r="O62" s="136"/>
      <c r="P62" s="136"/>
      <c r="Q62" s="160"/>
      <c r="R62" s="136"/>
      <c r="S62" s="136"/>
      <c r="T62" s="136"/>
      <c r="U62" s="136"/>
      <c r="V62" s="136"/>
      <c r="W62" s="136"/>
      <c r="X62" s="137"/>
      <c r="Y62" s="137"/>
      <c r="Z62" s="410"/>
      <c r="AA62" s="15"/>
      <c r="AB62" s="3"/>
      <c r="AC62" s="3"/>
      <c r="AD62" s="3"/>
      <c r="AE62" s="3"/>
      <c r="AF62" s="3"/>
      <c r="AG62" s="3"/>
      <c r="AH62" s="3"/>
      <c r="AI62" s="3"/>
      <c r="AJ62" s="3"/>
    </row>
    <row r="63" ht="15.75" customHeight="1">
      <c r="A63" s="1"/>
      <c r="B63" s="105">
        <v>11.0</v>
      </c>
      <c r="C63" s="412" t="s">
        <v>86</v>
      </c>
      <c r="D63" s="107">
        <f>80000*12</f>
        <v>960000</v>
      </c>
      <c r="E63" s="144">
        <v>60.0</v>
      </c>
      <c r="F63" s="109">
        <f>E63*D63</f>
        <v>57600000</v>
      </c>
      <c r="G63" s="409">
        <v>409141.4900000167</v>
      </c>
      <c r="H63" s="111">
        <v>13480.0</v>
      </c>
      <c r="I63" s="112">
        <v>30.351742581603613</v>
      </c>
      <c r="J63" s="405" t="s">
        <v>87</v>
      </c>
      <c r="K63" s="342"/>
      <c r="L63" s="344" t="s">
        <v>10</v>
      </c>
      <c r="M63" s="345" t="s">
        <v>14</v>
      </c>
      <c r="N63" s="344" t="s">
        <v>18</v>
      </c>
      <c r="O63" s="345" t="s">
        <v>22</v>
      </c>
      <c r="P63" s="344" t="s">
        <v>26</v>
      </c>
      <c r="Q63" s="345" t="s">
        <v>30</v>
      </c>
      <c r="R63" s="344" t="s">
        <v>34</v>
      </c>
      <c r="S63" s="345" t="s">
        <v>38</v>
      </c>
      <c r="T63" s="344" t="s">
        <v>42</v>
      </c>
      <c r="U63" s="345" t="s">
        <v>46</v>
      </c>
      <c r="V63" s="344" t="s">
        <v>50</v>
      </c>
      <c r="W63" s="345" t="s">
        <v>54</v>
      </c>
      <c r="X63" s="143"/>
      <c r="Y63" s="122">
        <v>2027.0</v>
      </c>
      <c r="Z63" s="346">
        <v>2026.0</v>
      </c>
      <c r="AA63" s="49"/>
      <c r="AB63" s="3"/>
      <c r="AC63" s="3"/>
      <c r="AD63" s="3"/>
      <c r="AE63" s="3"/>
      <c r="AF63" s="3"/>
      <c r="AG63" s="3"/>
      <c r="AH63" s="3"/>
      <c r="AI63" s="3"/>
      <c r="AJ63" s="3"/>
    </row>
    <row r="64" ht="15.75" customHeight="1">
      <c r="A64" s="1"/>
      <c r="B64" s="105"/>
      <c r="C64" s="106"/>
      <c r="D64" s="107"/>
      <c r="E64" s="144"/>
      <c r="F64" s="109"/>
      <c r="G64" s="409"/>
      <c r="H64" s="111"/>
      <c r="I64" s="112"/>
      <c r="J64" s="50" t="s">
        <v>61</v>
      </c>
      <c r="K64" s="347"/>
      <c r="L64" s="348">
        <v>0.1</v>
      </c>
      <c r="M64" s="348">
        <v>0.07</v>
      </c>
      <c r="N64" s="348">
        <v>0.08</v>
      </c>
      <c r="O64" s="348">
        <v>0.08</v>
      </c>
      <c r="P64" s="348">
        <v>0.07</v>
      </c>
      <c r="Q64" s="348">
        <v>0.06</v>
      </c>
      <c r="R64" s="348">
        <v>0.06</v>
      </c>
      <c r="S64" s="348">
        <v>0.08</v>
      </c>
      <c r="T64" s="348">
        <v>0.09</v>
      </c>
      <c r="U64" s="348">
        <v>0.1</v>
      </c>
      <c r="V64" s="348">
        <v>0.1</v>
      </c>
      <c r="W64" s="348">
        <v>0.11</v>
      </c>
      <c r="X64" s="125"/>
      <c r="Y64" s="165">
        <f>SUM(L64:W64)</f>
        <v>1</v>
      </c>
      <c r="Z64" s="406">
        <v>1.0</v>
      </c>
      <c r="AA64" s="64"/>
      <c r="AB64" s="3"/>
      <c r="AC64" s="3"/>
      <c r="AD64" s="3"/>
      <c r="AE64" s="3"/>
      <c r="AF64" s="3"/>
      <c r="AG64" s="3"/>
      <c r="AH64" s="3"/>
      <c r="AI64" s="3"/>
      <c r="AJ64" s="3"/>
    </row>
    <row r="65" ht="15.75" customHeight="1">
      <c r="A65" s="1"/>
      <c r="B65" s="105"/>
      <c r="C65" s="106"/>
      <c r="D65" s="107"/>
      <c r="E65" s="144"/>
      <c r="F65" s="109"/>
      <c r="G65" s="409"/>
      <c r="H65" s="111"/>
      <c r="I65" s="112"/>
      <c r="J65" s="50" t="s">
        <v>63</v>
      </c>
      <c r="K65" s="347"/>
      <c r="L65" s="66">
        <f t="shared" ref="L65:W65" si="52">($Y$65)*L64</f>
        <v>360000</v>
      </c>
      <c r="M65" s="66">
        <f t="shared" si="52"/>
        <v>252000</v>
      </c>
      <c r="N65" s="66">
        <f t="shared" si="52"/>
        <v>288000</v>
      </c>
      <c r="O65" s="66">
        <f t="shared" si="52"/>
        <v>288000</v>
      </c>
      <c r="P65" s="66">
        <f t="shared" si="52"/>
        <v>252000</v>
      </c>
      <c r="Q65" s="66">
        <f t="shared" si="52"/>
        <v>216000</v>
      </c>
      <c r="R65" s="66">
        <f t="shared" si="52"/>
        <v>216000</v>
      </c>
      <c r="S65" s="66">
        <f t="shared" si="52"/>
        <v>288000</v>
      </c>
      <c r="T65" s="66">
        <f t="shared" si="52"/>
        <v>324000</v>
      </c>
      <c r="U65" s="66">
        <f t="shared" si="52"/>
        <v>360000</v>
      </c>
      <c r="V65" s="66">
        <f t="shared" si="52"/>
        <v>360000</v>
      </c>
      <c r="W65" s="66">
        <f t="shared" si="52"/>
        <v>396000</v>
      </c>
      <c r="X65" s="75"/>
      <c r="Y65" s="166">
        <v>3600000.0</v>
      </c>
      <c r="Z65" s="350">
        <v>2200000.0</v>
      </c>
      <c r="AA65" s="78">
        <f t="shared" ref="AA65:AA67" si="54">Y65/Z65-1</f>
        <v>0.6363636364</v>
      </c>
      <c r="AB65" s="147">
        <v>0.03</v>
      </c>
      <c r="AC65" s="4">
        <f>Y65+AB65*Y65</f>
        <v>3708000</v>
      </c>
      <c r="AD65" s="3"/>
      <c r="AE65" s="3"/>
      <c r="AF65" s="3"/>
      <c r="AG65" s="3"/>
      <c r="AH65" s="3"/>
      <c r="AI65" s="3"/>
      <c r="AJ65" s="3"/>
    </row>
    <row r="66" ht="15.75" customHeight="1">
      <c r="A66" s="1"/>
      <c r="B66" s="105"/>
      <c r="C66" s="106"/>
      <c r="D66" s="107"/>
      <c r="E66" s="144"/>
      <c r="F66" s="109"/>
      <c r="G66" s="409"/>
      <c r="H66" s="111"/>
      <c r="I66" s="112"/>
      <c r="J66" s="50" t="s">
        <v>64</v>
      </c>
      <c r="K66" s="417">
        <v>40.0</v>
      </c>
      <c r="L66" s="81">
        <f t="shared" ref="L66:W66" si="53">L65/$K$66</f>
        <v>9000</v>
      </c>
      <c r="M66" s="81">
        <f t="shared" si="53"/>
        <v>6300</v>
      </c>
      <c r="N66" s="81">
        <f t="shared" si="53"/>
        <v>7200</v>
      </c>
      <c r="O66" s="81">
        <f t="shared" si="53"/>
        <v>7200</v>
      </c>
      <c r="P66" s="81">
        <f t="shared" si="53"/>
        <v>6300</v>
      </c>
      <c r="Q66" s="81">
        <f t="shared" si="53"/>
        <v>5400</v>
      </c>
      <c r="R66" s="81">
        <f t="shared" si="53"/>
        <v>5400</v>
      </c>
      <c r="S66" s="81">
        <f t="shared" si="53"/>
        <v>7200</v>
      </c>
      <c r="T66" s="81">
        <f t="shared" si="53"/>
        <v>8100</v>
      </c>
      <c r="U66" s="81">
        <f t="shared" si="53"/>
        <v>9000</v>
      </c>
      <c r="V66" s="81">
        <f t="shared" si="53"/>
        <v>9000</v>
      </c>
      <c r="W66" s="81">
        <f t="shared" si="53"/>
        <v>9900</v>
      </c>
      <c r="X66" s="87"/>
      <c r="Y66" s="352">
        <f t="shared" ref="Y66:Y67" si="56">SUM(L66:W66)</f>
        <v>90000</v>
      </c>
      <c r="Z66" s="353">
        <v>78493.39285714287</v>
      </c>
      <c r="AA66" s="78">
        <f t="shared" si="54"/>
        <v>0.1465933211</v>
      </c>
      <c r="AB66" s="3"/>
      <c r="AC66" s="3"/>
      <c r="AD66" s="3"/>
      <c r="AE66" s="3"/>
      <c r="AF66" s="3"/>
      <c r="AG66" s="3"/>
      <c r="AH66" s="3"/>
      <c r="AI66" s="3"/>
      <c r="AJ66" s="3"/>
    </row>
    <row r="67" ht="15.75" customHeight="1">
      <c r="A67" s="1"/>
      <c r="B67" s="105"/>
      <c r="C67" s="106"/>
      <c r="D67" s="107"/>
      <c r="E67" s="144"/>
      <c r="F67" s="109"/>
      <c r="G67" s="409"/>
      <c r="H67" s="111"/>
      <c r="I67" s="112"/>
      <c r="J67" s="91" t="s">
        <v>66</v>
      </c>
      <c r="K67" s="354">
        <v>0.03</v>
      </c>
      <c r="L67" s="94">
        <f t="shared" ref="L67:W67" si="55">MIN(L65, 650000) * 0.03 +
 MAX(0, MIN(L65, 2500000) - 650000) * 0.025 +
 MAX(0, MIN(L65, 4500000) - 2500000) * 0.0225 +
 MAX(0, MIN(L65, 7500000) - 4500000) * 0.02 +
 MAX(0, MIN(L65, 11500000) - 7500000) * 0.015 +
 MAX(0, L65 - 11500000) * 0.01</f>
        <v>10800</v>
      </c>
      <c r="M67" s="94">
        <f t="shared" si="55"/>
        <v>7560</v>
      </c>
      <c r="N67" s="94">
        <f t="shared" si="55"/>
        <v>8640</v>
      </c>
      <c r="O67" s="94">
        <f t="shared" si="55"/>
        <v>8640</v>
      </c>
      <c r="P67" s="94">
        <f t="shared" si="55"/>
        <v>7560</v>
      </c>
      <c r="Q67" s="94">
        <f t="shared" si="55"/>
        <v>6480</v>
      </c>
      <c r="R67" s="94">
        <f t="shared" si="55"/>
        <v>6480</v>
      </c>
      <c r="S67" s="94">
        <f t="shared" si="55"/>
        <v>8640</v>
      </c>
      <c r="T67" s="94">
        <f t="shared" si="55"/>
        <v>9720</v>
      </c>
      <c r="U67" s="94">
        <f t="shared" si="55"/>
        <v>10800</v>
      </c>
      <c r="V67" s="94">
        <f t="shared" si="55"/>
        <v>10800</v>
      </c>
      <c r="W67" s="94">
        <f t="shared" si="55"/>
        <v>11880</v>
      </c>
      <c r="X67" s="101"/>
      <c r="Y67" s="169">
        <f t="shared" si="56"/>
        <v>108000</v>
      </c>
      <c r="Z67" s="355">
        <v>66000.0</v>
      </c>
      <c r="AA67" s="78">
        <f t="shared" si="54"/>
        <v>0.6363636364</v>
      </c>
      <c r="AB67" s="3"/>
      <c r="AC67" s="3"/>
      <c r="AD67" s="3"/>
      <c r="AE67" s="3"/>
      <c r="AF67" s="3"/>
      <c r="AG67" s="3"/>
      <c r="AH67" s="3"/>
      <c r="AI67" s="3"/>
      <c r="AJ67" s="3"/>
    </row>
    <row r="68" ht="15.75" customHeight="1">
      <c r="A68" s="1"/>
      <c r="B68" s="105"/>
      <c r="C68" s="106"/>
      <c r="D68" s="107"/>
      <c r="E68" s="144"/>
      <c r="F68" s="109"/>
      <c r="G68" s="409"/>
      <c r="H68" s="111"/>
      <c r="I68" s="112"/>
      <c r="J68" s="8"/>
      <c r="K68" s="148"/>
      <c r="L68" s="136"/>
      <c r="M68" s="136"/>
      <c r="N68" s="136"/>
      <c r="O68" s="136"/>
      <c r="P68" s="136"/>
      <c r="Q68" s="160"/>
      <c r="R68" s="136"/>
      <c r="S68" s="136"/>
      <c r="T68" s="136"/>
      <c r="U68" s="136"/>
      <c r="V68" s="136"/>
      <c r="W68" s="136"/>
      <c r="X68" s="137"/>
      <c r="Y68" s="137"/>
      <c r="Z68" s="410"/>
      <c r="AA68" s="15"/>
      <c r="AB68" s="3"/>
      <c r="AC68" s="3"/>
      <c r="AD68" s="3"/>
      <c r="AE68" s="3"/>
      <c r="AF68" s="3"/>
      <c r="AG68" s="3"/>
      <c r="AH68" s="3"/>
      <c r="AI68" s="3"/>
      <c r="AJ68" s="3"/>
    </row>
    <row r="69" ht="15.75" customHeight="1">
      <c r="A69" s="1"/>
      <c r="B69" s="105">
        <v>12.0</v>
      </c>
      <c r="C69" s="412" t="s">
        <v>88</v>
      </c>
      <c r="D69" s="107"/>
      <c r="E69" s="144"/>
      <c r="F69" s="109"/>
      <c r="G69" s="418">
        <v>1.776575282001109E7</v>
      </c>
      <c r="H69" s="179">
        <v>181714.0</v>
      </c>
      <c r="I69" s="180">
        <v>97.76766138003175</v>
      </c>
      <c r="J69" s="419" t="s">
        <v>89</v>
      </c>
      <c r="K69" s="342"/>
      <c r="L69" s="344" t="s">
        <v>10</v>
      </c>
      <c r="M69" s="345" t="s">
        <v>14</v>
      </c>
      <c r="N69" s="344" t="s">
        <v>18</v>
      </c>
      <c r="O69" s="345" t="s">
        <v>22</v>
      </c>
      <c r="P69" s="344" t="s">
        <v>26</v>
      </c>
      <c r="Q69" s="345" t="s">
        <v>30</v>
      </c>
      <c r="R69" s="344" t="s">
        <v>34</v>
      </c>
      <c r="S69" s="345" t="s">
        <v>38</v>
      </c>
      <c r="T69" s="344" t="s">
        <v>42</v>
      </c>
      <c r="U69" s="345" t="s">
        <v>46</v>
      </c>
      <c r="V69" s="344" t="s">
        <v>50</v>
      </c>
      <c r="W69" s="345" t="s">
        <v>54</v>
      </c>
      <c r="X69" s="143"/>
      <c r="Y69" s="122">
        <v>2027.0</v>
      </c>
      <c r="Z69" s="346">
        <v>2026.0</v>
      </c>
      <c r="AA69" s="49"/>
      <c r="AB69" s="3"/>
      <c r="AC69" s="3"/>
      <c r="AD69" s="3"/>
      <c r="AE69" s="3"/>
      <c r="AF69" s="3"/>
      <c r="AG69" s="3"/>
      <c r="AH69" s="3"/>
      <c r="AI69" s="3"/>
      <c r="AJ69" s="3"/>
    </row>
    <row r="70" ht="15.75" customHeight="1">
      <c r="A70" s="1"/>
      <c r="B70" s="105"/>
      <c r="C70" s="106"/>
      <c r="D70" s="107"/>
      <c r="E70" s="144"/>
      <c r="F70" s="109"/>
      <c r="G70" s="409"/>
      <c r="H70" s="111"/>
      <c r="I70" s="112"/>
      <c r="J70" s="50" t="s">
        <v>61</v>
      </c>
      <c r="K70" s="347"/>
      <c r="L70" s="348">
        <v>0.08</v>
      </c>
      <c r="M70" s="348">
        <v>0.06</v>
      </c>
      <c r="N70" s="348">
        <v>0.07</v>
      </c>
      <c r="O70" s="348">
        <v>0.07</v>
      </c>
      <c r="P70" s="348">
        <v>0.08</v>
      </c>
      <c r="Q70" s="348">
        <v>0.08</v>
      </c>
      <c r="R70" s="348">
        <v>0.08</v>
      </c>
      <c r="S70" s="348">
        <v>0.08</v>
      </c>
      <c r="T70" s="348">
        <v>0.09</v>
      </c>
      <c r="U70" s="348">
        <v>0.1</v>
      </c>
      <c r="V70" s="348">
        <v>0.11</v>
      </c>
      <c r="W70" s="348">
        <v>0.1</v>
      </c>
      <c r="X70" s="125"/>
      <c r="Y70" s="165">
        <f>SUM(L70:W70)</f>
        <v>1</v>
      </c>
      <c r="Z70" s="406">
        <v>1.0</v>
      </c>
      <c r="AA70" s="64"/>
      <c r="AB70" s="3"/>
      <c r="AC70" s="3"/>
      <c r="AD70" s="3"/>
      <c r="AE70" s="3"/>
      <c r="AF70" s="3"/>
      <c r="AG70" s="3"/>
      <c r="AH70" s="3"/>
      <c r="AI70" s="3"/>
      <c r="AJ70" s="3"/>
    </row>
    <row r="71" ht="15.75" customHeight="1">
      <c r="A71" s="1"/>
      <c r="B71" s="105"/>
      <c r="C71" s="106"/>
      <c r="D71" s="107"/>
      <c r="E71" s="144"/>
      <c r="F71" s="109"/>
      <c r="G71" s="409"/>
      <c r="H71" s="111"/>
      <c r="I71" s="112"/>
      <c r="J71" s="50" t="s">
        <v>63</v>
      </c>
      <c r="K71" s="347"/>
      <c r="L71" s="66">
        <f t="shared" ref="L71:W71" si="57">($Y$71)*L70</f>
        <v>2400000</v>
      </c>
      <c r="M71" s="66">
        <f t="shared" si="57"/>
        <v>1800000</v>
      </c>
      <c r="N71" s="66">
        <f t="shared" si="57"/>
        <v>2100000</v>
      </c>
      <c r="O71" s="66">
        <f t="shared" si="57"/>
        <v>2100000</v>
      </c>
      <c r="P71" s="66">
        <f t="shared" si="57"/>
        <v>2400000</v>
      </c>
      <c r="Q71" s="66">
        <f t="shared" si="57"/>
        <v>2400000</v>
      </c>
      <c r="R71" s="66">
        <f t="shared" si="57"/>
        <v>2400000</v>
      </c>
      <c r="S71" s="66">
        <f t="shared" si="57"/>
        <v>2400000</v>
      </c>
      <c r="T71" s="66">
        <f t="shared" si="57"/>
        <v>2700000</v>
      </c>
      <c r="U71" s="66">
        <f t="shared" si="57"/>
        <v>3000000</v>
      </c>
      <c r="V71" s="66">
        <f t="shared" si="57"/>
        <v>3300000</v>
      </c>
      <c r="W71" s="66">
        <f t="shared" si="57"/>
        <v>3000000</v>
      </c>
      <c r="X71" s="75"/>
      <c r="Y71" s="166">
        <v>3.0E7</v>
      </c>
      <c r="Z71" s="350">
        <v>3.0E7</v>
      </c>
      <c r="AA71" s="78">
        <f t="shared" ref="AA71:AA73" si="59">Y71/Z71-1</f>
        <v>0</v>
      </c>
      <c r="AB71" s="147">
        <v>0.03</v>
      </c>
      <c r="AC71" s="4">
        <f>Y71+AB71*Y71</f>
        <v>30900000</v>
      </c>
      <c r="AD71" s="3"/>
      <c r="AE71" s="3"/>
      <c r="AF71" s="3"/>
      <c r="AG71" s="3"/>
      <c r="AH71" s="3"/>
      <c r="AI71" s="3"/>
      <c r="AJ71" s="3"/>
    </row>
    <row r="72" ht="15.75" customHeight="1">
      <c r="A72" s="1"/>
      <c r="B72" s="105"/>
      <c r="C72" s="106"/>
      <c r="D72" s="107"/>
      <c r="E72" s="144"/>
      <c r="F72" s="109"/>
      <c r="G72" s="409"/>
      <c r="H72" s="111"/>
      <c r="I72" s="112"/>
      <c r="J72" s="50" t="s">
        <v>64</v>
      </c>
      <c r="K72" s="351">
        <v>100.0</v>
      </c>
      <c r="L72" s="81">
        <f t="shared" ref="L72:W72" si="58">L71/$K$72</f>
        <v>24000</v>
      </c>
      <c r="M72" s="81">
        <f t="shared" si="58"/>
        <v>18000</v>
      </c>
      <c r="N72" s="81">
        <f t="shared" si="58"/>
        <v>21000</v>
      </c>
      <c r="O72" s="81">
        <f t="shared" si="58"/>
        <v>21000</v>
      </c>
      <c r="P72" s="81">
        <f t="shared" si="58"/>
        <v>24000</v>
      </c>
      <c r="Q72" s="81">
        <f t="shared" si="58"/>
        <v>24000</v>
      </c>
      <c r="R72" s="81">
        <f t="shared" si="58"/>
        <v>24000</v>
      </c>
      <c r="S72" s="81">
        <f t="shared" si="58"/>
        <v>24000</v>
      </c>
      <c r="T72" s="81">
        <f t="shared" si="58"/>
        <v>27000</v>
      </c>
      <c r="U72" s="81">
        <f t="shared" si="58"/>
        <v>30000</v>
      </c>
      <c r="V72" s="81">
        <f t="shared" si="58"/>
        <v>33000</v>
      </c>
      <c r="W72" s="81">
        <f t="shared" si="58"/>
        <v>30000</v>
      </c>
      <c r="X72" s="87"/>
      <c r="Y72" s="352">
        <f t="shared" ref="Y72:Y73" si="61">SUM(L72:W72)</f>
        <v>300000</v>
      </c>
      <c r="Z72" s="353">
        <v>299654.49000000005</v>
      </c>
      <c r="AA72" s="78">
        <f t="shared" si="59"/>
        <v>0.001153027942</v>
      </c>
      <c r="AB72" s="3"/>
      <c r="AC72" s="3"/>
      <c r="AD72" s="3"/>
      <c r="AE72" s="3"/>
      <c r="AF72" s="3"/>
      <c r="AG72" s="3"/>
      <c r="AH72" s="3"/>
      <c r="AI72" s="3"/>
      <c r="AJ72" s="3"/>
    </row>
    <row r="73" ht="15.75" customHeight="1">
      <c r="A73" s="1"/>
      <c r="B73" s="105"/>
      <c r="C73" s="106"/>
      <c r="D73" s="107"/>
      <c r="E73" s="144"/>
      <c r="F73" s="109"/>
      <c r="G73" s="409"/>
      <c r="H73" s="111"/>
      <c r="I73" s="112"/>
      <c r="J73" s="91" t="s">
        <v>66</v>
      </c>
      <c r="K73" s="354">
        <v>0.06</v>
      </c>
      <c r="L73" s="94">
        <f t="shared" ref="L73:W73" si="60">IF(L71*$K$73&lt;100000,0,L71*$K$73)</f>
        <v>144000</v>
      </c>
      <c r="M73" s="94">
        <f t="shared" si="60"/>
        <v>108000</v>
      </c>
      <c r="N73" s="94">
        <f t="shared" si="60"/>
        <v>126000</v>
      </c>
      <c r="O73" s="94">
        <f t="shared" si="60"/>
        <v>126000</v>
      </c>
      <c r="P73" s="94">
        <f t="shared" si="60"/>
        <v>144000</v>
      </c>
      <c r="Q73" s="94">
        <f t="shared" si="60"/>
        <v>144000</v>
      </c>
      <c r="R73" s="94">
        <f t="shared" si="60"/>
        <v>144000</v>
      </c>
      <c r="S73" s="94">
        <f t="shared" si="60"/>
        <v>144000</v>
      </c>
      <c r="T73" s="94">
        <f t="shared" si="60"/>
        <v>162000</v>
      </c>
      <c r="U73" s="94">
        <f t="shared" si="60"/>
        <v>180000</v>
      </c>
      <c r="V73" s="94">
        <f t="shared" si="60"/>
        <v>198000</v>
      </c>
      <c r="W73" s="94">
        <f t="shared" si="60"/>
        <v>180000</v>
      </c>
      <c r="X73" s="101"/>
      <c r="Y73" s="169">
        <f t="shared" si="61"/>
        <v>1800000</v>
      </c>
      <c r="Z73" s="355">
        <v>2057272.5966000003</v>
      </c>
      <c r="AA73" s="78">
        <f t="shared" si="59"/>
        <v>-0.1250551808</v>
      </c>
      <c r="AB73" s="3"/>
      <c r="AC73" s="3"/>
      <c r="AD73" s="3"/>
      <c r="AE73" s="3"/>
      <c r="AF73" s="3"/>
      <c r="AG73" s="3"/>
      <c r="AH73" s="3"/>
      <c r="AI73" s="3"/>
      <c r="AJ73" s="3"/>
    </row>
    <row r="74" ht="15.75" customHeight="1">
      <c r="A74" s="1"/>
      <c r="B74" s="105"/>
      <c r="C74" s="106"/>
      <c r="D74" s="107"/>
      <c r="E74" s="144"/>
      <c r="F74" s="109"/>
      <c r="G74" s="409"/>
      <c r="H74" s="111"/>
      <c r="I74" s="112"/>
      <c r="J74" s="420"/>
      <c r="K74" s="188"/>
      <c r="L74" s="3"/>
      <c r="M74" s="3"/>
      <c r="N74" s="3"/>
      <c r="O74" s="3"/>
      <c r="P74" s="3"/>
      <c r="Q74" s="160"/>
      <c r="R74" s="3"/>
      <c r="S74" s="3"/>
      <c r="T74" s="3"/>
      <c r="U74" s="3"/>
      <c r="V74" s="3"/>
      <c r="W74" s="3"/>
      <c r="X74" s="3"/>
      <c r="Y74" s="3"/>
      <c r="Z74" s="3"/>
      <c r="AA74" s="3"/>
      <c r="AB74" s="3"/>
      <c r="AC74" s="3"/>
      <c r="AD74" s="3"/>
      <c r="AE74" s="3"/>
      <c r="AF74" s="3"/>
      <c r="AG74" s="3"/>
      <c r="AH74" s="3"/>
      <c r="AI74" s="3"/>
      <c r="AJ74" s="3"/>
    </row>
    <row r="75" ht="15.75" customHeight="1">
      <c r="A75" s="1"/>
      <c r="B75" s="105">
        <v>13.0</v>
      </c>
      <c r="C75" s="412" t="s">
        <v>93</v>
      </c>
      <c r="D75" s="182"/>
      <c r="E75" s="183"/>
      <c r="F75" s="184"/>
      <c r="G75" s="421">
        <v>12323.000000000002</v>
      </c>
      <c r="H75" s="185">
        <v>52.0</v>
      </c>
      <c r="I75" s="186">
        <v>236.98076923076925</v>
      </c>
      <c r="J75" s="405" t="s">
        <v>93</v>
      </c>
      <c r="K75" s="342"/>
      <c r="L75" s="344" t="s">
        <v>10</v>
      </c>
      <c r="M75" s="345" t="s">
        <v>14</v>
      </c>
      <c r="N75" s="344" t="s">
        <v>18</v>
      </c>
      <c r="O75" s="345" t="s">
        <v>22</v>
      </c>
      <c r="P75" s="344" t="s">
        <v>26</v>
      </c>
      <c r="Q75" s="345" t="s">
        <v>30</v>
      </c>
      <c r="R75" s="344" t="s">
        <v>34</v>
      </c>
      <c r="S75" s="345" t="s">
        <v>38</v>
      </c>
      <c r="T75" s="344" t="s">
        <v>42</v>
      </c>
      <c r="U75" s="345" t="s">
        <v>46</v>
      </c>
      <c r="V75" s="344" t="s">
        <v>50</v>
      </c>
      <c r="W75" s="345" t="s">
        <v>54</v>
      </c>
      <c r="X75" s="143"/>
      <c r="Y75" s="122">
        <v>2027.0</v>
      </c>
      <c r="Z75" s="346">
        <v>2026.0</v>
      </c>
      <c r="AA75" s="49"/>
      <c r="AB75" s="3"/>
      <c r="AC75" s="3"/>
      <c r="AD75" s="3"/>
      <c r="AE75" s="3"/>
      <c r="AF75" s="3"/>
      <c r="AG75" s="3"/>
      <c r="AH75" s="3"/>
      <c r="AI75" s="3"/>
      <c r="AJ75" s="3"/>
    </row>
    <row r="76" ht="15.75" customHeight="1">
      <c r="A76" s="1"/>
      <c r="B76" s="105"/>
      <c r="C76" s="106"/>
      <c r="D76" s="107"/>
      <c r="E76" s="144"/>
      <c r="F76" s="109"/>
      <c r="G76" s="409"/>
      <c r="H76" s="111"/>
      <c r="I76" s="112"/>
      <c r="J76" s="50" t="s">
        <v>61</v>
      </c>
      <c r="K76" s="347"/>
      <c r="L76" s="348">
        <v>0.07</v>
      </c>
      <c r="M76" s="348">
        <v>0.06</v>
      </c>
      <c r="N76" s="348">
        <v>0.07</v>
      </c>
      <c r="O76" s="348">
        <v>0.07</v>
      </c>
      <c r="P76" s="348">
        <v>0.08</v>
      </c>
      <c r="Q76" s="348">
        <v>0.06</v>
      </c>
      <c r="R76" s="348">
        <v>0.06</v>
      </c>
      <c r="S76" s="348">
        <v>0.07</v>
      </c>
      <c r="T76" s="348">
        <v>0.08</v>
      </c>
      <c r="U76" s="348">
        <v>0.09</v>
      </c>
      <c r="V76" s="348">
        <v>0.11</v>
      </c>
      <c r="W76" s="348">
        <v>0.18</v>
      </c>
      <c r="X76" s="125"/>
      <c r="Y76" s="165">
        <f>SUM(L76:W76)</f>
        <v>1</v>
      </c>
      <c r="Z76" s="406">
        <v>1.0</v>
      </c>
      <c r="AA76" s="64"/>
      <c r="AB76" s="3"/>
      <c r="AC76" s="3"/>
      <c r="AD76" s="3"/>
      <c r="AE76" s="3"/>
      <c r="AF76" s="3"/>
      <c r="AG76" s="3"/>
      <c r="AH76" s="3"/>
      <c r="AI76" s="3"/>
      <c r="AJ76" s="3"/>
    </row>
    <row r="77" ht="15.75" customHeight="1">
      <c r="A77" s="1"/>
      <c r="B77" s="105"/>
      <c r="C77" s="106"/>
      <c r="D77" s="107"/>
      <c r="E77" s="144"/>
      <c r="F77" s="109"/>
      <c r="G77" s="409"/>
      <c r="H77" s="111"/>
      <c r="I77" s="112"/>
      <c r="J77" s="50" t="s">
        <v>63</v>
      </c>
      <c r="K77" s="347"/>
      <c r="L77" s="66">
        <f t="shared" ref="L77:W77" si="62">($Y$77)*L76</f>
        <v>2800</v>
      </c>
      <c r="M77" s="66">
        <f t="shared" si="62"/>
        <v>2400</v>
      </c>
      <c r="N77" s="66">
        <f t="shared" si="62"/>
        <v>2800</v>
      </c>
      <c r="O77" s="66">
        <f t="shared" si="62"/>
        <v>2800</v>
      </c>
      <c r="P77" s="66">
        <f t="shared" si="62"/>
        <v>3200</v>
      </c>
      <c r="Q77" s="66">
        <f t="shared" si="62"/>
        <v>2400</v>
      </c>
      <c r="R77" s="66">
        <f t="shared" si="62"/>
        <v>2400</v>
      </c>
      <c r="S77" s="66">
        <f t="shared" si="62"/>
        <v>2800</v>
      </c>
      <c r="T77" s="66">
        <f t="shared" si="62"/>
        <v>3200</v>
      </c>
      <c r="U77" s="66">
        <f t="shared" si="62"/>
        <v>3600</v>
      </c>
      <c r="V77" s="66">
        <f t="shared" si="62"/>
        <v>4400</v>
      </c>
      <c r="W77" s="66">
        <f t="shared" si="62"/>
        <v>7200</v>
      </c>
      <c r="X77" s="75"/>
      <c r="Y77" s="166">
        <v>40000.0</v>
      </c>
      <c r="Z77" s="350">
        <v>35000.0</v>
      </c>
      <c r="AA77" s="78">
        <f t="shared" ref="AA77:AA79" si="64">Y77/Z77-1</f>
        <v>0.1428571429</v>
      </c>
      <c r="AB77" s="147">
        <v>0.03</v>
      </c>
      <c r="AC77" s="4">
        <f>Y77+AB77*Y77</f>
        <v>41200</v>
      </c>
      <c r="AD77" s="3"/>
      <c r="AE77" s="3"/>
      <c r="AF77" s="3"/>
      <c r="AG77" s="3"/>
      <c r="AH77" s="3"/>
      <c r="AI77" s="3"/>
      <c r="AJ77" s="3"/>
    </row>
    <row r="78" ht="15.75" customHeight="1">
      <c r="A78" s="1"/>
      <c r="B78" s="105"/>
      <c r="C78" s="106"/>
      <c r="D78" s="107"/>
      <c r="E78" s="144"/>
      <c r="F78" s="109"/>
      <c r="G78" s="409"/>
      <c r="H78" s="111"/>
      <c r="I78" s="112"/>
      <c r="J78" s="50" t="s">
        <v>64</v>
      </c>
      <c r="K78" s="351">
        <v>115.0</v>
      </c>
      <c r="L78" s="81">
        <f t="shared" ref="L78:W78" si="63">L77/$K$78</f>
        <v>24.34782609</v>
      </c>
      <c r="M78" s="81">
        <f t="shared" si="63"/>
        <v>20.86956522</v>
      </c>
      <c r="N78" s="81">
        <f t="shared" si="63"/>
        <v>24.34782609</v>
      </c>
      <c r="O78" s="81">
        <f t="shared" si="63"/>
        <v>24.34782609</v>
      </c>
      <c r="P78" s="81">
        <f t="shared" si="63"/>
        <v>27.82608696</v>
      </c>
      <c r="Q78" s="81">
        <f t="shared" si="63"/>
        <v>20.86956522</v>
      </c>
      <c r="R78" s="81">
        <f t="shared" si="63"/>
        <v>20.86956522</v>
      </c>
      <c r="S78" s="81">
        <f t="shared" si="63"/>
        <v>24.34782609</v>
      </c>
      <c r="T78" s="81">
        <f t="shared" si="63"/>
        <v>27.82608696</v>
      </c>
      <c r="U78" s="81">
        <f t="shared" si="63"/>
        <v>31.30434783</v>
      </c>
      <c r="V78" s="81">
        <f t="shared" si="63"/>
        <v>38.26086957</v>
      </c>
      <c r="W78" s="81">
        <f t="shared" si="63"/>
        <v>62.60869565</v>
      </c>
      <c r="X78" s="87"/>
      <c r="Y78" s="352">
        <f t="shared" ref="Y78:Y79" si="66">SUM(L78:W78)</f>
        <v>347.826087</v>
      </c>
      <c r="Z78" s="353">
        <v>304.3478260869565</v>
      </c>
      <c r="AA78" s="78">
        <f t="shared" si="64"/>
        <v>0.1428571429</v>
      </c>
      <c r="AB78" s="3"/>
      <c r="AC78" s="3"/>
      <c r="AD78" s="3"/>
      <c r="AE78" s="3"/>
      <c r="AF78" s="3"/>
      <c r="AG78" s="3"/>
      <c r="AH78" s="3"/>
      <c r="AI78" s="3"/>
      <c r="AJ78" s="3"/>
    </row>
    <row r="79" ht="15.75" customHeight="1">
      <c r="A79" s="1"/>
      <c r="B79" s="105"/>
      <c r="C79" s="106"/>
      <c r="D79" s="107"/>
      <c r="E79" s="144"/>
      <c r="F79" s="109"/>
      <c r="G79" s="409"/>
      <c r="H79" s="111"/>
      <c r="I79" s="112"/>
      <c r="J79" s="91" t="s">
        <v>66</v>
      </c>
      <c r="K79" s="360">
        <v>199.0</v>
      </c>
      <c r="L79" s="94">
        <f t="shared" ref="L79:W79" si="65">K79*1</f>
        <v>199</v>
      </c>
      <c r="M79" s="94">
        <f t="shared" si="65"/>
        <v>199</v>
      </c>
      <c r="N79" s="94">
        <f t="shared" si="65"/>
        <v>199</v>
      </c>
      <c r="O79" s="94">
        <f t="shared" si="65"/>
        <v>199</v>
      </c>
      <c r="P79" s="94">
        <f t="shared" si="65"/>
        <v>199</v>
      </c>
      <c r="Q79" s="94">
        <f t="shared" si="65"/>
        <v>199</v>
      </c>
      <c r="R79" s="94">
        <f t="shared" si="65"/>
        <v>199</v>
      </c>
      <c r="S79" s="94">
        <f t="shared" si="65"/>
        <v>199</v>
      </c>
      <c r="T79" s="94">
        <f t="shared" si="65"/>
        <v>199</v>
      </c>
      <c r="U79" s="94">
        <f t="shared" si="65"/>
        <v>199</v>
      </c>
      <c r="V79" s="94">
        <f t="shared" si="65"/>
        <v>199</v>
      </c>
      <c r="W79" s="94">
        <f t="shared" si="65"/>
        <v>199</v>
      </c>
      <c r="X79" s="101"/>
      <c r="Y79" s="169">
        <f t="shared" si="66"/>
        <v>2388</v>
      </c>
      <c r="Z79" s="355">
        <v>2388.0</v>
      </c>
      <c r="AA79" s="78">
        <f t="shared" si="64"/>
        <v>0</v>
      </c>
      <c r="AB79" s="3"/>
      <c r="AC79" s="3"/>
      <c r="AD79" s="3"/>
      <c r="AE79" s="3"/>
      <c r="AF79" s="3"/>
      <c r="AG79" s="3"/>
      <c r="AH79" s="3"/>
      <c r="AI79" s="3"/>
      <c r="AJ79" s="3"/>
    </row>
    <row r="80" ht="15.75" customHeight="1">
      <c r="A80" s="1"/>
      <c r="B80" s="105"/>
      <c r="C80" s="106"/>
      <c r="D80" s="107"/>
      <c r="E80" s="144"/>
      <c r="F80" s="109"/>
      <c r="G80" s="409"/>
      <c r="H80" s="111"/>
      <c r="I80" s="112"/>
      <c r="J80" s="8"/>
      <c r="K80" s="9"/>
      <c r="L80" s="172"/>
      <c r="M80" s="172"/>
      <c r="N80" s="172"/>
      <c r="O80" s="172"/>
      <c r="P80" s="172"/>
      <c r="Q80" s="160"/>
      <c r="R80" s="172">
        <v>15.0</v>
      </c>
      <c r="S80" s="172">
        <v>25.0</v>
      </c>
      <c r="T80" s="172"/>
      <c r="U80" s="172"/>
      <c r="V80" s="172"/>
      <c r="W80" s="172"/>
      <c r="X80" s="172"/>
      <c r="Y80" s="172"/>
      <c r="Z80" s="172"/>
      <c r="AA80" s="172"/>
      <c r="AB80" s="136"/>
      <c r="AC80" s="136"/>
      <c r="AD80" s="136"/>
      <c r="AE80" s="136"/>
      <c r="AF80" s="3"/>
      <c r="AG80" s="3"/>
      <c r="AH80" s="3"/>
      <c r="AI80" s="3"/>
      <c r="AJ80" s="3"/>
    </row>
    <row r="81" ht="15.75" customHeight="1">
      <c r="A81" s="1"/>
      <c r="B81" s="105">
        <v>14.0</v>
      </c>
      <c r="C81" s="412" t="s">
        <v>94</v>
      </c>
      <c r="D81" s="182">
        <f>200000*12</f>
        <v>2400000</v>
      </c>
      <c r="E81" s="183">
        <v>50.0</v>
      </c>
      <c r="F81" s="184">
        <f>E81*D81</f>
        <v>120000000</v>
      </c>
      <c r="G81" s="421" t="s">
        <v>60</v>
      </c>
      <c r="H81" s="185" t="s">
        <v>60</v>
      </c>
      <c r="I81" s="186" t="s">
        <v>60</v>
      </c>
      <c r="J81" s="405" t="s">
        <v>95</v>
      </c>
      <c r="K81" s="342"/>
      <c r="L81" s="344" t="s">
        <v>10</v>
      </c>
      <c r="M81" s="345" t="s">
        <v>14</v>
      </c>
      <c r="N81" s="344" t="s">
        <v>18</v>
      </c>
      <c r="O81" s="345" t="s">
        <v>22</v>
      </c>
      <c r="P81" s="344" t="s">
        <v>26</v>
      </c>
      <c r="Q81" s="345" t="s">
        <v>30</v>
      </c>
      <c r="R81" s="344" t="s">
        <v>34</v>
      </c>
      <c r="S81" s="345" t="s">
        <v>38</v>
      </c>
      <c r="T81" s="344" t="s">
        <v>42</v>
      </c>
      <c r="U81" s="345" t="s">
        <v>46</v>
      </c>
      <c r="V81" s="344" t="s">
        <v>50</v>
      </c>
      <c r="W81" s="345" t="s">
        <v>54</v>
      </c>
      <c r="X81" s="143"/>
      <c r="Y81" s="122">
        <v>2027.0</v>
      </c>
      <c r="Z81" s="346">
        <v>2026.0</v>
      </c>
      <c r="AA81" s="49"/>
      <c r="AB81" s="3"/>
      <c r="AC81" s="3"/>
      <c r="AD81" s="3"/>
      <c r="AE81" s="3"/>
      <c r="AF81" s="3"/>
      <c r="AG81" s="3"/>
      <c r="AH81" s="3"/>
      <c r="AI81" s="3"/>
      <c r="AJ81" s="3"/>
    </row>
    <row r="82" ht="15.75" customHeight="1">
      <c r="A82" s="1"/>
      <c r="B82" s="105"/>
      <c r="C82" s="106"/>
      <c r="D82" s="107"/>
      <c r="E82" s="144"/>
      <c r="F82" s="109"/>
      <c r="G82" s="409"/>
      <c r="H82" s="111"/>
      <c r="I82" s="112"/>
      <c r="J82" s="50" t="s">
        <v>61</v>
      </c>
      <c r="K82" s="347"/>
      <c r="L82" s="348">
        <v>0.02</v>
      </c>
      <c r="M82" s="348">
        <v>0.02</v>
      </c>
      <c r="N82" s="348">
        <v>0.04</v>
      </c>
      <c r="O82" s="348">
        <v>0.05</v>
      </c>
      <c r="P82" s="348">
        <v>0.06</v>
      </c>
      <c r="Q82" s="348">
        <v>0.07</v>
      </c>
      <c r="R82" s="348">
        <v>0.08</v>
      </c>
      <c r="S82" s="348">
        <v>0.09</v>
      </c>
      <c r="T82" s="348">
        <v>0.12</v>
      </c>
      <c r="U82" s="348">
        <v>0.14</v>
      </c>
      <c r="V82" s="348">
        <v>0.15</v>
      </c>
      <c r="W82" s="348">
        <v>0.16</v>
      </c>
      <c r="X82" s="125"/>
      <c r="Y82" s="165">
        <f>SUM(L82:W82)</f>
        <v>1</v>
      </c>
      <c r="Z82" s="406">
        <v>1.0</v>
      </c>
      <c r="AA82" s="64"/>
      <c r="AB82" s="3"/>
      <c r="AC82" s="3"/>
      <c r="AD82" s="3"/>
      <c r="AE82" s="3"/>
      <c r="AF82" s="3"/>
      <c r="AG82" s="3"/>
      <c r="AH82" s="3"/>
      <c r="AI82" s="3"/>
      <c r="AJ82" s="3"/>
    </row>
    <row r="83" ht="15.75" customHeight="1">
      <c r="A83" s="1"/>
      <c r="B83" s="105"/>
      <c r="C83" s="106"/>
      <c r="D83" s="107"/>
      <c r="E83" s="144"/>
      <c r="F83" s="109"/>
      <c r="G83" s="409"/>
      <c r="H83" s="111"/>
      <c r="I83" s="112"/>
      <c r="J83" s="50" t="s">
        <v>63</v>
      </c>
      <c r="K83" s="347"/>
      <c r="L83" s="66">
        <f t="shared" ref="L83:W83" si="67">($Y$83)*L82</f>
        <v>120000</v>
      </c>
      <c r="M83" s="66">
        <f t="shared" si="67"/>
        <v>120000</v>
      </c>
      <c r="N83" s="66">
        <f t="shared" si="67"/>
        <v>240000</v>
      </c>
      <c r="O83" s="66">
        <f t="shared" si="67"/>
        <v>300000</v>
      </c>
      <c r="P83" s="66">
        <f t="shared" si="67"/>
        <v>360000</v>
      </c>
      <c r="Q83" s="66">
        <f t="shared" si="67"/>
        <v>420000</v>
      </c>
      <c r="R83" s="66">
        <f t="shared" si="67"/>
        <v>480000</v>
      </c>
      <c r="S83" s="66">
        <f t="shared" si="67"/>
        <v>540000</v>
      </c>
      <c r="T83" s="66">
        <f t="shared" si="67"/>
        <v>720000</v>
      </c>
      <c r="U83" s="66">
        <f t="shared" si="67"/>
        <v>840000</v>
      </c>
      <c r="V83" s="66">
        <f t="shared" si="67"/>
        <v>900000</v>
      </c>
      <c r="W83" s="66">
        <f t="shared" si="67"/>
        <v>960000</v>
      </c>
      <c r="X83" s="75"/>
      <c r="Y83" s="166">
        <v>6000000.0</v>
      </c>
      <c r="Z83" s="350">
        <v>700000.0</v>
      </c>
      <c r="AA83" s="78">
        <f t="shared" ref="AA83:AA85" si="69">Y83/Z83-1</f>
        <v>7.571428571</v>
      </c>
      <c r="AB83" s="147">
        <v>0.1</v>
      </c>
      <c r="AC83" s="4">
        <f>Y83+AB83*Y83</f>
        <v>6600000</v>
      </c>
      <c r="AD83" s="3"/>
      <c r="AE83" s="3"/>
      <c r="AF83" s="3"/>
      <c r="AG83" s="3"/>
      <c r="AH83" s="3"/>
      <c r="AI83" s="3"/>
      <c r="AJ83" s="3"/>
    </row>
    <row r="84" ht="15.75" customHeight="1">
      <c r="A84" s="1"/>
      <c r="B84" s="105"/>
      <c r="C84" s="106"/>
      <c r="D84" s="107"/>
      <c r="E84" s="144"/>
      <c r="F84" s="109"/>
      <c r="G84" s="409"/>
      <c r="H84" s="111"/>
      <c r="I84" s="112"/>
      <c r="J84" s="50" t="s">
        <v>64</v>
      </c>
      <c r="K84" s="351">
        <v>50.0</v>
      </c>
      <c r="L84" s="81">
        <f t="shared" ref="L84:W84" si="68">L83/$K$84</f>
        <v>2400</v>
      </c>
      <c r="M84" s="81">
        <f t="shared" si="68"/>
        <v>2400</v>
      </c>
      <c r="N84" s="81">
        <f t="shared" si="68"/>
        <v>4800</v>
      </c>
      <c r="O84" s="81">
        <f t="shared" si="68"/>
        <v>6000</v>
      </c>
      <c r="P84" s="81">
        <f t="shared" si="68"/>
        <v>7200</v>
      </c>
      <c r="Q84" s="81">
        <f t="shared" si="68"/>
        <v>8400</v>
      </c>
      <c r="R84" s="81">
        <f t="shared" si="68"/>
        <v>9600</v>
      </c>
      <c r="S84" s="81">
        <f t="shared" si="68"/>
        <v>10800</v>
      </c>
      <c r="T84" s="81">
        <f t="shared" si="68"/>
        <v>14400</v>
      </c>
      <c r="U84" s="81">
        <f t="shared" si="68"/>
        <v>16800</v>
      </c>
      <c r="V84" s="81">
        <f t="shared" si="68"/>
        <v>18000</v>
      </c>
      <c r="W84" s="81">
        <f t="shared" si="68"/>
        <v>19200</v>
      </c>
      <c r="X84" s="87"/>
      <c r="Y84" s="352">
        <f t="shared" ref="Y84:Y85" si="71">SUM(L84:W84)</f>
        <v>120000</v>
      </c>
      <c r="Z84" s="353">
        <v>14000.0</v>
      </c>
      <c r="AA84" s="78">
        <f t="shared" si="69"/>
        <v>7.571428571</v>
      </c>
      <c r="AB84" s="3"/>
      <c r="AC84" s="3"/>
      <c r="AD84" s="3"/>
      <c r="AE84" s="3"/>
      <c r="AF84" s="3"/>
      <c r="AG84" s="3"/>
      <c r="AH84" s="3"/>
      <c r="AI84" s="3"/>
      <c r="AJ84" s="3"/>
    </row>
    <row r="85" ht="15.75" customHeight="1">
      <c r="A85" s="1"/>
      <c r="B85" s="105"/>
      <c r="C85" s="106"/>
      <c r="D85" s="107"/>
      <c r="E85" s="144"/>
      <c r="F85" s="109"/>
      <c r="G85" s="409"/>
      <c r="H85" s="111"/>
      <c r="I85" s="112"/>
      <c r="J85" s="91" t="s">
        <v>66</v>
      </c>
      <c r="K85" s="354">
        <v>0.02</v>
      </c>
      <c r="L85" s="94">
        <f t="shared" ref="L85:W85" si="70">IF(L84=0, 0, (L83/L84) * (
  MIN(L84, 50000) * 0.02 +
  MAX(0, MIN(L84, 100000) - 50000) * 0.015 +
  MAX(0, L84 - 100000) * 0.01
))</f>
        <v>2400</v>
      </c>
      <c r="M85" s="94">
        <f t="shared" si="70"/>
        <v>2400</v>
      </c>
      <c r="N85" s="94">
        <f t="shared" si="70"/>
        <v>4800</v>
      </c>
      <c r="O85" s="94">
        <f t="shared" si="70"/>
        <v>6000</v>
      </c>
      <c r="P85" s="94">
        <f t="shared" si="70"/>
        <v>7200</v>
      </c>
      <c r="Q85" s="94">
        <f t="shared" si="70"/>
        <v>8400</v>
      </c>
      <c r="R85" s="94">
        <f t="shared" si="70"/>
        <v>9600</v>
      </c>
      <c r="S85" s="94">
        <f t="shared" si="70"/>
        <v>10800</v>
      </c>
      <c r="T85" s="94">
        <f t="shared" si="70"/>
        <v>14400</v>
      </c>
      <c r="U85" s="94">
        <f t="shared" si="70"/>
        <v>16800</v>
      </c>
      <c r="V85" s="94">
        <f t="shared" si="70"/>
        <v>18000</v>
      </c>
      <c r="W85" s="94">
        <f t="shared" si="70"/>
        <v>19200</v>
      </c>
      <c r="X85" s="101"/>
      <c r="Y85" s="169">
        <f t="shared" si="71"/>
        <v>120000</v>
      </c>
      <c r="Z85" s="355">
        <v>14000.0</v>
      </c>
      <c r="AA85" s="78">
        <f t="shared" si="69"/>
        <v>7.571428571</v>
      </c>
      <c r="AB85" s="3"/>
      <c r="AC85" s="3"/>
      <c r="AD85" s="3"/>
      <c r="AE85" s="3"/>
      <c r="AF85" s="3"/>
      <c r="AG85" s="3"/>
      <c r="AH85" s="3"/>
      <c r="AI85" s="3"/>
      <c r="AJ85" s="3"/>
    </row>
    <row r="86" ht="15.75" customHeight="1">
      <c r="A86" s="1"/>
      <c r="B86" s="105"/>
      <c r="C86" s="106"/>
      <c r="D86" s="107"/>
      <c r="E86" s="144"/>
      <c r="F86" s="109"/>
      <c r="G86" s="409"/>
      <c r="H86" s="111"/>
      <c r="I86" s="112"/>
      <c r="J86" s="8"/>
      <c r="K86" s="9"/>
      <c r="L86" s="136"/>
      <c r="M86" s="136"/>
      <c r="N86" s="136"/>
      <c r="O86" s="136"/>
      <c r="P86" s="136"/>
      <c r="Q86" s="160"/>
      <c r="R86" s="136"/>
      <c r="S86" s="136"/>
      <c r="T86" s="136"/>
      <c r="U86" s="136"/>
      <c r="V86" s="136"/>
      <c r="W86" s="136"/>
      <c r="X86" s="136"/>
      <c r="Y86" s="136"/>
      <c r="Z86" s="136"/>
      <c r="AA86" s="136"/>
      <c r="AB86" s="136"/>
      <c r="AC86" s="136"/>
      <c r="AD86" s="136"/>
      <c r="AE86" s="136"/>
      <c r="AF86" s="136"/>
      <c r="AG86" s="136"/>
      <c r="AH86" s="136"/>
      <c r="AI86" s="136"/>
      <c r="AJ86" s="136"/>
    </row>
    <row r="87" ht="15.75" customHeight="1">
      <c r="A87" s="1"/>
      <c r="B87" s="105">
        <v>15.0</v>
      </c>
      <c r="C87" s="412" t="s">
        <v>96</v>
      </c>
      <c r="D87" s="107">
        <f>3500*4*12</f>
        <v>168000</v>
      </c>
      <c r="E87" s="144">
        <v>40.0</v>
      </c>
      <c r="F87" s="109">
        <f>E87*D87</f>
        <v>6720000</v>
      </c>
      <c r="G87" s="409">
        <v>9704.999999999982</v>
      </c>
      <c r="H87" s="111">
        <v>519.0</v>
      </c>
      <c r="I87" s="112">
        <v>18.699421965317885</v>
      </c>
      <c r="J87" s="414" t="s">
        <v>97</v>
      </c>
      <c r="K87" s="342"/>
      <c r="L87" s="344" t="s">
        <v>10</v>
      </c>
      <c r="M87" s="345" t="s">
        <v>14</v>
      </c>
      <c r="N87" s="344" t="s">
        <v>18</v>
      </c>
      <c r="O87" s="345" t="s">
        <v>22</v>
      </c>
      <c r="P87" s="344" t="s">
        <v>26</v>
      </c>
      <c r="Q87" s="345" t="s">
        <v>30</v>
      </c>
      <c r="R87" s="344" t="s">
        <v>34</v>
      </c>
      <c r="S87" s="345" t="s">
        <v>38</v>
      </c>
      <c r="T87" s="344" t="s">
        <v>42</v>
      </c>
      <c r="U87" s="345" t="s">
        <v>46</v>
      </c>
      <c r="V87" s="344" t="s">
        <v>50</v>
      </c>
      <c r="W87" s="345" t="s">
        <v>54</v>
      </c>
      <c r="X87" s="143"/>
      <c r="Y87" s="122">
        <v>2027.0</v>
      </c>
      <c r="Z87" s="346">
        <v>2026.0</v>
      </c>
      <c r="AA87" s="49"/>
      <c r="AB87" s="3"/>
      <c r="AC87" s="3"/>
      <c r="AD87" s="3"/>
      <c r="AE87" s="3"/>
      <c r="AF87" s="3"/>
      <c r="AG87" s="3"/>
      <c r="AH87" s="3"/>
      <c r="AI87" s="3"/>
      <c r="AJ87" s="3"/>
    </row>
    <row r="88" ht="15.75" customHeight="1">
      <c r="A88" s="1"/>
      <c r="B88" s="105"/>
      <c r="C88" s="106"/>
      <c r="D88" s="107"/>
      <c r="E88" s="144"/>
      <c r="F88" s="109"/>
      <c r="G88" s="409"/>
      <c r="H88" s="111"/>
      <c r="I88" s="112"/>
      <c r="J88" s="50" t="s">
        <v>61</v>
      </c>
      <c r="K88" s="347"/>
      <c r="L88" s="348">
        <v>0.08</v>
      </c>
      <c r="M88" s="348">
        <v>0.06</v>
      </c>
      <c r="N88" s="348">
        <v>0.07</v>
      </c>
      <c r="O88" s="348">
        <v>0.07</v>
      </c>
      <c r="P88" s="348">
        <v>0.08</v>
      </c>
      <c r="Q88" s="348">
        <v>0.08</v>
      </c>
      <c r="R88" s="348">
        <v>0.08</v>
      </c>
      <c r="S88" s="348">
        <v>0.08</v>
      </c>
      <c r="T88" s="348">
        <v>0.09</v>
      </c>
      <c r="U88" s="348">
        <v>0.1</v>
      </c>
      <c r="V88" s="348">
        <v>0.11</v>
      </c>
      <c r="W88" s="348">
        <v>0.1</v>
      </c>
      <c r="X88" s="125"/>
      <c r="Y88" s="165">
        <f>SUM(L88:W88)</f>
        <v>1</v>
      </c>
      <c r="Z88" s="406">
        <v>1.0</v>
      </c>
      <c r="AA88" s="64"/>
      <c r="AB88" s="3"/>
      <c r="AC88" s="3"/>
      <c r="AD88" s="3"/>
      <c r="AE88" s="3"/>
      <c r="AF88" s="3"/>
      <c r="AG88" s="3"/>
      <c r="AH88" s="3"/>
      <c r="AI88" s="3"/>
      <c r="AJ88" s="3"/>
    </row>
    <row r="89" ht="15.75" customHeight="1">
      <c r="A89" s="1"/>
      <c r="B89" s="105"/>
      <c r="C89" s="106"/>
      <c r="D89" s="107"/>
      <c r="E89" s="144"/>
      <c r="F89" s="109"/>
      <c r="G89" s="409"/>
      <c r="H89" s="111"/>
      <c r="I89" s="112"/>
      <c r="J89" s="50" t="s">
        <v>63</v>
      </c>
      <c r="K89" s="347"/>
      <c r="L89" s="66">
        <f t="shared" ref="L89:W89" si="72">($Y$89)*L88</f>
        <v>13200</v>
      </c>
      <c r="M89" s="66">
        <f t="shared" si="72"/>
        <v>9900</v>
      </c>
      <c r="N89" s="66">
        <f t="shared" si="72"/>
        <v>11550</v>
      </c>
      <c r="O89" s="66">
        <f t="shared" si="72"/>
        <v>11550</v>
      </c>
      <c r="P89" s="66">
        <f t="shared" si="72"/>
        <v>13200</v>
      </c>
      <c r="Q89" s="66">
        <f t="shared" si="72"/>
        <v>13200</v>
      </c>
      <c r="R89" s="66">
        <f t="shared" si="72"/>
        <v>13200</v>
      </c>
      <c r="S89" s="66">
        <f t="shared" si="72"/>
        <v>13200</v>
      </c>
      <c r="T89" s="66">
        <f t="shared" si="72"/>
        <v>14850</v>
      </c>
      <c r="U89" s="66">
        <f t="shared" si="72"/>
        <v>16500</v>
      </c>
      <c r="V89" s="66">
        <f t="shared" si="72"/>
        <v>18150</v>
      </c>
      <c r="W89" s="66">
        <f t="shared" si="72"/>
        <v>16500</v>
      </c>
      <c r="X89" s="75"/>
      <c r="Y89" s="166">
        <v>165000.0</v>
      </c>
      <c r="Z89" s="350">
        <v>150000.0</v>
      </c>
      <c r="AA89" s="78">
        <f t="shared" ref="AA89:AA91" si="74">Y89/Z89-1</f>
        <v>0.1</v>
      </c>
      <c r="AB89" s="147">
        <v>0.1</v>
      </c>
      <c r="AC89" s="4">
        <f>Y89+AB89*Y89</f>
        <v>181500</v>
      </c>
      <c r="AD89" s="3"/>
      <c r="AE89" s="3"/>
      <c r="AF89" s="3"/>
      <c r="AG89" s="3"/>
      <c r="AH89" s="3"/>
      <c r="AI89" s="3"/>
      <c r="AJ89" s="3"/>
    </row>
    <row r="90" ht="15.75" customHeight="1">
      <c r="A90" s="1"/>
      <c r="B90" s="105"/>
      <c r="C90" s="106"/>
      <c r="D90" s="107"/>
      <c r="E90" s="144"/>
      <c r="F90" s="109"/>
      <c r="G90" s="409"/>
      <c r="H90" s="111"/>
      <c r="I90" s="112"/>
      <c r="J90" s="50" t="s">
        <v>64</v>
      </c>
      <c r="K90" s="351">
        <v>30.0</v>
      </c>
      <c r="L90" s="81">
        <f t="shared" ref="L90:W90" si="73">L89/$K$90</f>
        <v>440</v>
      </c>
      <c r="M90" s="81">
        <f t="shared" si="73"/>
        <v>330</v>
      </c>
      <c r="N90" s="81">
        <f t="shared" si="73"/>
        <v>385</v>
      </c>
      <c r="O90" s="81">
        <f t="shared" si="73"/>
        <v>385</v>
      </c>
      <c r="P90" s="81">
        <f t="shared" si="73"/>
        <v>440</v>
      </c>
      <c r="Q90" s="81">
        <f t="shared" si="73"/>
        <v>440</v>
      </c>
      <c r="R90" s="81">
        <f t="shared" si="73"/>
        <v>440</v>
      </c>
      <c r="S90" s="81">
        <f t="shared" si="73"/>
        <v>440</v>
      </c>
      <c r="T90" s="81">
        <f t="shared" si="73"/>
        <v>495</v>
      </c>
      <c r="U90" s="81">
        <f t="shared" si="73"/>
        <v>550</v>
      </c>
      <c r="V90" s="81">
        <f t="shared" si="73"/>
        <v>605</v>
      </c>
      <c r="W90" s="81">
        <f t="shared" si="73"/>
        <v>550</v>
      </c>
      <c r="X90" s="87"/>
      <c r="Y90" s="352">
        <f t="shared" ref="Y90:Y91" si="76">SUM(L90:W90)</f>
        <v>5500</v>
      </c>
      <c r="Z90" s="353">
        <v>5008.6</v>
      </c>
      <c r="AA90" s="78">
        <f t="shared" si="74"/>
        <v>0.09811124865</v>
      </c>
      <c r="AB90" s="3"/>
      <c r="AC90" s="3"/>
      <c r="AD90" s="3"/>
      <c r="AE90" s="3"/>
      <c r="AF90" s="3"/>
      <c r="AG90" s="3"/>
      <c r="AH90" s="3"/>
      <c r="AI90" s="3"/>
      <c r="AJ90" s="3"/>
    </row>
    <row r="91" ht="15.75" customHeight="1">
      <c r="A91" s="1"/>
      <c r="B91" s="105"/>
      <c r="C91" s="106"/>
      <c r="D91" s="107"/>
      <c r="E91" s="144"/>
      <c r="F91" s="109"/>
      <c r="G91" s="409"/>
      <c r="H91" s="111"/>
      <c r="I91" s="112"/>
      <c r="J91" s="91" t="s">
        <v>66</v>
      </c>
      <c r="K91" s="354">
        <v>0.049</v>
      </c>
      <c r="L91" s="94">
        <f t="shared" ref="L91:W91" si="75">L89*$K$91</f>
        <v>646.8</v>
      </c>
      <c r="M91" s="94">
        <f t="shared" si="75"/>
        <v>485.1</v>
      </c>
      <c r="N91" s="94">
        <f t="shared" si="75"/>
        <v>565.95</v>
      </c>
      <c r="O91" s="94">
        <f t="shared" si="75"/>
        <v>565.95</v>
      </c>
      <c r="P91" s="94">
        <f t="shared" si="75"/>
        <v>646.8</v>
      </c>
      <c r="Q91" s="94">
        <f t="shared" si="75"/>
        <v>646.8</v>
      </c>
      <c r="R91" s="94">
        <f t="shared" si="75"/>
        <v>646.8</v>
      </c>
      <c r="S91" s="94">
        <f t="shared" si="75"/>
        <v>646.8</v>
      </c>
      <c r="T91" s="94">
        <f t="shared" si="75"/>
        <v>727.65</v>
      </c>
      <c r="U91" s="94">
        <f t="shared" si="75"/>
        <v>808.5</v>
      </c>
      <c r="V91" s="94">
        <f t="shared" si="75"/>
        <v>889.35</v>
      </c>
      <c r="W91" s="94">
        <f t="shared" si="75"/>
        <v>808.5</v>
      </c>
      <c r="X91" s="101"/>
      <c r="Y91" s="169">
        <f t="shared" si="76"/>
        <v>8085</v>
      </c>
      <c r="Z91" s="355">
        <v>7350.000000000001</v>
      </c>
      <c r="AA91" s="78">
        <f t="shared" si="74"/>
        <v>0.1</v>
      </c>
      <c r="AB91" s="3"/>
      <c r="AC91" s="3"/>
      <c r="AD91" s="3"/>
      <c r="AE91" s="3"/>
      <c r="AF91" s="3"/>
      <c r="AG91" s="3"/>
      <c r="AH91" s="3"/>
      <c r="AI91" s="3"/>
      <c r="AJ91" s="3"/>
    </row>
    <row r="92" ht="15.75" customHeight="1">
      <c r="A92" s="1"/>
      <c r="B92" s="105"/>
      <c r="C92" s="106"/>
      <c r="D92" s="107"/>
      <c r="E92" s="144"/>
      <c r="F92" s="109"/>
      <c r="G92" s="409"/>
      <c r="H92" s="111"/>
      <c r="I92" s="112"/>
      <c r="J92" s="8"/>
      <c r="K92" s="9"/>
      <c r="L92" s="136"/>
      <c r="M92" s="136"/>
      <c r="N92" s="136"/>
      <c r="O92" s="136"/>
      <c r="P92" s="136"/>
      <c r="Q92" s="160"/>
      <c r="R92" s="136"/>
      <c r="S92" s="136"/>
      <c r="T92" s="136"/>
      <c r="U92" s="136"/>
      <c r="V92" s="136"/>
      <c r="W92" s="136"/>
      <c r="X92" s="136"/>
      <c r="Y92" s="136"/>
      <c r="Z92" s="136"/>
      <c r="AA92" s="136"/>
      <c r="AB92" s="3"/>
      <c r="AC92" s="3"/>
      <c r="AD92" s="3"/>
      <c r="AE92" s="3"/>
      <c r="AF92" s="3"/>
      <c r="AG92" s="3"/>
      <c r="AH92" s="3"/>
      <c r="AI92" s="3"/>
      <c r="AJ92" s="3"/>
    </row>
    <row r="93" ht="15.75" customHeight="1">
      <c r="A93" s="1"/>
      <c r="B93" s="422">
        <v>16.0</v>
      </c>
      <c r="C93" s="106" t="s">
        <v>98</v>
      </c>
      <c r="D93" s="107">
        <f>15000*12</f>
        <v>180000</v>
      </c>
      <c r="E93" s="144">
        <v>32.0</v>
      </c>
      <c r="F93" s="109">
        <f>E93*D93</f>
        <v>5760000</v>
      </c>
      <c r="G93" s="423">
        <v>356599.2800000031</v>
      </c>
      <c r="H93" s="191">
        <v>11282.0</v>
      </c>
      <c r="I93" s="192">
        <v>31.607807126396306</v>
      </c>
      <c r="J93" s="414" t="s">
        <v>99</v>
      </c>
      <c r="K93" s="342"/>
      <c r="L93" s="344" t="s">
        <v>10</v>
      </c>
      <c r="M93" s="345" t="s">
        <v>14</v>
      </c>
      <c r="N93" s="344" t="s">
        <v>18</v>
      </c>
      <c r="O93" s="345" t="s">
        <v>22</v>
      </c>
      <c r="P93" s="344" t="s">
        <v>26</v>
      </c>
      <c r="Q93" s="345" t="s">
        <v>30</v>
      </c>
      <c r="R93" s="344" t="s">
        <v>34</v>
      </c>
      <c r="S93" s="345" t="s">
        <v>38</v>
      </c>
      <c r="T93" s="344" t="s">
        <v>42</v>
      </c>
      <c r="U93" s="345" t="s">
        <v>46</v>
      </c>
      <c r="V93" s="344" t="s">
        <v>50</v>
      </c>
      <c r="W93" s="345" t="s">
        <v>54</v>
      </c>
      <c r="X93" s="143"/>
      <c r="Y93" s="122">
        <v>2027.0</v>
      </c>
      <c r="Z93" s="346">
        <v>2026.0</v>
      </c>
      <c r="AA93" s="49"/>
      <c r="AB93" s="3"/>
      <c r="AC93" s="3"/>
      <c r="AD93" s="3"/>
      <c r="AE93" s="3"/>
      <c r="AF93" s="3"/>
      <c r="AG93" s="3"/>
      <c r="AH93" s="3"/>
      <c r="AI93" s="3"/>
      <c r="AJ93" s="3"/>
    </row>
    <row r="94" ht="15.75" customHeight="1">
      <c r="A94" s="1"/>
      <c r="B94" s="105"/>
      <c r="C94" s="106"/>
      <c r="D94" s="107"/>
      <c r="E94" s="144"/>
      <c r="F94" s="109"/>
      <c r="G94" s="409"/>
      <c r="H94" s="111"/>
      <c r="I94" s="112"/>
      <c r="J94" s="50" t="s">
        <v>61</v>
      </c>
      <c r="K94" s="347"/>
      <c r="L94" s="348">
        <v>0.09</v>
      </c>
      <c r="M94" s="348">
        <v>0.06</v>
      </c>
      <c r="N94" s="348">
        <v>0.07</v>
      </c>
      <c r="O94" s="348">
        <v>0.07</v>
      </c>
      <c r="P94" s="348">
        <v>0.08</v>
      </c>
      <c r="Q94" s="348">
        <v>0.08</v>
      </c>
      <c r="R94" s="348">
        <v>0.08</v>
      </c>
      <c r="S94" s="348">
        <v>0.08</v>
      </c>
      <c r="T94" s="348">
        <v>0.09</v>
      </c>
      <c r="U94" s="348">
        <v>0.09</v>
      </c>
      <c r="V94" s="348">
        <v>0.1</v>
      </c>
      <c r="W94" s="348">
        <v>0.11</v>
      </c>
      <c r="X94" s="125"/>
      <c r="Y94" s="165">
        <f>SUM(L94:W94)</f>
        <v>1</v>
      </c>
      <c r="Z94" s="406">
        <v>1.0</v>
      </c>
      <c r="AA94" s="64"/>
      <c r="AB94" s="3"/>
      <c r="AC94" s="3"/>
      <c r="AD94" s="3"/>
      <c r="AE94" s="3"/>
      <c r="AF94" s="3"/>
      <c r="AG94" s="3"/>
      <c r="AH94" s="3"/>
      <c r="AI94" s="3"/>
      <c r="AJ94" s="3"/>
    </row>
    <row r="95" ht="15.75" customHeight="1">
      <c r="A95" s="1"/>
      <c r="B95" s="105"/>
      <c r="C95" s="106"/>
      <c r="D95" s="107"/>
      <c r="E95" s="144"/>
      <c r="F95" s="109"/>
      <c r="G95" s="409"/>
      <c r="H95" s="111"/>
      <c r="I95" s="112"/>
      <c r="J95" s="50" t="s">
        <v>63</v>
      </c>
      <c r="K95" s="347"/>
      <c r="L95" s="66">
        <f t="shared" ref="L95:W95" si="77">L94*$Y$95</f>
        <v>67500</v>
      </c>
      <c r="M95" s="66">
        <f t="shared" si="77"/>
        <v>45000</v>
      </c>
      <c r="N95" s="66">
        <f t="shared" si="77"/>
        <v>52500</v>
      </c>
      <c r="O95" s="66">
        <f t="shared" si="77"/>
        <v>52500</v>
      </c>
      <c r="P95" s="66">
        <f t="shared" si="77"/>
        <v>60000</v>
      </c>
      <c r="Q95" s="66">
        <f t="shared" si="77"/>
        <v>60000</v>
      </c>
      <c r="R95" s="66">
        <f t="shared" si="77"/>
        <v>60000</v>
      </c>
      <c r="S95" s="66">
        <f t="shared" si="77"/>
        <v>60000</v>
      </c>
      <c r="T95" s="66">
        <f t="shared" si="77"/>
        <v>67500</v>
      </c>
      <c r="U95" s="66">
        <f t="shared" si="77"/>
        <v>67500</v>
      </c>
      <c r="V95" s="66">
        <f t="shared" si="77"/>
        <v>75000</v>
      </c>
      <c r="W95" s="66">
        <f t="shared" si="77"/>
        <v>82500</v>
      </c>
      <c r="X95" s="75"/>
      <c r="Y95" s="166">
        <v>750000.0</v>
      </c>
      <c r="Z95" s="350">
        <v>700000.0</v>
      </c>
      <c r="AA95" s="78">
        <f t="shared" ref="AA95:AA97" si="79">Y95/Z95-1</f>
        <v>0.07142857143</v>
      </c>
      <c r="AB95" s="147">
        <v>0.03</v>
      </c>
      <c r="AC95" s="4">
        <f>Y95+AB95*Y95</f>
        <v>772500</v>
      </c>
      <c r="AD95" s="3"/>
      <c r="AE95" s="3"/>
      <c r="AF95" s="3"/>
      <c r="AG95" s="3"/>
      <c r="AH95" s="3"/>
      <c r="AI95" s="3"/>
      <c r="AJ95" s="3"/>
    </row>
    <row r="96" ht="15.75" customHeight="1">
      <c r="A96" s="1"/>
      <c r="B96" s="105"/>
      <c r="C96" s="106"/>
      <c r="D96" s="107"/>
      <c r="E96" s="144"/>
      <c r="F96" s="109"/>
      <c r="G96" s="409"/>
      <c r="H96" s="111"/>
      <c r="I96" s="112"/>
      <c r="J96" s="50" t="s">
        <v>64</v>
      </c>
      <c r="K96" s="351">
        <v>30.0</v>
      </c>
      <c r="L96" s="81">
        <f t="shared" ref="L96:W96" si="78">L95/$K$96</f>
        <v>2250</v>
      </c>
      <c r="M96" s="81">
        <f t="shared" si="78"/>
        <v>1500</v>
      </c>
      <c r="N96" s="81">
        <f t="shared" si="78"/>
        <v>1750</v>
      </c>
      <c r="O96" s="81">
        <f t="shared" si="78"/>
        <v>1750</v>
      </c>
      <c r="P96" s="81">
        <f t="shared" si="78"/>
        <v>2000</v>
      </c>
      <c r="Q96" s="81">
        <f t="shared" si="78"/>
        <v>2000</v>
      </c>
      <c r="R96" s="81">
        <f t="shared" si="78"/>
        <v>2000</v>
      </c>
      <c r="S96" s="81">
        <f t="shared" si="78"/>
        <v>2000</v>
      </c>
      <c r="T96" s="81">
        <f t="shared" si="78"/>
        <v>2250</v>
      </c>
      <c r="U96" s="81">
        <f t="shared" si="78"/>
        <v>2250</v>
      </c>
      <c r="V96" s="81">
        <f t="shared" si="78"/>
        <v>2500</v>
      </c>
      <c r="W96" s="81">
        <f t="shared" si="78"/>
        <v>2750</v>
      </c>
      <c r="X96" s="87"/>
      <c r="Y96" s="352">
        <f t="shared" ref="Y96:Y97" si="81">SUM(L96:W96)</f>
        <v>25000</v>
      </c>
      <c r="Z96" s="353">
        <v>23333.333333333332</v>
      </c>
      <c r="AA96" s="78">
        <f t="shared" si="79"/>
        <v>0.07142857143</v>
      </c>
      <c r="AB96" s="3"/>
      <c r="AC96" s="3"/>
      <c r="AD96" s="3"/>
      <c r="AE96" s="3"/>
      <c r="AF96" s="3"/>
      <c r="AG96" s="3"/>
      <c r="AH96" s="3"/>
      <c r="AI96" s="3"/>
      <c r="AJ96" s="3"/>
    </row>
    <row r="97" ht="15.75" customHeight="1">
      <c r="A97" s="1"/>
      <c r="B97" s="105"/>
      <c r="C97" s="106"/>
      <c r="D97" s="107"/>
      <c r="E97" s="144"/>
      <c r="F97" s="109"/>
      <c r="G97" s="409"/>
      <c r="H97" s="111"/>
      <c r="I97" s="112"/>
      <c r="J97" s="91" t="s">
        <v>66</v>
      </c>
      <c r="K97" s="361">
        <v>0.04</v>
      </c>
      <c r="L97" s="94">
        <f t="shared" ref="L97:W97" si="80">L95*$K$97</f>
        <v>2700</v>
      </c>
      <c r="M97" s="94">
        <f t="shared" si="80"/>
        <v>1800</v>
      </c>
      <c r="N97" s="94">
        <f t="shared" si="80"/>
        <v>2100</v>
      </c>
      <c r="O97" s="94">
        <f t="shared" si="80"/>
        <v>2100</v>
      </c>
      <c r="P97" s="94">
        <f t="shared" si="80"/>
        <v>2400</v>
      </c>
      <c r="Q97" s="94">
        <f t="shared" si="80"/>
        <v>2400</v>
      </c>
      <c r="R97" s="94">
        <f t="shared" si="80"/>
        <v>2400</v>
      </c>
      <c r="S97" s="94">
        <f t="shared" si="80"/>
        <v>2400</v>
      </c>
      <c r="T97" s="94">
        <f t="shared" si="80"/>
        <v>2700</v>
      </c>
      <c r="U97" s="94">
        <f t="shared" si="80"/>
        <v>2700</v>
      </c>
      <c r="V97" s="94">
        <f t="shared" si="80"/>
        <v>3000</v>
      </c>
      <c r="W97" s="94">
        <f t="shared" si="80"/>
        <v>3300</v>
      </c>
      <c r="X97" s="101"/>
      <c r="Y97" s="169">
        <f t="shared" si="81"/>
        <v>30000</v>
      </c>
      <c r="Z97" s="355">
        <v>28000.0</v>
      </c>
      <c r="AA97" s="78">
        <f t="shared" si="79"/>
        <v>0.07142857143</v>
      </c>
      <c r="AB97" s="3"/>
      <c r="AC97" s="3"/>
      <c r="AD97" s="3"/>
      <c r="AE97" s="3"/>
      <c r="AF97" s="3"/>
      <c r="AG97" s="3"/>
      <c r="AH97" s="3"/>
      <c r="AI97" s="3"/>
      <c r="AJ97" s="3"/>
    </row>
    <row r="98" ht="15.75" customHeight="1">
      <c r="G98" s="424"/>
      <c r="J98" s="425"/>
      <c r="K98" s="188"/>
      <c r="L98" s="15"/>
      <c r="M98" s="15"/>
      <c r="N98" s="15"/>
      <c r="O98" s="15"/>
      <c r="P98" s="15"/>
      <c r="Q98" s="160"/>
      <c r="R98" s="15"/>
      <c r="S98" s="15"/>
      <c r="T98" s="15"/>
      <c r="U98" s="15"/>
      <c r="V98" s="15"/>
      <c r="W98" s="15"/>
      <c r="X98" s="14"/>
      <c r="Y98" s="14"/>
      <c r="Z98" s="14"/>
      <c r="AA98" s="15"/>
      <c r="AB98" s="3"/>
      <c r="AC98" s="3"/>
      <c r="AD98" s="3"/>
      <c r="AE98" s="3"/>
      <c r="AF98" s="3"/>
      <c r="AG98" s="3"/>
      <c r="AH98" s="3"/>
      <c r="AI98" s="3"/>
      <c r="AJ98" s="3"/>
    </row>
    <row r="99" ht="15.75" customHeight="1">
      <c r="A99" s="1"/>
      <c r="B99" s="422">
        <v>17.0</v>
      </c>
      <c r="C99" s="106" t="str">
        <f>J99</f>
        <v>OUTBACK (180)</v>
      </c>
      <c r="D99" s="107"/>
      <c r="E99" s="144"/>
      <c r="F99" s="109"/>
      <c r="G99" s="423"/>
      <c r="H99" s="191"/>
      <c r="I99" s="192"/>
      <c r="J99" s="405" t="s">
        <v>100</v>
      </c>
      <c r="K99" s="342"/>
      <c r="L99" s="344" t="s">
        <v>10</v>
      </c>
      <c r="M99" s="345" t="s">
        <v>14</v>
      </c>
      <c r="N99" s="344" t="s">
        <v>18</v>
      </c>
      <c r="O99" s="345" t="s">
        <v>22</v>
      </c>
      <c r="P99" s="344" t="s">
        <v>26</v>
      </c>
      <c r="Q99" s="345" t="s">
        <v>30</v>
      </c>
      <c r="R99" s="344" t="s">
        <v>34</v>
      </c>
      <c r="S99" s="345" t="s">
        <v>38</v>
      </c>
      <c r="T99" s="344" t="s">
        <v>42</v>
      </c>
      <c r="U99" s="345" t="s">
        <v>46</v>
      </c>
      <c r="V99" s="344" t="s">
        <v>50</v>
      </c>
      <c r="W99" s="345" t="s">
        <v>54</v>
      </c>
      <c r="X99" s="143"/>
      <c r="Y99" s="122">
        <v>2027.0</v>
      </c>
      <c r="Z99" s="346">
        <v>2026.0</v>
      </c>
      <c r="AA99" s="49"/>
      <c r="AB99" s="3"/>
      <c r="AC99" s="3"/>
      <c r="AD99" s="3"/>
      <c r="AE99" s="3"/>
      <c r="AF99" s="3"/>
      <c r="AG99" s="3"/>
      <c r="AH99" s="3"/>
      <c r="AI99" s="3"/>
      <c r="AJ99" s="3"/>
    </row>
    <row r="100" ht="15.75" customHeight="1">
      <c r="A100" s="1"/>
      <c r="B100" s="105"/>
      <c r="C100" s="106"/>
      <c r="D100" s="107"/>
      <c r="E100" s="144"/>
      <c r="F100" s="109"/>
      <c r="G100" s="409"/>
      <c r="H100" s="111"/>
      <c r="I100" s="112"/>
      <c r="J100" s="50" t="s">
        <v>61</v>
      </c>
      <c r="K100" s="347"/>
      <c r="L100" s="348">
        <v>0.06</v>
      </c>
      <c r="M100" s="348">
        <v>0.05</v>
      </c>
      <c r="N100" s="348">
        <v>0.07</v>
      </c>
      <c r="O100" s="348">
        <v>0.07</v>
      </c>
      <c r="P100" s="348">
        <v>0.07</v>
      </c>
      <c r="Q100" s="348">
        <v>0.06</v>
      </c>
      <c r="R100" s="348">
        <v>0.06</v>
      </c>
      <c r="S100" s="348">
        <v>0.08</v>
      </c>
      <c r="T100" s="348">
        <v>0.1</v>
      </c>
      <c r="U100" s="348">
        <v>0.12</v>
      </c>
      <c r="V100" s="348">
        <v>0.12</v>
      </c>
      <c r="W100" s="348">
        <v>0.14</v>
      </c>
      <c r="X100" s="125"/>
      <c r="Y100" s="165">
        <f>SUM(L100:W100)</f>
        <v>1</v>
      </c>
      <c r="Z100" s="406">
        <v>1.0</v>
      </c>
      <c r="AA100" s="64"/>
      <c r="AB100" s="3"/>
      <c r="AC100" s="3"/>
      <c r="AD100" s="3"/>
      <c r="AE100" s="3"/>
      <c r="AF100" s="3"/>
      <c r="AG100" s="3"/>
      <c r="AH100" s="3"/>
      <c r="AI100" s="3"/>
      <c r="AJ100" s="3"/>
    </row>
    <row r="101" ht="15.75" customHeight="1">
      <c r="A101" s="1"/>
      <c r="B101" s="105"/>
      <c r="C101" s="106"/>
      <c r="D101" s="107"/>
      <c r="E101" s="144"/>
      <c r="F101" s="109"/>
      <c r="G101" s="409"/>
      <c r="H101" s="111"/>
      <c r="I101" s="112"/>
      <c r="J101" s="50" t="s">
        <v>63</v>
      </c>
      <c r="K101" s="347"/>
      <c r="L101" s="66">
        <f t="shared" ref="L101:W101" si="82">($Y$101*L100)</f>
        <v>3600000</v>
      </c>
      <c r="M101" s="66">
        <f t="shared" si="82"/>
        <v>3000000</v>
      </c>
      <c r="N101" s="66">
        <f t="shared" si="82"/>
        <v>4200000</v>
      </c>
      <c r="O101" s="66">
        <f t="shared" si="82"/>
        <v>4200000</v>
      </c>
      <c r="P101" s="66">
        <f t="shared" si="82"/>
        <v>4200000</v>
      </c>
      <c r="Q101" s="66">
        <f t="shared" si="82"/>
        <v>3600000</v>
      </c>
      <c r="R101" s="66">
        <f t="shared" si="82"/>
        <v>3600000</v>
      </c>
      <c r="S101" s="66">
        <f t="shared" si="82"/>
        <v>4800000</v>
      </c>
      <c r="T101" s="66">
        <f t="shared" si="82"/>
        <v>6000000</v>
      </c>
      <c r="U101" s="66">
        <f t="shared" si="82"/>
        <v>7200000</v>
      </c>
      <c r="V101" s="66">
        <f t="shared" si="82"/>
        <v>7200000</v>
      </c>
      <c r="W101" s="66">
        <f t="shared" si="82"/>
        <v>8400000</v>
      </c>
      <c r="X101" s="75"/>
      <c r="Y101" s="166">
        <v>6.0E7</v>
      </c>
      <c r="Z101" s="350">
        <v>2.4E7</v>
      </c>
      <c r="AA101" s="78">
        <f t="shared" ref="AA101:AA103" si="84">Y101/Z101-1</f>
        <v>1.5</v>
      </c>
      <c r="AB101" s="147">
        <v>0.1</v>
      </c>
      <c r="AC101" s="4">
        <f>Y101+AB101*Y101</f>
        <v>66000000</v>
      </c>
      <c r="AD101" s="3"/>
      <c r="AE101" s="3"/>
      <c r="AF101" s="3"/>
      <c r="AG101" s="3"/>
      <c r="AH101" s="3"/>
      <c r="AI101" s="3"/>
      <c r="AJ101" s="3"/>
    </row>
    <row r="102" ht="15.75" customHeight="1">
      <c r="A102" s="1"/>
      <c r="B102" s="105"/>
      <c r="C102" s="106"/>
      <c r="D102" s="107"/>
      <c r="E102" s="144"/>
      <c r="F102" s="109"/>
      <c r="G102" s="409"/>
      <c r="H102" s="111"/>
      <c r="I102" s="112"/>
      <c r="J102" s="50" t="s">
        <v>64</v>
      </c>
      <c r="K102" s="351">
        <v>101.0</v>
      </c>
      <c r="L102" s="81">
        <f t="shared" ref="L102:W102" si="83">L101/$K$102</f>
        <v>35643.56436</v>
      </c>
      <c r="M102" s="81">
        <f t="shared" si="83"/>
        <v>29702.9703</v>
      </c>
      <c r="N102" s="81">
        <f t="shared" si="83"/>
        <v>41584.15842</v>
      </c>
      <c r="O102" s="81">
        <f t="shared" si="83"/>
        <v>41584.15842</v>
      </c>
      <c r="P102" s="81">
        <f t="shared" si="83"/>
        <v>41584.15842</v>
      </c>
      <c r="Q102" s="81">
        <f t="shared" si="83"/>
        <v>35643.56436</v>
      </c>
      <c r="R102" s="81">
        <f t="shared" si="83"/>
        <v>35643.56436</v>
      </c>
      <c r="S102" s="81">
        <f t="shared" si="83"/>
        <v>47524.75248</v>
      </c>
      <c r="T102" s="81">
        <f t="shared" si="83"/>
        <v>59405.94059</v>
      </c>
      <c r="U102" s="81">
        <f t="shared" si="83"/>
        <v>71287.12871</v>
      </c>
      <c r="V102" s="81">
        <f t="shared" si="83"/>
        <v>71287.12871</v>
      </c>
      <c r="W102" s="81">
        <f t="shared" si="83"/>
        <v>83168.31683</v>
      </c>
      <c r="X102" s="87"/>
      <c r="Y102" s="352">
        <f t="shared" ref="Y102:Y103" si="86">SUM(L102:W102)</f>
        <v>594059.4059</v>
      </c>
      <c r="Z102" s="353">
        <v>237623.76237623757</v>
      </c>
      <c r="AA102" s="78">
        <f t="shared" si="84"/>
        <v>1.5</v>
      </c>
      <c r="AB102" s="3"/>
      <c r="AC102" s="3"/>
      <c r="AD102" s="3"/>
      <c r="AE102" s="3"/>
      <c r="AF102" s="3"/>
      <c r="AG102" s="3"/>
      <c r="AH102" s="3"/>
      <c r="AI102" s="3"/>
      <c r="AJ102" s="3"/>
    </row>
    <row r="103" ht="15.75" customHeight="1">
      <c r="A103" s="1"/>
      <c r="B103" s="105"/>
      <c r="C103" s="106"/>
      <c r="D103" s="107"/>
      <c r="E103" s="144"/>
      <c r="F103" s="109"/>
      <c r="G103" s="409"/>
      <c r="H103" s="111"/>
      <c r="I103" s="112"/>
      <c r="J103" s="91" t="s">
        <v>66</v>
      </c>
      <c r="K103" s="361"/>
      <c r="L103" s="94">
        <f t="shared" ref="L103:W103" si="85">IF(L102=0, 0,
  MIN(L102, 10000) * 4 +
  MAX(0, MIN(L102, 20000) - 10000) * 3 +
  MAX(0, MIN(L102, 40000) - 20000) * 2 +
  MAX(0, MIN(L102, 80000) - 40000) * 1 +
  MAX(0, MIN(L102, 100000) - 80000) * 0.5 +
  MAX(0, L102 - 100000) * 0.25
)</f>
        <v>101287.1287</v>
      </c>
      <c r="M103" s="94">
        <f t="shared" si="85"/>
        <v>89405.94059</v>
      </c>
      <c r="N103" s="94">
        <f t="shared" si="85"/>
        <v>111584.1584</v>
      </c>
      <c r="O103" s="94">
        <f t="shared" si="85"/>
        <v>111584.1584</v>
      </c>
      <c r="P103" s="94">
        <f t="shared" si="85"/>
        <v>111584.1584</v>
      </c>
      <c r="Q103" s="94">
        <f t="shared" si="85"/>
        <v>101287.1287</v>
      </c>
      <c r="R103" s="94">
        <f t="shared" si="85"/>
        <v>101287.1287</v>
      </c>
      <c r="S103" s="94">
        <f t="shared" si="85"/>
        <v>117524.7525</v>
      </c>
      <c r="T103" s="94">
        <f t="shared" si="85"/>
        <v>129405.9406</v>
      </c>
      <c r="U103" s="94">
        <f t="shared" si="85"/>
        <v>141287.1287</v>
      </c>
      <c r="V103" s="94">
        <f t="shared" si="85"/>
        <v>141287.1287</v>
      </c>
      <c r="W103" s="94">
        <f t="shared" si="85"/>
        <v>151584.1584</v>
      </c>
      <c r="X103" s="101"/>
      <c r="Y103" s="169">
        <f t="shared" si="86"/>
        <v>1409108.911</v>
      </c>
      <c r="Z103" s="355">
        <v>651188.1188118812</v>
      </c>
      <c r="AA103" s="78">
        <f t="shared" si="84"/>
        <v>1.163904516</v>
      </c>
      <c r="AB103" s="3"/>
      <c r="AC103" s="3"/>
      <c r="AD103" s="3"/>
      <c r="AE103" s="3"/>
      <c r="AF103" s="3"/>
      <c r="AG103" s="3"/>
      <c r="AH103" s="3"/>
      <c r="AI103" s="3"/>
      <c r="AJ103" s="3"/>
    </row>
    <row r="104" ht="15.75" customHeight="1">
      <c r="G104" s="424"/>
      <c r="J104" s="425"/>
      <c r="K104" s="188"/>
      <c r="L104" s="15"/>
      <c r="M104" s="15"/>
      <c r="N104" s="15"/>
      <c r="O104" s="15"/>
      <c r="P104" s="15"/>
      <c r="Q104" s="160"/>
      <c r="R104" s="15"/>
      <c r="S104" s="15"/>
      <c r="T104" s="15"/>
      <c r="U104" s="15"/>
      <c r="V104" s="15"/>
      <c r="W104" s="15"/>
      <c r="X104" s="14"/>
      <c r="Y104" s="14"/>
      <c r="Z104" s="14"/>
      <c r="AA104" s="15"/>
      <c r="AB104" s="3"/>
      <c r="AC104" s="3"/>
      <c r="AD104" s="3"/>
      <c r="AE104" s="3"/>
      <c r="AF104" s="3"/>
      <c r="AG104" s="3"/>
      <c r="AH104" s="3"/>
      <c r="AI104" s="3"/>
      <c r="AJ104" s="3"/>
    </row>
    <row r="105" ht="15.75" customHeight="1">
      <c r="A105" s="1"/>
      <c r="B105" s="422">
        <v>18.0</v>
      </c>
      <c r="C105" s="106" t="str">
        <f>J105</f>
        <v>NINETTO</v>
      </c>
      <c r="D105" s="107"/>
      <c r="E105" s="144"/>
      <c r="F105" s="109"/>
      <c r="G105" s="423"/>
      <c r="H105" s="191"/>
      <c r="I105" s="192"/>
      <c r="J105" s="405" t="s">
        <v>101</v>
      </c>
      <c r="K105" s="342"/>
      <c r="L105" s="344" t="s">
        <v>10</v>
      </c>
      <c r="M105" s="345" t="s">
        <v>14</v>
      </c>
      <c r="N105" s="344" t="s">
        <v>18</v>
      </c>
      <c r="O105" s="345" t="s">
        <v>22</v>
      </c>
      <c r="P105" s="344" t="s">
        <v>26</v>
      </c>
      <c r="Q105" s="345" t="s">
        <v>30</v>
      </c>
      <c r="R105" s="344" t="s">
        <v>34</v>
      </c>
      <c r="S105" s="345" t="s">
        <v>38</v>
      </c>
      <c r="T105" s="344" t="s">
        <v>42</v>
      </c>
      <c r="U105" s="345" t="s">
        <v>46</v>
      </c>
      <c r="V105" s="344" t="s">
        <v>50</v>
      </c>
      <c r="W105" s="345" t="s">
        <v>54</v>
      </c>
      <c r="X105" s="143"/>
      <c r="Y105" s="122">
        <v>2027.0</v>
      </c>
      <c r="Z105" s="346" t="s">
        <v>121</v>
      </c>
      <c r="AA105" s="49"/>
      <c r="AB105" s="3"/>
      <c r="AC105" s="3"/>
      <c r="AD105" s="3"/>
      <c r="AE105" s="3"/>
      <c r="AF105" s="3"/>
      <c r="AG105" s="3"/>
      <c r="AH105" s="3"/>
      <c r="AI105" s="3"/>
      <c r="AJ105" s="3"/>
    </row>
    <row r="106" ht="15.75" customHeight="1">
      <c r="A106" s="1"/>
      <c r="B106" s="105"/>
      <c r="C106" s="106"/>
      <c r="D106" s="107"/>
      <c r="E106" s="144"/>
      <c r="F106" s="109"/>
      <c r="G106" s="409"/>
      <c r="H106" s="111"/>
      <c r="I106" s="112"/>
      <c r="J106" s="50" t="s">
        <v>61</v>
      </c>
      <c r="K106" s="347"/>
      <c r="L106" s="348">
        <v>0.01</v>
      </c>
      <c r="M106" s="348">
        <v>0.02</v>
      </c>
      <c r="N106" s="348">
        <v>0.03</v>
      </c>
      <c r="O106" s="348">
        <v>0.04</v>
      </c>
      <c r="P106" s="348">
        <v>0.05</v>
      </c>
      <c r="Q106" s="348">
        <v>0.07</v>
      </c>
      <c r="R106" s="348">
        <v>0.08</v>
      </c>
      <c r="S106" s="348">
        <v>0.1</v>
      </c>
      <c r="T106" s="348">
        <v>0.12</v>
      </c>
      <c r="U106" s="348">
        <v>0.14</v>
      </c>
      <c r="V106" s="348">
        <v>0.16</v>
      </c>
      <c r="W106" s="348">
        <v>0.18</v>
      </c>
      <c r="X106" s="125"/>
      <c r="Y106" s="165">
        <f>SUM(L106:W106)</f>
        <v>1</v>
      </c>
      <c r="Z106" s="426">
        <v>0.12</v>
      </c>
      <c r="AA106" s="64"/>
      <c r="AB106" s="3"/>
      <c r="AC106" s="3"/>
      <c r="AD106" s="3"/>
      <c r="AE106" s="3"/>
      <c r="AF106" s="3"/>
      <c r="AG106" s="3"/>
      <c r="AH106" s="3"/>
      <c r="AI106" s="3"/>
      <c r="AJ106" s="3"/>
    </row>
    <row r="107" ht="15.75" customHeight="1">
      <c r="A107" s="1"/>
      <c r="B107" s="105"/>
      <c r="C107" s="106"/>
      <c r="D107" s="107"/>
      <c r="E107" s="144"/>
      <c r="F107" s="109"/>
      <c r="G107" s="409"/>
      <c r="H107" s="111"/>
      <c r="I107" s="112"/>
      <c r="J107" s="50" t="s">
        <v>63</v>
      </c>
      <c r="K107" s="347"/>
      <c r="L107" s="66">
        <f t="shared" ref="L107:W107" si="87">$Y$107*L106</f>
        <v>5000</v>
      </c>
      <c r="M107" s="66">
        <f t="shared" si="87"/>
        <v>10000</v>
      </c>
      <c r="N107" s="66">
        <f t="shared" si="87"/>
        <v>15000</v>
      </c>
      <c r="O107" s="66">
        <f t="shared" si="87"/>
        <v>20000</v>
      </c>
      <c r="P107" s="66">
        <f t="shared" si="87"/>
        <v>25000</v>
      </c>
      <c r="Q107" s="66">
        <f t="shared" si="87"/>
        <v>35000</v>
      </c>
      <c r="R107" s="66">
        <f t="shared" si="87"/>
        <v>40000</v>
      </c>
      <c r="S107" s="66">
        <f t="shared" si="87"/>
        <v>50000</v>
      </c>
      <c r="T107" s="66">
        <f t="shared" si="87"/>
        <v>60000</v>
      </c>
      <c r="U107" s="66">
        <f t="shared" si="87"/>
        <v>70000</v>
      </c>
      <c r="V107" s="66">
        <f t="shared" si="87"/>
        <v>80000</v>
      </c>
      <c r="W107" s="66">
        <f t="shared" si="87"/>
        <v>90000</v>
      </c>
      <c r="X107" s="75"/>
      <c r="Y107" s="166">
        <v>500000.0</v>
      </c>
      <c r="Z107" s="350"/>
      <c r="AA107" s="78"/>
      <c r="AB107" s="147">
        <v>0.15</v>
      </c>
      <c r="AC107" s="4">
        <f>Y107+AB107*Y107</f>
        <v>575000</v>
      </c>
      <c r="AD107" s="3"/>
      <c r="AE107" s="3"/>
      <c r="AF107" s="3"/>
      <c r="AG107" s="3"/>
      <c r="AH107" s="3"/>
      <c r="AI107" s="3"/>
      <c r="AJ107" s="3"/>
    </row>
    <row r="108" ht="15.75" customHeight="1">
      <c r="A108" s="1"/>
      <c r="B108" s="105"/>
      <c r="C108" s="106"/>
      <c r="D108" s="107"/>
      <c r="E108" s="144"/>
      <c r="F108" s="109"/>
      <c r="G108" s="409"/>
      <c r="H108" s="111"/>
      <c r="I108" s="112"/>
      <c r="J108" s="50" t="s">
        <v>64</v>
      </c>
      <c r="K108" s="351">
        <v>120.0</v>
      </c>
      <c r="L108" s="81">
        <f t="shared" ref="L108:W108" si="88">L107/$K$102</f>
        <v>49.5049505</v>
      </c>
      <c r="M108" s="81">
        <f t="shared" si="88"/>
        <v>99.00990099</v>
      </c>
      <c r="N108" s="81">
        <f t="shared" si="88"/>
        <v>148.5148515</v>
      </c>
      <c r="O108" s="81">
        <f t="shared" si="88"/>
        <v>198.019802</v>
      </c>
      <c r="P108" s="81">
        <f t="shared" si="88"/>
        <v>247.5247525</v>
      </c>
      <c r="Q108" s="81">
        <f t="shared" si="88"/>
        <v>346.5346535</v>
      </c>
      <c r="R108" s="81">
        <f t="shared" si="88"/>
        <v>396.039604</v>
      </c>
      <c r="S108" s="81">
        <f t="shared" si="88"/>
        <v>495.049505</v>
      </c>
      <c r="T108" s="81">
        <f t="shared" si="88"/>
        <v>594.0594059</v>
      </c>
      <c r="U108" s="81">
        <f t="shared" si="88"/>
        <v>693.0693069</v>
      </c>
      <c r="V108" s="81">
        <f t="shared" si="88"/>
        <v>792.0792079</v>
      </c>
      <c r="W108" s="81">
        <f t="shared" si="88"/>
        <v>891.0891089</v>
      </c>
      <c r="X108" s="87"/>
      <c r="Y108" s="352">
        <f t="shared" ref="Y108:Y109" si="90">SUM(L108:W108)</f>
        <v>4950.49505</v>
      </c>
      <c r="Z108" s="353"/>
      <c r="AA108" s="78"/>
      <c r="AB108" s="3"/>
      <c r="AC108" s="3"/>
      <c r="AD108" s="3"/>
      <c r="AE108" s="3"/>
      <c r="AF108" s="3"/>
      <c r="AG108" s="3"/>
      <c r="AH108" s="3"/>
      <c r="AI108" s="3"/>
      <c r="AJ108" s="3"/>
    </row>
    <row r="109" ht="15.75" customHeight="1">
      <c r="A109" s="1"/>
      <c r="B109" s="105"/>
      <c r="C109" s="106"/>
      <c r="D109" s="107"/>
      <c r="E109" s="144"/>
      <c r="F109" s="109"/>
      <c r="G109" s="409"/>
      <c r="H109" s="111"/>
      <c r="I109" s="112"/>
      <c r="J109" s="91" t="s">
        <v>66</v>
      </c>
      <c r="K109" s="361">
        <v>0.045</v>
      </c>
      <c r="L109" s="94">
        <f t="shared" ref="L109:W109" si="89">IF(L108=0, 0,
  MIN(L108, 10000) * 4 +
  MAX(0, MIN(L108, 20000) - 10000) * 3 +
  MAX(0, MIN(L108, 40000) - 20000) * 2 +
  MAX(0, MIN(L108, 80000) - 40000) * 1 +
  MAX(0, MIN(L108, 100000) - 80000) * 0.5 +
  MAX(0, L108 - 100000) * 0.25
)</f>
        <v>198.019802</v>
      </c>
      <c r="M109" s="94">
        <f t="shared" si="89"/>
        <v>396.039604</v>
      </c>
      <c r="N109" s="94">
        <f t="shared" si="89"/>
        <v>594.0594059</v>
      </c>
      <c r="O109" s="94">
        <f t="shared" si="89"/>
        <v>792.0792079</v>
      </c>
      <c r="P109" s="94">
        <f t="shared" si="89"/>
        <v>990.0990099</v>
      </c>
      <c r="Q109" s="94">
        <f t="shared" si="89"/>
        <v>1386.138614</v>
      </c>
      <c r="R109" s="94">
        <f t="shared" si="89"/>
        <v>1584.158416</v>
      </c>
      <c r="S109" s="94">
        <f t="shared" si="89"/>
        <v>1980.19802</v>
      </c>
      <c r="T109" s="94">
        <f t="shared" si="89"/>
        <v>2376.237624</v>
      </c>
      <c r="U109" s="94">
        <f t="shared" si="89"/>
        <v>2772.277228</v>
      </c>
      <c r="V109" s="94">
        <f t="shared" si="89"/>
        <v>3168.316832</v>
      </c>
      <c r="W109" s="94">
        <f t="shared" si="89"/>
        <v>3564.356436</v>
      </c>
      <c r="X109" s="101"/>
      <c r="Y109" s="169">
        <f t="shared" si="90"/>
        <v>19801.9802</v>
      </c>
      <c r="Z109" s="355"/>
      <c r="AA109" s="104"/>
      <c r="AB109" s="3"/>
      <c r="AC109" s="3"/>
      <c r="AD109" s="3"/>
      <c r="AE109" s="3"/>
      <c r="AF109" s="3"/>
      <c r="AG109" s="3"/>
      <c r="AH109" s="3"/>
      <c r="AI109" s="3"/>
      <c r="AJ109" s="3"/>
    </row>
    <row r="110" ht="15.75" customHeight="1">
      <c r="G110" s="424"/>
      <c r="J110" s="425"/>
      <c r="K110" s="188"/>
      <c r="L110" s="15"/>
      <c r="M110" s="15"/>
      <c r="N110" s="15"/>
      <c r="O110" s="15"/>
      <c r="P110" s="15"/>
      <c r="Q110" s="160"/>
      <c r="R110" s="15"/>
      <c r="S110" s="15"/>
      <c r="T110" s="15"/>
      <c r="U110" s="15"/>
      <c r="V110" s="15"/>
      <c r="W110" s="15"/>
      <c r="X110" s="14"/>
      <c r="Y110" s="14"/>
      <c r="Z110" s="14"/>
      <c r="AA110" s="15"/>
      <c r="AB110" s="3"/>
      <c r="AC110" s="3"/>
      <c r="AD110" s="3"/>
      <c r="AE110" s="3"/>
      <c r="AF110" s="3"/>
      <c r="AG110" s="3"/>
      <c r="AH110" s="3"/>
      <c r="AI110" s="3"/>
      <c r="AJ110" s="3"/>
    </row>
    <row r="111" ht="15.75" customHeight="1">
      <c r="A111" s="1"/>
      <c r="B111" s="422">
        <v>19.0</v>
      </c>
      <c r="C111" s="106" t="str">
        <f>J111</f>
        <v>NINO CUCINA</v>
      </c>
      <c r="D111" s="107"/>
      <c r="E111" s="144"/>
      <c r="F111" s="109"/>
      <c r="G111" s="423"/>
      <c r="H111" s="191"/>
      <c r="I111" s="192"/>
      <c r="J111" s="405" t="s">
        <v>122</v>
      </c>
      <c r="K111" s="342"/>
      <c r="L111" s="344" t="s">
        <v>10</v>
      </c>
      <c r="M111" s="345" t="s">
        <v>14</v>
      </c>
      <c r="N111" s="344" t="s">
        <v>18</v>
      </c>
      <c r="O111" s="345" t="s">
        <v>22</v>
      </c>
      <c r="P111" s="344" t="s">
        <v>26</v>
      </c>
      <c r="Q111" s="345" t="s">
        <v>30</v>
      </c>
      <c r="R111" s="344" t="s">
        <v>34</v>
      </c>
      <c r="S111" s="345" t="s">
        <v>38</v>
      </c>
      <c r="T111" s="344" t="s">
        <v>42</v>
      </c>
      <c r="U111" s="345" t="s">
        <v>46</v>
      </c>
      <c r="V111" s="344" t="s">
        <v>50</v>
      </c>
      <c r="W111" s="345" t="s">
        <v>54</v>
      </c>
      <c r="X111" s="143"/>
      <c r="Y111" s="122">
        <v>2027.0</v>
      </c>
      <c r="Z111" s="346" t="s">
        <v>121</v>
      </c>
      <c r="AA111" s="49"/>
      <c r="AB111" s="3"/>
      <c r="AC111" s="3"/>
      <c r="AD111" s="3"/>
      <c r="AE111" s="3"/>
      <c r="AF111" s="3"/>
      <c r="AG111" s="3"/>
      <c r="AH111" s="3"/>
      <c r="AI111" s="3"/>
      <c r="AJ111" s="3"/>
    </row>
    <row r="112" ht="15.75" customHeight="1">
      <c r="A112" s="1"/>
      <c r="B112" s="105"/>
      <c r="C112" s="106"/>
      <c r="D112" s="107"/>
      <c r="E112" s="144"/>
      <c r="F112" s="109"/>
      <c r="G112" s="409"/>
      <c r="H112" s="111"/>
      <c r="I112" s="112"/>
      <c r="J112" s="50" t="s">
        <v>61</v>
      </c>
      <c r="K112" s="347"/>
      <c r="L112" s="348"/>
      <c r="M112" s="348">
        <v>0.01</v>
      </c>
      <c r="N112" s="348">
        <v>0.02</v>
      </c>
      <c r="O112" s="348">
        <v>0.03</v>
      </c>
      <c r="P112" s="348">
        <v>0.05</v>
      </c>
      <c r="Q112" s="348">
        <v>0.07</v>
      </c>
      <c r="R112" s="348">
        <v>0.08</v>
      </c>
      <c r="S112" s="348">
        <v>0.1</v>
      </c>
      <c r="T112" s="348">
        <v>0.12</v>
      </c>
      <c r="U112" s="348">
        <v>0.14</v>
      </c>
      <c r="V112" s="348">
        <v>0.18</v>
      </c>
      <c r="W112" s="348">
        <v>0.2</v>
      </c>
      <c r="X112" s="125"/>
      <c r="Y112" s="165">
        <f>SUM(L112:W112)</f>
        <v>1</v>
      </c>
      <c r="Z112" s="426">
        <v>0.1</v>
      </c>
      <c r="AA112" s="64"/>
      <c r="AB112" s="3"/>
      <c r="AC112" s="3"/>
      <c r="AD112" s="3"/>
      <c r="AE112" s="3"/>
      <c r="AF112" s="3"/>
      <c r="AG112" s="3"/>
      <c r="AH112" s="3"/>
      <c r="AI112" s="3"/>
      <c r="AJ112" s="3"/>
    </row>
    <row r="113" ht="15.75" customHeight="1">
      <c r="A113" s="1"/>
      <c r="B113" s="105"/>
      <c r="C113" s="106"/>
      <c r="D113" s="107"/>
      <c r="E113" s="144"/>
      <c r="F113" s="109"/>
      <c r="G113" s="409"/>
      <c r="H113" s="111"/>
      <c r="I113" s="112"/>
      <c r="J113" s="50" t="s">
        <v>63</v>
      </c>
      <c r="K113" s="347"/>
      <c r="L113" s="66">
        <f t="shared" ref="L113:W113" si="91">$Y$113*L112</f>
        <v>0</v>
      </c>
      <c r="M113" s="66">
        <f t="shared" si="91"/>
        <v>20160</v>
      </c>
      <c r="N113" s="66">
        <f t="shared" si="91"/>
        <v>40320</v>
      </c>
      <c r="O113" s="66">
        <f t="shared" si="91"/>
        <v>60480</v>
      </c>
      <c r="P113" s="66">
        <f t="shared" si="91"/>
        <v>100800</v>
      </c>
      <c r="Q113" s="66">
        <f t="shared" si="91"/>
        <v>141120</v>
      </c>
      <c r="R113" s="66">
        <f t="shared" si="91"/>
        <v>161280</v>
      </c>
      <c r="S113" s="66">
        <f t="shared" si="91"/>
        <v>201600</v>
      </c>
      <c r="T113" s="66">
        <f t="shared" si="91"/>
        <v>241920</v>
      </c>
      <c r="U113" s="66">
        <f t="shared" si="91"/>
        <v>282240</v>
      </c>
      <c r="V113" s="66">
        <f t="shared" si="91"/>
        <v>362880</v>
      </c>
      <c r="W113" s="66">
        <f t="shared" si="91"/>
        <v>403200</v>
      </c>
      <c r="X113" s="75"/>
      <c r="Y113" s="166">
        <v>2016000.0</v>
      </c>
      <c r="Z113" s="350"/>
      <c r="AA113" s="78"/>
      <c r="AB113" s="147">
        <v>0.15</v>
      </c>
      <c r="AC113" s="4">
        <f>Y113+AB113*Y113</f>
        <v>2318400</v>
      </c>
      <c r="AD113" s="3"/>
      <c r="AE113" s="3"/>
      <c r="AF113" s="3"/>
      <c r="AG113" s="3"/>
      <c r="AH113" s="3"/>
      <c r="AI113" s="3"/>
      <c r="AJ113" s="3"/>
    </row>
    <row r="114" ht="15.75" customHeight="1">
      <c r="A114" s="1"/>
      <c r="B114" s="105"/>
      <c r="C114" s="106"/>
      <c r="D114" s="107"/>
      <c r="E114" s="144"/>
      <c r="F114" s="109"/>
      <c r="G114" s="409"/>
      <c r="H114" s="111"/>
      <c r="I114" s="112"/>
      <c r="J114" s="50" t="s">
        <v>64</v>
      </c>
      <c r="K114" s="351">
        <v>160.0</v>
      </c>
      <c r="L114" s="81">
        <f t="shared" ref="L114:W114" si="92">L113/$K$102</f>
        <v>0</v>
      </c>
      <c r="M114" s="81">
        <f t="shared" si="92"/>
        <v>199.6039604</v>
      </c>
      <c r="N114" s="81">
        <f t="shared" si="92"/>
        <v>399.2079208</v>
      </c>
      <c r="O114" s="81">
        <f t="shared" si="92"/>
        <v>598.8118812</v>
      </c>
      <c r="P114" s="81">
        <f t="shared" si="92"/>
        <v>998.019802</v>
      </c>
      <c r="Q114" s="81">
        <f t="shared" si="92"/>
        <v>1397.227723</v>
      </c>
      <c r="R114" s="81">
        <f t="shared" si="92"/>
        <v>1596.831683</v>
      </c>
      <c r="S114" s="81">
        <f t="shared" si="92"/>
        <v>1996.039604</v>
      </c>
      <c r="T114" s="81">
        <f t="shared" si="92"/>
        <v>2395.247525</v>
      </c>
      <c r="U114" s="81">
        <f t="shared" si="92"/>
        <v>2794.455446</v>
      </c>
      <c r="V114" s="81">
        <f t="shared" si="92"/>
        <v>3592.871287</v>
      </c>
      <c r="W114" s="81">
        <f t="shared" si="92"/>
        <v>3992.079208</v>
      </c>
      <c r="X114" s="87"/>
      <c r="Y114" s="352">
        <f t="shared" ref="Y114:Y115" si="94">SUM(L114:W114)</f>
        <v>19960.39604</v>
      </c>
      <c r="Z114" s="353"/>
      <c r="AA114" s="78"/>
      <c r="AB114" s="3"/>
      <c r="AC114" s="3"/>
      <c r="AD114" s="3"/>
      <c r="AE114" s="3"/>
      <c r="AF114" s="3"/>
      <c r="AG114" s="3"/>
      <c r="AH114" s="3"/>
      <c r="AI114" s="3"/>
      <c r="AJ114" s="3"/>
    </row>
    <row r="115" ht="15.75" customHeight="1">
      <c r="A115" s="1"/>
      <c r="B115" s="105"/>
      <c r="C115" s="106"/>
      <c r="D115" s="107"/>
      <c r="E115" s="144"/>
      <c r="F115" s="109"/>
      <c r="G115" s="409"/>
      <c r="H115" s="111"/>
      <c r="I115" s="112"/>
      <c r="J115" s="91" t="s">
        <v>66</v>
      </c>
      <c r="K115" s="361">
        <v>0.045</v>
      </c>
      <c r="L115" s="94">
        <f t="shared" ref="L115:W115" si="93">IF(L114=0, 0,
  MIN(L114, 10000) * 4 +
  MAX(0, MIN(L114, 20000) - 10000) * 3 +
  MAX(0, MIN(L114, 40000) - 20000) * 2 +
  MAX(0, MIN(L114, 80000) - 40000) * 1 +
  MAX(0, MIN(L114, 100000) - 80000) * 0.5 +
  MAX(0, L114 - 100000) * 0.25
)</f>
        <v>0</v>
      </c>
      <c r="M115" s="94">
        <f t="shared" si="93"/>
        <v>798.4158416</v>
      </c>
      <c r="N115" s="94">
        <f t="shared" si="93"/>
        <v>1596.831683</v>
      </c>
      <c r="O115" s="94">
        <f t="shared" si="93"/>
        <v>2395.247525</v>
      </c>
      <c r="P115" s="94">
        <f t="shared" si="93"/>
        <v>3992.079208</v>
      </c>
      <c r="Q115" s="94">
        <f t="shared" si="93"/>
        <v>5588.910891</v>
      </c>
      <c r="R115" s="94">
        <f t="shared" si="93"/>
        <v>6387.326733</v>
      </c>
      <c r="S115" s="94">
        <f t="shared" si="93"/>
        <v>7984.158416</v>
      </c>
      <c r="T115" s="94">
        <f t="shared" si="93"/>
        <v>9580.990099</v>
      </c>
      <c r="U115" s="94">
        <f t="shared" si="93"/>
        <v>11177.82178</v>
      </c>
      <c r="V115" s="94">
        <f t="shared" si="93"/>
        <v>14371.48515</v>
      </c>
      <c r="W115" s="94">
        <f t="shared" si="93"/>
        <v>15968.31683</v>
      </c>
      <c r="X115" s="101"/>
      <c r="Y115" s="169">
        <f t="shared" si="94"/>
        <v>79841.58416</v>
      </c>
      <c r="Z115" s="355"/>
      <c r="AA115" s="104"/>
      <c r="AB115" s="3"/>
      <c r="AC115" s="3"/>
      <c r="AD115" s="3"/>
      <c r="AE115" s="3"/>
      <c r="AF115" s="3"/>
      <c r="AG115" s="3"/>
      <c r="AH115" s="3"/>
      <c r="AI115" s="3"/>
      <c r="AJ115" s="3"/>
    </row>
    <row r="116" ht="15.75" customHeight="1">
      <c r="G116" s="424"/>
      <c r="J116" s="425"/>
      <c r="K116" s="188"/>
      <c r="L116" s="15"/>
      <c r="M116" s="15"/>
      <c r="N116" s="15"/>
      <c r="O116" s="15"/>
      <c r="P116" s="15"/>
      <c r="Q116" s="160"/>
      <c r="R116" s="15"/>
      <c r="S116" s="15"/>
      <c r="T116" s="15"/>
      <c r="U116" s="15"/>
      <c r="V116" s="15"/>
      <c r="W116" s="15"/>
      <c r="X116" s="14"/>
      <c r="Y116" s="14"/>
      <c r="Z116" s="14"/>
      <c r="AA116" s="15"/>
      <c r="AB116" s="3"/>
      <c r="AC116" s="3"/>
      <c r="AD116" s="3"/>
      <c r="AE116" s="3"/>
      <c r="AF116" s="3"/>
      <c r="AG116" s="3"/>
      <c r="AH116" s="3"/>
      <c r="AI116" s="3"/>
      <c r="AJ116" s="3"/>
    </row>
    <row r="117" ht="15.75" customHeight="1">
      <c r="A117" s="1"/>
      <c r="B117" s="422">
        <v>20.0</v>
      </c>
      <c r="C117" s="106" t="str">
        <f>J117</f>
        <v>TATU BOLA</v>
      </c>
      <c r="D117" s="107"/>
      <c r="E117" s="144"/>
      <c r="F117" s="109"/>
      <c r="G117" s="423"/>
      <c r="H117" s="191"/>
      <c r="I117" s="192"/>
      <c r="J117" s="405" t="s">
        <v>123</v>
      </c>
      <c r="K117" s="342"/>
      <c r="L117" s="344" t="s">
        <v>10</v>
      </c>
      <c r="M117" s="345" t="s">
        <v>14</v>
      </c>
      <c r="N117" s="344" t="s">
        <v>18</v>
      </c>
      <c r="O117" s="345" t="s">
        <v>22</v>
      </c>
      <c r="P117" s="344" t="s">
        <v>26</v>
      </c>
      <c r="Q117" s="345" t="s">
        <v>30</v>
      </c>
      <c r="R117" s="344" t="s">
        <v>34</v>
      </c>
      <c r="S117" s="345" t="s">
        <v>38</v>
      </c>
      <c r="T117" s="344" t="s">
        <v>42</v>
      </c>
      <c r="U117" s="345" t="s">
        <v>46</v>
      </c>
      <c r="V117" s="344" t="s">
        <v>50</v>
      </c>
      <c r="W117" s="345" t="s">
        <v>54</v>
      </c>
      <c r="X117" s="143"/>
      <c r="Y117" s="122">
        <v>2027.0</v>
      </c>
      <c r="Z117" s="346" t="s">
        <v>121</v>
      </c>
      <c r="AA117" s="49"/>
      <c r="AB117" s="3"/>
      <c r="AC117" s="3"/>
      <c r="AD117" s="3"/>
      <c r="AE117" s="3"/>
      <c r="AF117" s="3"/>
      <c r="AG117" s="3"/>
      <c r="AH117" s="3"/>
      <c r="AI117" s="3"/>
      <c r="AJ117" s="3"/>
    </row>
    <row r="118" ht="15.75" customHeight="1">
      <c r="A118" s="1"/>
      <c r="B118" s="105"/>
      <c r="C118" s="106"/>
      <c r="D118" s="107"/>
      <c r="E118" s="144"/>
      <c r="F118" s="109"/>
      <c r="G118" s="409"/>
      <c r="H118" s="111"/>
      <c r="I118" s="112"/>
      <c r="J118" s="50" t="s">
        <v>61</v>
      </c>
      <c r="K118" s="347"/>
      <c r="L118" s="348"/>
      <c r="M118" s="348">
        <v>0.01</v>
      </c>
      <c r="N118" s="348">
        <v>0.02</v>
      </c>
      <c r="O118" s="348">
        <v>0.03</v>
      </c>
      <c r="P118" s="348">
        <v>0.05</v>
      </c>
      <c r="Q118" s="348">
        <v>0.07</v>
      </c>
      <c r="R118" s="348">
        <v>0.08</v>
      </c>
      <c r="S118" s="348">
        <v>0.1</v>
      </c>
      <c r="T118" s="348">
        <v>0.12</v>
      </c>
      <c r="U118" s="348">
        <v>0.14</v>
      </c>
      <c r="V118" s="348">
        <v>0.18</v>
      </c>
      <c r="W118" s="348">
        <v>0.2</v>
      </c>
      <c r="X118" s="125"/>
      <c r="Y118" s="165">
        <f>SUM(L118:W118)</f>
        <v>1</v>
      </c>
      <c r="Z118" s="426">
        <v>0.14</v>
      </c>
      <c r="AA118" s="64"/>
      <c r="AB118" s="3"/>
      <c r="AC118" s="3"/>
      <c r="AD118" s="3"/>
      <c r="AE118" s="3"/>
      <c r="AF118" s="3"/>
      <c r="AG118" s="3"/>
      <c r="AH118" s="3"/>
      <c r="AI118" s="3"/>
      <c r="AJ118" s="3"/>
    </row>
    <row r="119" ht="15.75" customHeight="1">
      <c r="A119" s="1"/>
      <c r="B119" s="105"/>
      <c r="C119" s="106"/>
      <c r="D119" s="107"/>
      <c r="E119" s="144"/>
      <c r="F119" s="109"/>
      <c r="G119" s="409"/>
      <c r="H119" s="111"/>
      <c r="I119" s="112"/>
      <c r="J119" s="50" t="s">
        <v>63</v>
      </c>
      <c r="K119" s="347"/>
      <c r="L119" s="66">
        <f t="shared" ref="L119:W119" si="95">L118*$Y$119</f>
        <v>0</v>
      </c>
      <c r="M119" s="66">
        <f t="shared" si="95"/>
        <v>1050</v>
      </c>
      <c r="N119" s="66">
        <f t="shared" si="95"/>
        <v>2100</v>
      </c>
      <c r="O119" s="66">
        <f t="shared" si="95"/>
        <v>3150</v>
      </c>
      <c r="P119" s="66">
        <f t="shared" si="95"/>
        <v>5250</v>
      </c>
      <c r="Q119" s="66">
        <f t="shared" si="95"/>
        <v>7350</v>
      </c>
      <c r="R119" s="66">
        <f t="shared" si="95"/>
        <v>8400</v>
      </c>
      <c r="S119" s="66">
        <f t="shared" si="95"/>
        <v>10500</v>
      </c>
      <c r="T119" s="66">
        <f t="shared" si="95"/>
        <v>12600</v>
      </c>
      <c r="U119" s="66">
        <f t="shared" si="95"/>
        <v>14700</v>
      </c>
      <c r="V119" s="66">
        <f t="shared" si="95"/>
        <v>18900</v>
      </c>
      <c r="W119" s="66">
        <f t="shared" si="95"/>
        <v>21000</v>
      </c>
      <c r="X119" s="75"/>
      <c r="Y119" s="166">
        <v>105000.0</v>
      </c>
      <c r="Z119" s="350"/>
      <c r="AA119" s="78"/>
      <c r="AB119" s="147">
        <v>0.15</v>
      </c>
      <c r="AC119" s="4">
        <f>Y119+AB119*Y119</f>
        <v>120750</v>
      </c>
      <c r="AD119" s="3"/>
      <c r="AE119" s="3"/>
      <c r="AF119" s="3"/>
      <c r="AG119" s="3"/>
      <c r="AH119" s="3"/>
      <c r="AI119" s="3"/>
      <c r="AJ119" s="3"/>
    </row>
    <row r="120" ht="15.75" customHeight="1">
      <c r="A120" s="1"/>
      <c r="B120" s="105"/>
      <c r="C120" s="106"/>
      <c r="D120" s="107"/>
      <c r="E120" s="144"/>
      <c r="F120" s="109"/>
      <c r="G120" s="409"/>
      <c r="H120" s="111"/>
      <c r="I120" s="112"/>
      <c r="J120" s="50" t="s">
        <v>64</v>
      </c>
      <c r="K120" s="351">
        <v>65.0</v>
      </c>
      <c r="L120" s="81">
        <f t="shared" ref="L120:W120" si="96">L119/$K$102</f>
        <v>0</v>
      </c>
      <c r="M120" s="81">
        <f t="shared" si="96"/>
        <v>10.3960396</v>
      </c>
      <c r="N120" s="81">
        <f t="shared" si="96"/>
        <v>20.79207921</v>
      </c>
      <c r="O120" s="81">
        <f t="shared" si="96"/>
        <v>31.18811881</v>
      </c>
      <c r="P120" s="81">
        <f t="shared" si="96"/>
        <v>51.98019802</v>
      </c>
      <c r="Q120" s="81">
        <f t="shared" si="96"/>
        <v>72.77227723</v>
      </c>
      <c r="R120" s="81">
        <f t="shared" si="96"/>
        <v>83.16831683</v>
      </c>
      <c r="S120" s="81">
        <f t="shared" si="96"/>
        <v>103.960396</v>
      </c>
      <c r="T120" s="81">
        <f t="shared" si="96"/>
        <v>124.7524752</v>
      </c>
      <c r="U120" s="81">
        <f t="shared" si="96"/>
        <v>145.5445545</v>
      </c>
      <c r="V120" s="81">
        <f t="shared" si="96"/>
        <v>187.1287129</v>
      </c>
      <c r="W120" s="81">
        <f t="shared" si="96"/>
        <v>207.9207921</v>
      </c>
      <c r="X120" s="87"/>
      <c r="Y120" s="352">
        <f t="shared" ref="Y120:Y121" si="98">SUM(L120:W120)</f>
        <v>1039.60396</v>
      </c>
      <c r="Z120" s="353"/>
      <c r="AA120" s="78"/>
      <c r="AB120" s="3"/>
      <c r="AC120" s="3"/>
      <c r="AD120" s="3"/>
      <c r="AE120" s="3"/>
      <c r="AF120" s="3"/>
      <c r="AG120" s="3"/>
      <c r="AH120" s="3"/>
      <c r="AI120" s="3"/>
      <c r="AJ120" s="3"/>
    </row>
    <row r="121" ht="15.75" customHeight="1">
      <c r="A121" s="1"/>
      <c r="B121" s="105"/>
      <c r="C121" s="106"/>
      <c r="D121" s="107"/>
      <c r="E121" s="144"/>
      <c r="F121" s="109"/>
      <c r="G121" s="409"/>
      <c r="H121" s="111"/>
      <c r="I121" s="112"/>
      <c r="J121" s="91" t="s">
        <v>66</v>
      </c>
      <c r="K121" s="361">
        <v>0.045</v>
      </c>
      <c r="L121" s="94">
        <f t="shared" ref="L121:W121" si="97">IF(L120=0, 0,
  MIN(L120, 10000) * 4 +
  MAX(0, MIN(L120, 20000) - 10000) * 3 +
  MAX(0, MIN(L120, 40000) - 20000) * 2 +
  MAX(0, MIN(L120, 80000) - 40000) * 1 +
  MAX(0, MIN(L120, 100000) - 80000) * 0.5 +
  MAX(0, L120 - 100000) * 0.25
)</f>
        <v>0</v>
      </c>
      <c r="M121" s="94">
        <f t="shared" si="97"/>
        <v>41.58415842</v>
      </c>
      <c r="N121" s="94">
        <f t="shared" si="97"/>
        <v>83.16831683</v>
      </c>
      <c r="O121" s="94">
        <f t="shared" si="97"/>
        <v>124.7524752</v>
      </c>
      <c r="P121" s="94">
        <f t="shared" si="97"/>
        <v>207.9207921</v>
      </c>
      <c r="Q121" s="94">
        <f t="shared" si="97"/>
        <v>291.0891089</v>
      </c>
      <c r="R121" s="94">
        <f t="shared" si="97"/>
        <v>332.6732673</v>
      </c>
      <c r="S121" s="94">
        <f t="shared" si="97"/>
        <v>415.8415842</v>
      </c>
      <c r="T121" s="94">
        <f t="shared" si="97"/>
        <v>499.009901</v>
      </c>
      <c r="U121" s="94">
        <f t="shared" si="97"/>
        <v>582.1782178</v>
      </c>
      <c r="V121" s="94">
        <f t="shared" si="97"/>
        <v>748.5148515</v>
      </c>
      <c r="W121" s="94">
        <f t="shared" si="97"/>
        <v>831.6831683</v>
      </c>
      <c r="X121" s="101"/>
      <c r="Y121" s="169">
        <f t="shared" si="98"/>
        <v>4158.415842</v>
      </c>
      <c r="Z121" s="355"/>
      <c r="AA121" s="104"/>
      <c r="AB121" s="3"/>
      <c r="AC121" s="3"/>
      <c r="AD121" s="3"/>
      <c r="AE121" s="3"/>
      <c r="AF121" s="3"/>
      <c r="AG121" s="3"/>
      <c r="AH121" s="3"/>
      <c r="AI121" s="3"/>
      <c r="AJ121" s="3"/>
    </row>
    <row r="122" ht="15.75" customHeight="1">
      <c r="G122" s="424"/>
      <c r="J122" s="425"/>
      <c r="K122" s="188"/>
      <c r="L122" s="15"/>
      <c r="M122" s="15"/>
      <c r="N122" s="15"/>
      <c r="O122" s="15"/>
      <c r="P122" s="15"/>
      <c r="Q122" s="160"/>
      <c r="R122" s="15"/>
      <c r="S122" s="15"/>
      <c r="T122" s="15"/>
      <c r="U122" s="15"/>
      <c r="V122" s="15"/>
      <c r="W122" s="15"/>
      <c r="X122" s="14"/>
      <c r="Y122" s="14"/>
      <c r="Z122" s="14"/>
      <c r="AA122" s="15"/>
      <c r="AB122" s="3"/>
      <c r="AC122" s="3"/>
      <c r="AD122" s="3"/>
      <c r="AE122" s="3"/>
      <c r="AF122" s="3"/>
      <c r="AG122" s="3"/>
      <c r="AH122" s="3"/>
      <c r="AI122" s="3"/>
      <c r="AJ122" s="3"/>
    </row>
    <row r="123" ht="15.75" customHeight="1">
      <c r="A123" s="1"/>
      <c r="B123" s="422">
        <v>21.0</v>
      </c>
      <c r="C123" s="106" t="str">
        <f>J123</f>
        <v>BOA PRAÇA</v>
      </c>
      <c r="D123" s="107"/>
      <c r="E123" s="144"/>
      <c r="F123" s="109"/>
      <c r="G123" s="423"/>
      <c r="H123" s="191"/>
      <c r="I123" s="192"/>
      <c r="J123" s="405" t="s">
        <v>124</v>
      </c>
      <c r="K123" s="342"/>
      <c r="L123" s="344" t="s">
        <v>10</v>
      </c>
      <c r="M123" s="345" t="s">
        <v>14</v>
      </c>
      <c r="N123" s="344" t="s">
        <v>18</v>
      </c>
      <c r="O123" s="345" t="s">
        <v>22</v>
      </c>
      <c r="P123" s="344" t="s">
        <v>26</v>
      </c>
      <c r="Q123" s="345" t="s">
        <v>30</v>
      </c>
      <c r="R123" s="344" t="s">
        <v>34</v>
      </c>
      <c r="S123" s="345" t="s">
        <v>38</v>
      </c>
      <c r="T123" s="344" t="s">
        <v>42</v>
      </c>
      <c r="U123" s="345" t="s">
        <v>46</v>
      </c>
      <c r="V123" s="344" t="s">
        <v>50</v>
      </c>
      <c r="W123" s="345" t="s">
        <v>54</v>
      </c>
      <c r="X123" s="143"/>
      <c r="Y123" s="122">
        <v>2027.0</v>
      </c>
      <c r="Z123" s="346" t="s">
        <v>121</v>
      </c>
      <c r="AA123" s="49"/>
      <c r="AB123" s="3"/>
      <c r="AC123" s="3"/>
      <c r="AD123" s="3"/>
      <c r="AE123" s="3"/>
      <c r="AF123" s="3"/>
      <c r="AG123" s="3"/>
      <c r="AH123" s="3"/>
      <c r="AI123" s="3"/>
      <c r="AJ123" s="3"/>
    </row>
    <row r="124" ht="15.75" customHeight="1">
      <c r="A124" s="1"/>
      <c r="B124" s="105"/>
      <c r="C124" s="106"/>
      <c r="D124" s="107"/>
      <c r="E124" s="144"/>
      <c r="F124" s="109"/>
      <c r="G124" s="409"/>
      <c r="H124" s="111"/>
      <c r="I124" s="112"/>
      <c r="J124" s="50" t="s">
        <v>61</v>
      </c>
      <c r="K124" s="347"/>
      <c r="L124" s="348"/>
      <c r="M124" s="348"/>
      <c r="N124" s="348"/>
      <c r="O124" s="348">
        <v>0.01</v>
      </c>
      <c r="P124" s="348">
        <v>0.02</v>
      </c>
      <c r="Q124" s="348">
        <v>0.04</v>
      </c>
      <c r="R124" s="348">
        <v>0.07</v>
      </c>
      <c r="S124" s="348">
        <v>0.1</v>
      </c>
      <c r="T124" s="348">
        <v>0.16</v>
      </c>
      <c r="U124" s="348">
        <v>0.19</v>
      </c>
      <c r="V124" s="348">
        <v>0.21</v>
      </c>
      <c r="W124" s="348">
        <v>0.2</v>
      </c>
      <c r="X124" s="125"/>
      <c r="Y124" s="165">
        <f>SUM(L124:W124)</f>
        <v>1</v>
      </c>
      <c r="Z124" s="426">
        <v>0.16</v>
      </c>
      <c r="AA124" s="64"/>
      <c r="AB124" s="3"/>
      <c r="AC124" s="3"/>
      <c r="AD124" s="3"/>
      <c r="AE124" s="3"/>
      <c r="AF124" s="3"/>
      <c r="AG124" s="3"/>
      <c r="AH124" s="3"/>
      <c r="AI124" s="3"/>
      <c r="AJ124" s="3"/>
    </row>
    <row r="125" ht="15.75" customHeight="1">
      <c r="A125" s="1"/>
      <c r="B125" s="105"/>
      <c r="C125" s="106"/>
      <c r="D125" s="107"/>
      <c r="E125" s="144"/>
      <c r="F125" s="109"/>
      <c r="G125" s="409"/>
      <c r="H125" s="111"/>
      <c r="I125" s="112"/>
      <c r="J125" s="50" t="s">
        <v>63</v>
      </c>
      <c r="K125" s="347"/>
      <c r="L125" s="66">
        <f t="shared" ref="L125:W125" si="99">$Y$125*L124</f>
        <v>0</v>
      </c>
      <c r="M125" s="66">
        <f t="shared" si="99"/>
        <v>0</v>
      </c>
      <c r="N125" s="66">
        <f t="shared" si="99"/>
        <v>0</v>
      </c>
      <c r="O125" s="66">
        <f t="shared" si="99"/>
        <v>1000</v>
      </c>
      <c r="P125" s="66">
        <f t="shared" si="99"/>
        <v>2000</v>
      </c>
      <c r="Q125" s="66">
        <f t="shared" si="99"/>
        <v>4000</v>
      </c>
      <c r="R125" s="66">
        <f t="shared" si="99"/>
        <v>7000</v>
      </c>
      <c r="S125" s="66">
        <f t="shared" si="99"/>
        <v>10000</v>
      </c>
      <c r="T125" s="66">
        <f t="shared" si="99"/>
        <v>16000</v>
      </c>
      <c r="U125" s="66">
        <f t="shared" si="99"/>
        <v>19000</v>
      </c>
      <c r="V125" s="66">
        <f t="shared" si="99"/>
        <v>21000</v>
      </c>
      <c r="W125" s="66">
        <f t="shared" si="99"/>
        <v>20000</v>
      </c>
      <c r="X125" s="75"/>
      <c r="Y125" s="166">
        <v>100000.0</v>
      </c>
      <c r="Z125" s="350"/>
      <c r="AA125" s="78"/>
      <c r="AB125" s="147">
        <v>0.15</v>
      </c>
      <c r="AC125" s="4">
        <f>Y125+AB125*Y125</f>
        <v>115000</v>
      </c>
      <c r="AD125" s="3"/>
      <c r="AE125" s="3"/>
      <c r="AF125" s="3"/>
      <c r="AG125" s="3"/>
      <c r="AH125" s="3"/>
      <c r="AI125" s="3"/>
      <c r="AJ125" s="3"/>
    </row>
    <row r="126" ht="15.75" customHeight="1">
      <c r="A126" s="1"/>
      <c r="B126" s="105"/>
      <c r="C126" s="106"/>
      <c r="D126" s="107"/>
      <c r="E126" s="144"/>
      <c r="F126" s="109"/>
      <c r="G126" s="409"/>
      <c r="H126" s="111"/>
      <c r="I126" s="112"/>
      <c r="J126" s="50" t="s">
        <v>64</v>
      </c>
      <c r="K126" s="351">
        <v>70.0</v>
      </c>
      <c r="L126" s="81">
        <f t="shared" ref="L126:W126" si="100">L125/$K$102</f>
        <v>0</v>
      </c>
      <c r="M126" s="81">
        <f t="shared" si="100"/>
        <v>0</v>
      </c>
      <c r="N126" s="81">
        <f t="shared" si="100"/>
        <v>0</v>
      </c>
      <c r="O126" s="81">
        <f t="shared" si="100"/>
        <v>9.900990099</v>
      </c>
      <c r="P126" s="81">
        <f t="shared" si="100"/>
        <v>19.8019802</v>
      </c>
      <c r="Q126" s="81">
        <f t="shared" si="100"/>
        <v>39.6039604</v>
      </c>
      <c r="R126" s="81">
        <f t="shared" si="100"/>
        <v>69.30693069</v>
      </c>
      <c r="S126" s="81">
        <f t="shared" si="100"/>
        <v>99.00990099</v>
      </c>
      <c r="T126" s="81">
        <f t="shared" si="100"/>
        <v>158.4158416</v>
      </c>
      <c r="U126" s="81">
        <f t="shared" si="100"/>
        <v>188.1188119</v>
      </c>
      <c r="V126" s="81">
        <f t="shared" si="100"/>
        <v>207.9207921</v>
      </c>
      <c r="W126" s="81">
        <f t="shared" si="100"/>
        <v>198.019802</v>
      </c>
      <c r="X126" s="87"/>
      <c r="Y126" s="352">
        <f t="shared" ref="Y126:Y127" si="102">SUM(L126:W126)</f>
        <v>990.0990099</v>
      </c>
      <c r="Z126" s="353"/>
      <c r="AA126" s="78"/>
      <c r="AB126" s="3"/>
      <c r="AC126" s="3"/>
      <c r="AD126" s="3"/>
      <c r="AE126" s="3"/>
      <c r="AF126" s="3"/>
      <c r="AG126" s="3"/>
      <c r="AH126" s="3"/>
      <c r="AI126" s="3"/>
      <c r="AJ126" s="3"/>
    </row>
    <row r="127" ht="15.75" customHeight="1">
      <c r="A127" s="1"/>
      <c r="B127" s="105"/>
      <c r="C127" s="106"/>
      <c r="D127" s="107"/>
      <c r="E127" s="144"/>
      <c r="F127" s="109"/>
      <c r="G127" s="409"/>
      <c r="H127" s="111"/>
      <c r="I127" s="112"/>
      <c r="J127" s="91" t="s">
        <v>66</v>
      </c>
      <c r="K127" s="361">
        <v>0.045</v>
      </c>
      <c r="L127" s="94">
        <f t="shared" ref="L127:W127" si="101">IF(L126=0, 0,
  MIN(L126, 10000) * 4 +
  MAX(0, MIN(L126, 20000) - 10000) * 3 +
  MAX(0, MIN(L126, 40000) - 20000) * 2 +
  MAX(0, MIN(L126, 80000) - 40000) * 1 +
  MAX(0, MIN(L126, 100000) - 80000) * 0.5 +
  MAX(0, L126 - 100000) * 0.25
)</f>
        <v>0</v>
      </c>
      <c r="M127" s="94">
        <f t="shared" si="101"/>
        <v>0</v>
      </c>
      <c r="N127" s="94">
        <f t="shared" si="101"/>
        <v>0</v>
      </c>
      <c r="O127" s="94">
        <f t="shared" si="101"/>
        <v>39.6039604</v>
      </c>
      <c r="P127" s="94">
        <f t="shared" si="101"/>
        <v>79.20792079</v>
      </c>
      <c r="Q127" s="94">
        <f t="shared" si="101"/>
        <v>158.4158416</v>
      </c>
      <c r="R127" s="94">
        <f t="shared" si="101"/>
        <v>277.2277228</v>
      </c>
      <c r="S127" s="94">
        <f t="shared" si="101"/>
        <v>396.039604</v>
      </c>
      <c r="T127" s="94">
        <f t="shared" si="101"/>
        <v>633.6633663</v>
      </c>
      <c r="U127" s="94">
        <f t="shared" si="101"/>
        <v>752.4752475</v>
      </c>
      <c r="V127" s="94">
        <f t="shared" si="101"/>
        <v>831.6831683</v>
      </c>
      <c r="W127" s="94">
        <f t="shared" si="101"/>
        <v>792.0792079</v>
      </c>
      <c r="X127" s="101"/>
      <c r="Y127" s="169">
        <f t="shared" si="102"/>
        <v>3960.39604</v>
      </c>
      <c r="Z127" s="355"/>
      <c r="AA127" s="104"/>
      <c r="AB127" s="3"/>
      <c r="AC127" s="3"/>
      <c r="AD127" s="3"/>
      <c r="AE127" s="3"/>
      <c r="AF127" s="3"/>
      <c r="AG127" s="3"/>
      <c r="AH127" s="3"/>
      <c r="AI127" s="3"/>
      <c r="AJ127" s="3"/>
    </row>
    <row r="128" ht="15.75" customHeight="1">
      <c r="G128" s="424"/>
      <c r="J128" s="425"/>
      <c r="K128" s="188"/>
      <c r="L128" s="15"/>
      <c r="M128" s="15"/>
      <c r="N128" s="15"/>
      <c r="O128" s="15"/>
      <c r="P128" s="15"/>
      <c r="Q128" s="160"/>
      <c r="R128" s="15"/>
      <c r="S128" s="15"/>
      <c r="T128" s="15"/>
      <c r="U128" s="15"/>
      <c r="V128" s="15"/>
      <c r="W128" s="15"/>
      <c r="X128" s="14"/>
      <c r="Y128" s="14"/>
      <c r="Z128" s="14"/>
      <c r="AA128" s="15"/>
      <c r="AB128" s="3"/>
      <c r="AC128" s="3"/>
      <c r="AD128" s="3"/>
      <c r="AE128" s="3"/>
      <c r="AF128" s="3"/>
      <c r="AG128" s="3"/>
      <c r="AH128" s="3"/>
      <c r="AI128" s="3"/>
      <c r="AJ128" s="3"/>
    </row>
    <row r="129" ht="15.75" customHeight="1">
      <c r="A129" s="1"/>
      <c r="B129" s="422">
        <v>22.0</v>
      </c>
      <c r="C129" s="106" t="str">
        <f>J129</f>
        <v>RAINHA</v>
      </c>
      <c r="D129" s="107"/>
      <c r="E129" s="144"/>
      <c r="F129" s="109"/>
      <c r="G129" s="423"/>
      <c r="H129" s="191"/>
      <c r="I129" s="192"/>
      <c r="J129" s="405" t="s">
        <v>125</v>
      </c>
      <c r="K129" s="342"/>
      <c r="L129" s="344" t="s">
        <v>10</v>
      </c>
      <c r="M129" s="345" t="s">
        <v>14</v>
      </c>
      <c r="N129" s="344" t="s">
        <v>18</v>
      </c>
      <c r="O129" s="345" t="s">
        <v>22</v>
      </c>
      <c r="P129" s="344" t="s">
        <v>26</v>
      </c>
      <c r="Q129" s="345" t="s">
        <v>30</v>
      </c>
      <c r="R129" s="344" t="s">
        <v>34</v>
      </c>
      <c r="S129" s="345" t="s">
        <v>38</v>
      </c>
      <c r="T129" s="344" t="s">
        <v>42</v>
      </c>
      <c r="U129" s="345" t="s">
        <v>46</v>
      </c>
      <c r="V129" s="344" t="s">
        <v>50</v>
      </c>
      <c r="W129" s="345" t="s">
        <v>54</v>
      </c>
      <c r="X129" s="143"/>
      <c r="Y129" s="122">
        <v>2027.0</v>
      </c>
      <c r="Z129" s="346" t="s">
        <v>121</v>
      </c>
      <c r="AA129" s="49"/>
      <c r="AB129" s="3"/>
      <c r="AC129" s="3"/>
      <c r="AD129" s="3"/>
      <c r="AE129" s="3"/>
      <c r="AF129" s="3"/>
      <c r="AG129" s="3"/>
      <c r="AH129" s="3"/>
      <c r="AI129" s="3"/>
      <c r="AJ129" s="3"/>
    </row>
    <row r="130" ht="15.75" customHeight="1">
      <c r="A130" s="1"/>
      <c r="B130" s="105"/>
      <c r="C130" s="106"/>
      <c r="D130" s="107"/>
      <c r="E130" s="144"/>
      <c r="F130" s="109"/>
      <c r="G130" s="409"/>
      <c r="H130" s="111"/>
      <c r="I130" s="112"/>
      <c r="J130" s="50" t="s">
        <v>61</v>
      </c>
      <c r="K130" s="347"/>
      <c r="L130" s="348"/>
      <c r="M130" s="348"/>
      <c r="N130" s="348"/>
      <c r="O130" s="348">
        <v>0.01</v>
      </c>
      <c r="P130" s="348">
        <v>0.02</v>
      </c>
      <c r="Q130" s="348">
        <v>0.04</v>
      </c>
      <c r="R130" s="348">
        <v>0.07</v>
      </c>
      <c r="S130" s="348">
        <v>0.1</v>
      </c>
      <c r="T130" s="348">
        <v>0.16</v>
      </c>
      <c r="U130" s="348">
        <v>0.19</v>
      </c>
      <c r="V130" s="348">
        <v>0.21</v>
      </c>
      <c r="W130" s="348">
        <v>0.2</v>
      </c>
      <c r="X130" s="125"/>
      <c r="Y130" s="165">
        <f>SUM(L130:W130)</f>
        <v>1</v>
      </c>
      <c r="Z130" s="426">
        <v>0.15</v>
      </c>
      <c r="AA130" s="64"/>
      <c r="AB130" s="3"/>
      <c r="AC130" s="3"/>
      <c r="AD130" s="3"/>
      <c r="AE130" s="3"/>
      <c r="AF130" s="3"/>
      <c r="AG130" s="3"/>
      <c r="AH130" s="3"/>
      <c r="AI130" s="3"/>
      <c r="AJ130" s="3"/>
    </row>
    <row r="131" ht="15.75" customHeight="1">
      <c r="A131" s="1"/>
      <c r="B131" s="105"/>
      <c r="C131" s="106"/>
      <c r="D131" s="107"/>
      <c r="E131" s="144"/>
      <c r="F131" s="109"/>
      <c r="G131" s="409"/>
      <c r="H131" s="111"/>
      <c r="I131" s="112"/>
      <c r="J131" s="50" t="s">
        <v>63</v>
      </c>
      <c r="K131" s="347"/>
      <c r="L131" s="66">
        <f t="shared" ref="L131:W131" si="103">L130*$Y$131</f>
        <v>0</v>
      </c>
      <c r="M131" s="66">
        <f t="shared" si="103"/>
        <v>0</v>
      </c>
      <c r="N131" s="66">
        <f t="shared" si="103"/>
        <v>0</v>
      </c>
      <c r="O131" s="66">
        <f t="shared" si="103"/>
        <v>3000</v>
      </c>
      <c r="P131" s="66">
        <f t="shared" si="103"/>
        <v>6000</v>
      </c>
      <c r="Q131" s="66">
        <f t="shared" si="103"/>
        <v>12000</v>
      </c>
      <c r="R131" s="66">
        <f t="shared" si="103"/>
        <v>21000</v>
      </c>
      <c r="S131" s="66">
        <f t="shared" si="103"/>
        <v>30000</v>
      </c>
      <c r="T131" s="66">
        <f t="shared" si="103"/>
        <v>48000</v>
      </c>
      <c r="U131" s="66">
        <f t="shared" si="103"/>
        <v>57000</v>
      </c>
      <c r="V131" s="66">
        <f t="shared" si="103"/>
        <v>63000</v>
      </c>
      <c r="W131" s="66">
        <f t="shared" si="103"/>
        <v>60000</v>
      </c>
      <c r="X131" s="75"/>
      <c r="Y131" s="166">
        <v>300000.0</v>
      </c>
      <c r="Z131" s="350"/>
      <c r="AA131" s="78"/>
      <c r="AB131" s="147">
        <v>0.15</v>
      </c>
      <c r="AC131" s="4">
        <f>Y131+AB131*Y131</f>
        <v>345000</v>
      </c>
      <c r="AD131" s="3"/>
      <c r="AE131" s="3"/>
      <c r="AF131" s="3"/>
      <c r="AG131" s="3"/>
      <c r="AH131" s="3"/>
      <c r="AI131" s="3"/>
      <c r="AJ131" s="3"/>
    </row>
    <row r="132" ht="15.75" customHeight="1">
      <c r="A132" s="1"/>
      <c r="B132" s="105"/>
      <c r="C132" s="106"/>
      <c r="D132" s="107"/>
      <c r="E132" s="144"/>
      <c r="F132" s="109"/>
      <c r="G132" s="409"/>
      <c r="H132" s="111"/>
      <c r="I132" s="112"/>
      <c r="J132" s="50" t="s">
        <v>64</v>
      </c>
      <c r="K132" s="351">
        <v>140.0</v>
      </c>
      <c r="L132" s="81">
        <f t="shared" ref="L132:W132" si="104">L131/$K$102</f>
        <v>0</v>
      </c>
      <c r="M132" s="81">
        <f t="shared" si="104"/>
        <v>0</v>
      </c>
      <c r="N132" s="81">
        <f t="shared" si="104"/>
        <v>0</v>
      </c>
      <c r="O132" s="81">
        <f t="shared" si="104"/>
        <v>29.7029703</v>
      </c>
      <c r="P132" s="81">
        <f t="shared" si="104"/>
        <v>59.40594059</v>
      </c>
      <c r="Q132" s="81">
        <f t="shared" si="104"/>
        <v>118.8118812</v>
      </c>
      <c r="R132" s="81">
        <f t="shared" si="104"/>
        <v>207.9207921</v>
      </c>
      <c r="S132" s="81">
        <f t="shared" si="104"/>
        <v>297.029703</v>
      </c>
      <c r="T132" s="81">
        <f t="shared" si="104"/>
        <v>475.2475248</v>
      </c>
      <c r="U132" s="81">
        <f t="shared" si="104"/>
        <v>564.3564356</v>
      </c>
      <c r="V132" s="81">
        <f t="shared" si="104"/>
        <v>623.7623762</v>
      </c>
      <c r="W132" s="81">
        <f t="shared" si="104"/>
        <v>594.0594059</v>
      </c>
      <c r="X132" s="87"/>
      <c r="Y132" s="352">
        <f t="shared" ref="Y132:Y133" si="106">SUM(L132:W132)</f>
        <v>2970.29703</v>
      </c>
      <c r="Z132" s="353"/>
      <c r="AA132" s="78"/>
      <c r="AB132" s="3"/>
      <c r="AC132" s="3"/>
      <c r="AD132" s="3"/>
      <c r="AE132" s="3"/>
      <c r="AF132" s="3"/>
      <c r="AG132" s="3"/>
      <c r="AH132" s="3"/>
      <c r="AI132" s="3"/>
      <c r="AJ132" s="3"/>
    </row>
    <row r="133" ht="15.75" customHeight="1">
      <c r="A133" s="1"/>
      <c r="B133" s="105"/>
      <c r="C133" s="106"/>
      <c r="D133" s="107"/>
      <c r="E133" s="144"/>
      <c r="F133" s="109"/>
      <c r="G133" s="409"/>
      <c r="H133" s="111"/>
      <c r="I133" s="112"/>
      <c r="J133" s="91" t="s">
        <v>66</v>
      </c>
      <c r="K133" s="361">
        <v>0.045</v>
      </c>
      <c r="L133" s="94">
        <f t="shared" ref="L133:W133" si="105">IF(L132=0, 0,
  MIN(L132, 10000) * 4 +
  MAX(0, MIN(L132, 20000) - 10000) * 3 +
  MAX(0, MIN(L132, 40000) - 20000) * 2 +
  MAX(0, MIN(L132, 80000) - 40000) * 1 +
  MAX(0, MIN(L132, 100000) - 80000) * 0.5 +
  MAX(0, L132 - 100000) * 0.25
)</f>
        <v>0</v>
      </c>
      <c r="M133" s="94">
        <f t="shared" si="105"/>
        <v>0</v>
      </c>
      <c r="N133" s="94">
        <f t="shared" si="105"/>
        <v>0</v>
      </c>
      <c r="O133" s="94">
        <f t="shared" si="105"/>
        <v>118.8118812</v>
      </c>
      <c r="P133" s="94">
        <f t="shared" si="105"/>
        <v>237.6237624</v>
      </c>
      <c r="Q133" s="94">
        <f t="shared" si="105"/>
        <v>475.2475248</v>
      </c>
      <c r="R133" s="94">
        <f t="shared" si="105"/>
        <v>831.6831683</v>
      </c>
      <c r="S133" s="94">
        <f t="shared" si="105"/>
        <v>1188.118812</v>
      </c>
      <c r="T133" s="94">
        <f t="shared" si="105"/>
        <v>1900.990099</v>
      </c>
      <c r="U133" s="94">
        <f t="shared" si="105"/>
        <v>2257.425743</v>
      </c>
      <c r="V133" s="94">
        <f t="shared" si="105"/>
        <v>2495.049505</v>
      </c>
      <c r="W133" s="94">
        <f t="shared" si="105"/>
        <v>2376.237624</v>
      </c>
      <c r="X133" s="101"/>
      <c r="Y133" s="169">
        <f t="shared" si="106"/>
        <v>11881.18812</v>
      </c>
      <c r="Z133" s="355"/>
      <c r="AA133" s="104"/>
      <c r="AB133" s="3"/>
      <c r="AC133" s="3"/>
      <c r="AD133" s="3"/>
      <c r="AE133" s="3"/>
      <c r="AF133" s="3"/>
      <c r="AG133" s="3"/>
      <c r="AH133" s="3"/>
      <c r="AI133" s="3"/>
      <c r="AJ133" s="3"/>
    </row>
    <row r="134" ht="15.75" customHeight="1">
      <c r="G134" s="424"/>
      <c r="J134" s="425"/>
      <c r="K134" s="188"/>
      <c r="L134" s="15"/>
      <c r="M134" s="15"/>
      <c r="N134" s="15"/>
      <c r="O134" s="15"/>
      <c r="P134" s="15"/>
      <c r="Q134" s="160"/>
      <c r="R134" s="15"/>
      <c r="S134" s="15"/>
      <c r="T134" s="15"/>
      <c r="U134" s="15"/>
      <c r="V134" s="15"/>
      <c r="W134" s="15"/>
      <c r="X134" s="14"/>
      <c r="Y134" s="14"/>
      <c r="Z134" s="14"/>
      <c r="AA134" s="15"/>
      <c r="AB134" s="3"/>
      <c r="AC134" s="3"/>
      <c r="AD134" s="3"/>
      <c r="AE134" s="3"/>
      <c r="AF134" s="3"/>
      <c r="AG134" s="3"/>
      <c r="AH134" s="3"/>
      <c r="AI134" s="3"/>
      <c r="AJ134" s="3"/>
    </row>
    <row r="135" ht="15.75" customHeight="1">
      <c r="A135" s="1"/>
      <c r="B135" s="422">
        <v>23.0</v>
      </c>
      <c r="C135" s="106" t="str">
        <f>J135</f>
        <v>DEAL WISH LIST</v>
      </c>
      <c r="D135" s="107"/>
      <c r="E135" s="144"/>
      <c r="F135" s="109"/>
      <c r="G135" s="423"/>
      <c r="H135" s="191"/>
      <c r="I135" s="192"/>
      <c r="J135" s="405" t="s">
        <v>126</v>
      </c>
      <c r="K135" s="342"/>
      <c r="L135" s="344" t="s">
        <v>10</v>
      </c>
      <c r="M135" s="345" t="s">
        <v>14</v>
      </c>
      <c r="N135" s="344" t="s">
        <v>18</v>
      </c>
      <c r="O135" s="345" t="s">
        <v>22</v>
      </c>
      <c r="P135" s="344" t="s">
        <v>26</v>
      </c>
      <c r="Q135" s="345" t="s">
        <v>30</v>
      </c>
      <c r="R135" s="344" t="s">
        <v>34</v>
      </c>
      <c r="S135" s="345" t="s">
        <v>38</v>
      </c>
      <c r="T135" s="344" t="s">
        <v>42</v>
      </c>
      <c r="U135" s="345" t="s">
        <v>46</v>
      </c>
      <c r="V135" s="344" t="s">
        <v>50</v>
      </c>
      <c r="W135" s="345" t="s">
        <v>54</v>
      </c>
      <c r="X135" s="143"/>
      <c r="Y135" s="122">
        <v>2027.0</v>
      </c>
      <c r="Z135" s="346"/>
      <c r="AA135" s="49"/>
      <c r="AB135" s="3"/>
      <c r="AC135" s="3"/>
      <c r="AD135" s="3"/>
      <c r="AE135" s="3"/>
      <c r="AF135" s="3"/>
      <c r="AG135" s="3"/>
      <c r="AH135" s="3"/>
      <c r="AI135" s="3"/>
      <c r="AJ135" s="3"/>
    </row>
    <row r="136" ht="15.75" customHeight="1">
      <c r="A136" s="1"/>
      <c r="B136" s="105"/>
      <c r="C136" s="106"/>
      <c r="D136" s="107"/>
      <c r="E136" s="144"/>
      <c r="F136" s="109"/>
      <c r="G136" s="409"/>
      <c r="H136" s="111"/>
      <c r="I136" s="112"/>
      <c r="J136" s="50" t="s">
        <v>61</v>
      </c>
      <c r="K136" s="347"/>
      <c r="L136" s="348">
        <v>0.01</v>
      </c>
      <c r="M136" s="348">
        <v>0.01</v>
      </c>
      <c r="N136" s="348">
        <v>0.02</v>
      </c>
      <c r="O136" s="348">
        <v>0.06</v>
      </c>
      <c r="P136" s="348">
        <v>0.06</v>
      </c>
      <c r="Q136" s="348">
        <v>0.08</v>
      </c>
      <c r="R136" s="348">
        <v>0.08</v>
      </c>
      <c r="S136" s="348">
        <v>0.08</v>
      </c>
      <c r="T136" s="348">
        <v>0.1</v>
      </c>
      <c r="U136" s="348">
        <v>0.14</v>
      </c>
      <c r="V136" s="348">
        <v>0.16</v>
      </c>
      <c r="W136" s="348">
        <v>0.2</v>
      </c>
      <c r="X136" s="125"/>
      <c r="Y136" s="165">
        <f>SUM(L136:W136)</f>
        <v>1</v>
      </c>
      <c r="Z136" s="406"/>
      <c r="AA136" s="64"/>
      <c r="AB136" s="3"/>
      <c r="AC136" s="3"/>
      <c r="AD136" s="3"/>
      <c r="AE136" s="3"/>
      <c r="AF136" s="3"/>
      <c r="AG136" s="3"/>
      <c r="AH136" s="3"/>
      <c r="AI136" s="3"/>
      <c r="AJ136" s="3"/>
    </row>
    <row r="137" ht="15.75" customHeight="1">
      <c r="A137" s="1"/>
      <c r="B137" s="105"/>
      <c r="C137" s="106"/>
      <c r="D137" s="107"/>
      <c r="E137" s="144"/>
      <c r="F137" s="109"/>
      <c r="G137" s="409"/>
      <c r="H137" s="111"/>
      <c r="I137" s="112"/>
      <c r="J137" s="50" t="s">
        <v>63</v>
      </c>
      <c r="K137" s="347"/>
      <c r="L137" s="66">
        <f t="shared" ref="L137:W137" si="107">$Y$137*L136</f>
        <v>20000</v>
      </c>
      <c r="M137" s="66">
        <f t="shared" si="107"/>
        <v>20000</v>
      </c>
      <c r="N137" s="66">
        <f t="shared" si="107"/>
        <v>40000</v>
      </c>
      <c r="O137" s="66">
        <f t="shared" si="107"/>
        <v>120000</v>
      </c>
      <c r="P137" s="66">
        <f t="shared" si="107"/>
        <v>120000</v>
      </c>
      <c r="Q137" s="66">
        <f t="shared" si="107"/>
        <v>160000</v>
      </c>
      <c r="R137" s="66">
        <f t="shared" si="107"/>
        <v>160000</v>
      </c>
      <c r="S137" s="66">
        <f t="shared" si="107"/>
        <v>160000</v>
      </c>
      <c r="T137" s="66">
        <f t="shared" si="107"/>
        <v>200000</v>
      </c>
      <c r="U137" s="66">
        <f t="shared" si="107"/>
        <v>280000</v>
      </c>
      <c r="V137" s="66">
        <f t="shared" si="107"/>
        <v>320000</v>
      </c>
      <c r="W137" s="66">
        <f t="shared" si="107"/>
        <v>400000</v>
      </c>
      <c r="X137" s="75"/>
      <c r="Y137" s="166">
        <v>2000000.0</v>
      </c>
      <c r="Z137" s="350"/>
      <c r="AA137" s="78"/>
      <c r="AB137" s="147">
        <v>0.15</v>
      </c>
      <c r="AC137" s="4">
        <f>Y137+AB137*Y137</f>
        <v>2300000</v>
      </c>
      <c r="AD137" s="3"/>
      <c r="AE137" s="3"/>
      <c r="AF137" s="3"/>
      <c r="AG137" s="3"/>
      <c r="AH137" s="3"/>
      <c r="AI137" s="3"/>
      <c r="AJ137" s="3"/>
    </row>
    <row r="138" ht="15.75" customHeight="1">
      <c r="A138" s="1"/>
      <c r="B138" s="105"/>
      <c r="C138" s="106"/>
      <c r="D138" s="107"/>
      <c r="E138" s="144"/>
      <c r="F138" s="109"/>
      <c r="G138" s="409"/>
      <c r="H138" s="111"/>
      <c r="I138" s="112"/>
      <c r="J138" s="50" t="s">
        <v>64</v>
      </c>
      <c r="K138" s="351">
        <v>70.0</v>
      </c>
      <c r="L138" s="81">
        <f t="shared" ref="L138:W138" si="108">L137/$K$102</f>
        <v>198.019802</v>
      </c>
      <c r="M138" s="81">
        <f t="shared" si="108"/>
        <v>198.019802</v>
      </c>
      <c r="N138" s="81">
        <f t="shared" si="108"/>
        <v>396.039604</v>
      </c>
      <c r="O138" s="81">
        <f t="shared" si="108"/>
        <v>1188.118812</v>
      </c>
      <c r="P138" s="81">
        <f t="shared" si="108"/>
        <v>1188.118812</v>
      </c>
      <c r="Q138" s="81">
        <f t="shared" si="108"/>
        <v>1584.158416</v>
      </c>
      <c r="R138" s="81">
        <f t="shared" si="108"/>
        <v>1584.158416</v>
      </c>
      <c r="S138" s="81">
        <f t="shared" si="108"/>
        <v>1584.158416</v>
      </c>
      <c r="T138" s="81">
        <f t="shared" si="108"/>
        <v>1980.19802</v>
      </c>
      <c r="U138" s="81">
        <f t="shared" si="108"/>
        <v>2772.277228</v>
      </c>
      <c r="V138" s="81">
        <f t="shared" si="108"/>
        <v>3168.316832</v>
      </c>
      <c r="W138" s="81">
        <f t="shared" si="108"/>
        <v>3960.39604</v>
      </c>
      <c r="X138" s="87"/>
      <c r="Y138" s="352">
        <f t="shared" ref="Y138:Y139" si="110">SUM(L138:W138)</f>
        <v>19801.9802</v>
      </c>
      <c r="Z138" s="353"/>
      <c r="AA138" s="78"/>
      <c r="AB138" s="3"/>
      <c r="AC138" s="3"/>
      <c r="AD138" s="3"/>
      <c r="AE138" s="3"/>
      <c r="AF138" s="3"/>
      <c r="AG138" s="3"/>
      <c r="AH138" s="3"/>
      <c r="AI138" s="3"/>
      <c r="AJ138" s="3"/>
    </row>
    <row r="139" ht="15.75" customHeight="1">
      <c r="A139" s="1"/>
      <c r="B139" s="105"/>
      <c r="C139" s="106"/>
      <c r="D139" s="107"/>
      <c r="E139" s="144"/>
      <c r="F139" s="109"/>
      <c r="G139" s="409"/>
      <c r="H139" s="111"/>
      <c r="I139" s="112"/>
      <c r="J139" s="91" t="s">
        <v>66</v>
      </c>
      <c r="K139" s="361">
        <v>0.045</v>
      </c>
      <c r="L139" s="94">
        <f t="shared" ref="L139:W139" si="109">IF(L138=0, 0,
  MIN(L138, 10000) * 4 +
  MAX(0, MIN(L138, 20000) - 10000) * 3 +
  MAX(0, MIN(L138, 40000) - 20000) * 2 +
  MAX(0, MIN(L138, 80000) - 40000) * 1 +
  MAX(0, MIN(L138, 100000) - 80000) * 0.5 +
  MAX(0, L138 - 100000) * 0.25
)</f>
        <v>792.0792079</v>
      </c>
      <c r="M139" s="94">
        <f t="shared" si="109"/>
        <v>792.0792079</v>
      </c>
      <c r="N139" s="94">
        <f t="shared" si="109"/>
        <v>1584.158416</v>
      </c>
      <c r="O139" s="94">
        <f t="shared" si="109"/>
        <v>4752.475248</v>
      </c>
      <c r="P139" s="94">
        <f t="shared" si="109"/>
        <v>4752.475248</v>
      </c>
      <c r="Q139" s="94">
        <f t="shared" si="109"/>
        <v>6336.633663</v>
      </c>
      <c r="R139" s="94">
        <f t="shared" si="109"/>
        <v>6336.633663</v>
      </c>
      <c r="S139" s="94">
        <f t="shared" si="109"/>
        <v>6336.633663</v>
      </c>
      <c r="T139" s="94">
        <f t="shared" si="109"/>
        <v>7920.792079</v>
      </c>
      <c r="U139" s="94">
        <f t="shared" si="109"/>
        <v>11089.10891</v>
      </c>
      <c r="V139" s="94">
        <f t="shared" si="109"/>
        <v>12673.26733</v>
      </c>
      <c r="W139" s="94">
        <f t="shared" si="109"/>
        <v>15841.58416</v>
      </c>
      <c r="X139" s="101"/>
      <c r="Y139" s="169">
        <f t="shared" si="110"/>
        <v>79207.92079</v>
      </c>
      <c r="Z139" s="355"/>
      <c r="AA139" s="104"/>
      <c r="AB139" s="3"/>
      <c r="AC139" s="3"/>
      <c r="AD139" s="3"/>
      <c r="AE139" s="3"/>
      <c r="AF139" s="3"/>
      <c r="AG139" s="3"/>
      <c r="AH139" s="3"/>
      <c r="AI139" s="3"/>
      <c r="AJ139" s="3"/>
    </row>
    <row r="140" ht="15.75" customHeight="1">
      <c r="G140" s="424"/>
      <c r="J140" s="425"/>
      <c r="K140" s="188"/>
      <c r="L140" s="15"/>
      <c r="M140" s="15"/>
      <c r="N140" s="15"/>
      <c r="O140" s="15"/>
      <c r="P140" s="15"/>
      <c r="Q140" s="160"/>
      <c r="R140" s="15"/>
      <c r="S140" s="15"/>
      <c r="T140" s="15"/>
      <c r="U140" s="15"/>
      <c r="V140" s="15"/>
      <c r="W140" s="15"/>
      <c r="X140" s="14"/>
      <c r="Y140" s="14"/>
      <c r="Z140" s="14"/>
      <c r="AA140" s="15"/>
      <c r="AB140" s="3"/>
      <c r="AC140" s="3"/>
      <c r="AD140" s="3"/>
      <c r="AE140" s="3"/>
      <c r="AF140" s="3"/>
      <c r="AG140" s="3"/>
      <c r="AH140" s="3"/>
      <c r="AI140" s="3"/>
      <c r="AJ140" s="3"/>
    </row>
    <row r="141" ht="15.75" customHeight="1">
      <c r="A141" s="1"/>
      <c r="B141" s="422">
        <v>24.0</v>
      </c>
      <c r="C141" s="106" t="str">
        <f>J141</f>
        <v>DEAL WISH LIST</v>
      </c>
      <c r="D141" s="107"/>
      <c r="E141" s="144"/>
      <c r="F141" s="109"/>
      <c r="G141" s="423"/>
      <c r="H141" s="191"/>
      <c r="I141" s="192"/>
      <c r="J141" s="405" t="s">
        <v>126</v>
      </c>
      <c r="K141" s="342"/>
      <c r="L141" s="344" t="s">
        <v>10</v>
      </c>
      <c r="M141" s="345" t="s">
        <v>14</v>
      </c>
      <c r="N141" s="344" t="s">
        <v>18</v>
      </c>
      <c r="O141" s="345" t="s">
        <v>22</v>
      </c>
      <c r="P141" s="344" t="s">
        <v>26</v>
      </c>
      <c r="Q141" s="345" t="s">
        <v>30</v>
      </c>
      <c r="R141" s="344" t="s">
        <v>34</v>
      </c>
      <c r="S141" s="345" t="s">
        <v>38</v>
      </c>
      <c r="T141" s="344" t="s">
        <v>42</v>
      </c>
      <c r="U141" s="345" t="s">
        <v>46</v>
      </c>
      <c r="V141" s="344" t="s">
        <v>50</v>
      </c>
      <c r="W141" s="345" t="s">
        <v>54</v>
      </c>
      <c r="X141" s="143"/>
      <c r="Y141" s="122">
        <v>2027.0</v>
      </c>
      <c r="Z141" s="346"/>
      <c r="AA141" s="49"/>
      <c r="AB141" s="3"/>
      <c r="AC141" s="3"/>
      <c r="AD141" s="3"/>
      <c r="AE141" s="3"/>
      <c r="AF141" s="3"/>
      <c r="AG141" s="3"/>
      <c r="AH141" s="3"/>
      <c r="AI141" s="3"/>
      <c r="AJ141" s="3"/>
    </row>
    <row r="142" ht="15.75" customHeight="1">
      <c r="A142" s="1"/>
      <c r="B142" s="105"/>
      <c r="C142" s="106"/>
      <c r="D142" s="107"/>
      <c r="E142" s="144"/>
      <c r="F142" s="109"/>
      <c r="G142" s="409"/>
      <c r="H142" s="111"/>
      <c r="I142" s="112"/>
      <c r="J142" s="50" t="s">
        <v>61</v>
      </c>
      <c r="K142" s="347"/>
      <c r="L142" s="348"/>
      <c r="M142" s="348"/>
      <c r="N142" s="348"/>
      <c r="O142" s="348"/>
      <c r="P142" s="348"/>
      <c r="Q142" s="348">
        <v>0.05</v>
      </c>
      <c r="R142" s="348">
        <v>0.08</v>
      </c>
      <c r="S142" s="348">
        <v>0.1</v>
      </c>
      <c r="T142" s="348">
        <v>0.16</v>
      </c>
      <c r="U142" s="348">
        <v>0.2</v>
      </c>
      <c r="V142" s="348">
        <v>0.21</v>
      </c>
      <c r="W142" s="348">
        <v>0.2</v>
      </c>
      <c r="X142" s="125"/>
      <c r="Y142" s="165">
        <f>SUM(L142:W142)</f>
        <v>1</v>
      </c>
      <c r="Z142" s="406"/>
      <c r="AA142" s="64"/>
      <c r="AB142" s="3"/>
      <c r="AC142" s="3"/>
      <c r="AD142" s="3"/>
      <c r="AE142" s="3"/>
      <c r="AF142" s="3"/>
      <c r="AG142" s="3"/>
      <c r="AH142" s="3"/>
      <c r="AI142" s="3"/>
      <c r="AJ142" s="3"/>
    </row>
    <row r="143" ht="15.75" customHeight="1">
      <c r="A143" s="1"/>
      <c r="B143" s="105"/>
      <c r="C143" s="106"/>
      <c r="D143" s="107"/>
      <c r="E143" s="144"/>
      <c r="F143" s="109"/>
      <c r="G143" s="409"/>
      <c r="H143" s="111"/>
      <c r="I143" s="112"/>
      <c r="J143" s="50" t="s">
        <v>63</v>
      </c>
      <c r="K143" s="347"/>
      <c r="L143" s="66">
        <f t="shared" ref="L143:W143" si="111">$Y$143*L142</f>
        <v>0</v>
      </c>
      <c r="M143" s="66">
        <f t="shared" si="111"/>
        <v>0</v>
      </c>
      <c r="N143" s="66">
        <f t="shared" si="111"/>
        <v>0</v>
      </c>
      <c r="O143" s="66">
        <f t="shared" si="111"/>
        <v>0</v>
      </c>
      <c r="P143" s="66">
        <f t="shared" si="111"/>
        <v>0</v>
      </c>
      <c r="Q143" s="66">
        <f t="shared" si="111"/>
        <v>50000</v>
      </c>
      <c r="R143" s="66">
        <f t="shared" si="111"/>
        <v>80000</v>
      </c>
      <c r="S143" s="66">
        <f t="shared" si="111"/>
        <v>100000</v>
      </c>
      <c r="T143" s="66">
        <f t="shared" si="111"/>
        <v>160000</v>
      </c>
      <c r="U143" s="66">
        <f t="shared" si="111"/>
        <v>200000</v>
      </c>
      <c r="V143" s="66">
        <f t="shared" si="111"/>
        <v>210000</v>
      </c>
      <c r="W143" s="66">
        <f t="shared" si="111"/>
        <v>200000</v>
      </c>
      <c r="X143" s="75"/>
      <c r="Y143" s="166">
        <v>1000000.0</v>
      </c>
      <c r="Z143" s="350"/>
      <c r="AA143" s="78"/>
      <c r="AB143" s="147">
        <v>0.15</v>
      </c>
      <c r="AC143" s="4">
        <f>Y143+AB143*Y143</f>
        <v>1150000</v>
      </c>
      <c r="AD143" s="3"/>
      <c r="AE143" s="3"/>
      <c r="AF143" s="3"/>
      <c r="AG143" s="3"/>
      <c r="AH143" s="3"/>
      <c r="AI143" s="3"/>
      <c r="AJ143" s="3"/>
    </row>
    <row r="144" ht="15.75" customHeight="1">
      <c r="A144" s="1"/>
      <c r="B144" s="105"/>
      <c r="C144" s="106"/>
      <c r="D144" s="107"/>
      <c r="E144" s="144"/>
      <c r="F144" s="109"/>
      <c r="G144" s="409"/>
      <c r="H144" s="111"/>
      <c r="I144" s="112"/>
      <c r="J144" s="50" t="s">
        <v>64</v>
      </c>
      <c r="K144" s="351">
        <v>80.0</v>
      </c>
      <c r="L144" s="81">
        <f t="shared" ref="L144:W144" si="112">L143/$K$102</f>
        <v>0</v>
      </c>
      <c r="M144" s="81">
        <f t="shared" si="112"/>
        <v>0</v>
      </c>
      <c r="N144" s="81">
        <f t="shared" si="112"/>
        <v>0</v>
      </c>
      <c r="O144" s="81">
        <f t="shared" si="112"/>
        <v>0</v>
      </c>
      <c r="P144" s="81">
        <f t="shared" si="112"/>
        <v>0</v>
      </c>
      <c r="Q144" s="81">
        <f t="shared" si="112"/>
        <v>495.049505</v>
      </c>
      <c r="R144" s="81">
        <f t="shared" si="112"/>
        <v>792.0792079</v>
      </c>
      <c r="S144" s="81">
        <f t="shared" si="112"/>
        <v>990.0990099</v>
      </c>
      <c r="T144" s="81">
        <f t="shared" si="112"/>
        <v>1584.158416</v>
      </c>
      <c r="U144" s="81">
        <f t="shared" si="112"/>
        <v>1980.19802</v>
      </c>
      <c r="V144" s="81">
        <f t="shared" si="112"/>
        <v>2079.207921</v>
      </c>
      <c r="W144" s="81">
        <f t="shared" si="112"/>
        <v>1980.19802</v>
      </c>
      <c r="X144" s="87"/>
      <c r="Y144" s="352">
        <f t="shared" ref="Y144:Y145" si="114">SUM(L144:W144)</f>
        <v>9900.990099</v>
      </c>
      <c r="Z144" s="353"/>
      <c r="AA144" s="78"/>
      <c r="AB144" s="3"/>
      <c r="AC144" s="3"/>
      <c r="AD144" s="3"/>
      <c r="AE144" s="3"/>
      <c r="AF144" s="3"/>
      <c r="AG144" s="3"/>
      <c r="AH144" s="3"/>
      <c r="AI144" s="3"/>
      <c r="AJ144" s="3"/>
    </row>
    <row r="145" ht="15.75" customHeight="1">
      <c r="A145" s="1"/>
      <c r="B145" s="105"/>
      <c r="C145" s="106"/>
      <c r="D145" s="107"/>
      <c r="E145" s="144"/>
      <c r="F145" s="109"/>
      <c r="G145" s="409"/>
      <c r="H145" s="111"/>
      <c r="I145" s="112"/>
      <c r="J145" s="91" t="s">
        <v>66</v>
      </c>
      <c r="K145" s="361">
        <v>0.045</v>
      </c>
      <c r="L145" s="94">
        <f t="shared" ref="L145:W145" si="113">IF(L144=0, 0,
  MIN(L144, 10000) * 4 +
  MAX(0, MIN(L144, 20000) - 10000) * 3 +
  MAX(0, MIN(L144, 40000) - 20000) * 2 +
  MAX(0, MIN(L144, 80000) - 40000) * 1 +
  MAX(0, MIN(L144, 100000) - 80000) * 0.5 +
  MAX(0, L144 - 100000) * 0.25
)</f>
        <v>0</v>
      </c>
      <c r="M145" s="94">
        <f t="shared" si="113"/>
        <v>0</v>
      </c>
      <c r="N145" s="94">
        <f t="shared" si="113"/>
        <v>0</v>
      </c>
      <c r="O145" s="94">
        <f t="shared" si="113"/>
        <v>0</v>
      </c>
      <c r="P145" s="94">
        <f t="shared" si="113"/>
        <v>0</v>
      </c>
      <c r="Q145" s="94">
        <f t="shared" si="113"/>
        <v>1980.19802</v>
      </c>
      <c r="R145" s="94">
        <f t="shared" si="113"/>
        <v>3168.316832</v>
      </c>
      <c r="S145" s="94">
        <f t="shared" si="113"/>
        <v>3960.39604</v>
      </c>
      <c r="T145" s="94">
        <f t="shared" si="113"/>
        <v>6336.633663</v>
      </c>
      <c r="U145" s="94">
        <f t="shared" si="113"/>
        <v>7920.792079</v>
      </c>
      <c r="V145" s="94">
        <f t="shared" si="113"/>
        <v>8316.831683</v>
      </c>
      <c r="W145" s="94">
        <f t="shared" si="113"/>
        <v>7920.792079</v>
      </c>
      <c r="X145" s="101"/>
      <c r="Y145" s="169">
        <f t="shared" si="114"/>
        <v>39603.9604</v>
      </c>
      <c r="Z145" s="355"/>
      <c r="AA145" s="104"/>
      <c r="AB145" s="3"/>
      <c r="AC145" s="3"/>
      <c r="AD145" s="3"/>
      <c r="AE145" s="3"/>
      <c r="AF145" s="3"/>
      <c r="AG145" s="3"/>
      <c r="AH145" s="3"/>
      <c r="AI145" s="3"/>
      <c r="AJ145" s="3"/>
    </row>
    <row r="146" ht="15.75" customHeight="1">
      <c r="A146" s="3"/>
      <c r="B146" s="3"/>
      <c r="C146" s="3"/>
      <c r="D146" s="3"/>
      <c r="E146" s="3"/>
      <c r="F146" s="3"/>
      <c r="G146" s="427"/>
      <c r="H146" s="3"/>
      <c r="I146" s="3"/>
      <c r="J146" s="420"/>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row>
    <row r="147">
      <c r="A147" s="3"/>
      <c r="B147" s="3"/>
      <c r="C147" s="3"/>
      <c r="D147" s="3"/>
      <c r="E147" s="3"/>
      <c r="F147" s="3"/>
      <c r="G147" s="427"/>
      <c r="H147" s="3"/>
      <c r="I147" s="3"/>
      <c r="J147" s="428" t="s">
        <v>127</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row>
    <row r="148" ht="15.75" customHeight="1">
      <c r="G148" s="424"/>
      <c r="J148" s="425"/>
      <c r="K148" s="188"/>
      <c r="L148" s="114"/>
      <c r="M148" s="15"/>
      <c r="N148" s="15"/>
      <c r="O148" s="15"/>
      <c r="P148" s="15"/>
      <c r="Q148" s="15"/>
      <c r="R148" s="15"/>
      <c r="S148" s="15"/>
      <c r="T148" s="15"/>
      <c r="U148" s="15"/>
      <c r="V148" s="15"/>
      <c r="W148" s="238" t="s">
        <v>102</v>
      </c>
      <c r="X148" s="429">
        <v>2028.0</v>
      </c>
      <c r="Y148" s="429">
        <v>2027.0</v>
      </c>
      <c r="Z148" s="429">
        <v>2026.0</v>
      </c>
      <c r="AA148" s="429">
        <v>2025.0</v>
      </c>
      <c r="AB148" s="430" t="s">
        <v>128</v>
      </c>
      <c r="AC148" s="430" t="s">
        <v>118</v>
      </c>
      <c r="AD148" s="430" t="s">
        <v>105</v>
      </c>
      <c r="AE148" s="431" t="s">
        <v>129</v>
      </c>
      <c r="AF148" s="3"/>
      <c r="AG148" s="3"/>
      <c r="AH148" s="3"/>
      <c r="AI148" s="3"/>
      <c r="AJ148" s="3"/>
    </row>
    <row r="149" ht="15.75" customHeight="1">
      <c r="G149" s="424"/>
      <c r="J149" s="425"/>
      <c r="K149" s="188"/>
      <c r="L149" s="15"/>
      <c r="M149" s="15"/>
      <c r="N149" s="15"/>
      <c r="O149" s="15"/>
      <c r="P149" s="432"/>
      <c r="V149" s="15"/>
      <c r="W149" s="433" t="s">
        <v>63</v>
      </c>
      <c r="X149" s="395">
        <v>4.30289636224E8</v>
      </c>
      <c r="Y149" s="395">
        <f>SUMIF(J5:J146, "gmv", Y5:Y146)</f>
        <v>231876000</v>
      </c>
      <c r="Z149" s="395">
        <v>1.4596307620140272E8</v>
      </c>
      <c r="AA149" s="395">
        <v>5.7143136419999994E7</v>
      </c>
      <c r="AB149" s="396">
        <f t="shared" ref="AB149:AD149" si="115">X149/Y149-1</f>
        <v>0.8556885414</v>
      </c>
      <c r="AC149" s="396">
        <f t="shared" si="115"/>
        <v>0.5885935405</v>
      </c>
      <c r="AD149" s="396">
        <f t="shared" si="115"/>
        <v>1.55434135</v>
      </c>
      <c r="AE149" s="396">
        <f t="shared" ref="AE149:AE151" si="117">X149/AA149-1</f>
        <v>6.530031832</v>
      </c>
      <c r="AF149" s="3"/>
      <c r="AG149" s="3"/>
      <c r="AH149" s="3"/>
      <c r="AI149" s="3"/>
      <c r="AJ149" s="3"/>
    </row>
    <row r="150" ht="15.75" customHeight="1">
      <c r="G150" s="424"/>
      <c r="J150" s="425"/>
      <c r="K150" s="188"/>
      <c r="L150" s="15"/>
      <c r="M150" s="15"/>
      <c r="N150" s="15"/>
      <c r="O150" s="15"/>
      <c r="V150" s="15"/>
      <c r="W150" s="433" t="s">
        <v>64</v>
      </c>
      <c r="X150" s="397">
        <v>5999251.704452133</v>
      </c>
      <c r="Y150" s="397">
        <f>SUMIF(J6:J146, "Pedidos", Y6:Y146)</f>
        <v>3060851.436</v>
      </c>
      <c r="Z150" s="397">
        <v>1941822.8516652246</v>
      </c>
      <c r="AA150" s="397">
        <v>618684.0</v>
      </c>
      <c r="AB150" s="396">
        <f t="shared" ref="AB150:AD150" si="116">X150/Y150-1</f>
        <v>0.9599944102</v>
      </c>
      <c r="AC150" s="398">
        <f t="shared" si="116"/>
        <v>0.5762773793</v>
      </c>
      <c r="AD150" s="396">
        <f t="shared" si="116"/>
        <v>2.138634346</v>
      </c>
      <c r="AE150" s="396">
        <f t="shared" si="117"/>
        <v>8.696794655</v>
      </c>
      <c r="AF150" s="3"/>
      <c r="AG150" s="3"/>
      <c r="AH150" s="3"/>
      <c r="AI150" s="3"/>
      <c r="AJ150" s="3"/>
    </row>
    <row r="151" ht="15.75" customHeight="1">
      <c r="G151" s="424"/>
      <c r="J151" s="425"/>
      <c r="K151" s="188"/>
      <c r="L151" s="15"/>
      <c r="M151" s="15"/>
      <c r="N151" s="15"/>
      <c r="O151" s="15"/>
      <c r="V151" s="15"/>
      <c r="W151" s="433" t="s">
        <v>66</v>
      </c>
      <c r="X151" s="395">
        <v>1.440908177821782E7</v>
      </c>
      <c r="Y151" s="395">
        <f>SUMIF(J5:J146, "Receita Hanzo", Y5:Y146)</f>
        <v>9063969.023</v>
      </c>
      <c r="Z151" s="395">
        <v>6542361.595067982</v>
      </c>
      <c r="AA151" s="395">
        <v>2450179.2666</v>
      </c>
      <c r="AB151" s="396">
        <f t="shared" ref="AB151:AD151" si="118">X151/Y151-1</f>
        <v>0.5897099539</v>
      </c>
      <c r="AC151" s="396">
        <f t="shared" si="118"/>
        <v>0.385427707</v>
      </c>
      <c r="AD151" s="396">
        <f t="shared" si="118"/>
        <v>1.670156296</v>
      </c>
      <c r="AE151" s="396">
        <f t="shared" si="117"/>
        <v>4.880827568</v>
      </c>
      <c r="AF151" s="3"/>
      <c r="AG151" s="3"/>
      <c r="AH151" s="3"/>
      <c r="AI151" s="3"/>
      <c r="AJ151" s="3"/>
    </row>
    <row r="152" ht="15.75" customHeight="1">
      <c r="G152" s="424"/>
      <c r="J152" s="425"/>
      <c r="K152" s="188"/>
      <c r="L152" s="15"/>
      <c r="M152" s="15"/>
      <c r="N152" s="15"/>
      <c r="O152" s="15"/>
      <c r="V152" s="15"/>
      <c r="W152" s="15"/>
      <c r="X152" s="14"/>
      <c r="Y152" s="14"/>
      <c r="Z152" s="14"/>
      <c r="AA152" s="15"/>
      <c r="AB152" s="3"/>
      <c r="AC152" s="3"/>
      <c r="AD152" s="3"/>
      <c r="AE152" s="3"/>
      <c r="AF152" s="3"/>
      <c r="AG152" s="3"/>
      <c r="AH152" s="3"/>
      <c r="AI152" s="3"/>
      <c r="AJ152" s="3"/>
    </row>
    <row r="153" ht="15.75" customHeight="1">
      <c r="G153" s="424"/>
      <c r="J153" s="425"/>
      <c r="K153" s="188"/>
      <c r="L153" s="15"/>
      <c r="M153" s="15"/>
      <c r="N153" s="15"/>
      <c r="O153" s="15"/>
      <c r="V153" s="15"/>
      <c r="W153" s="15"/>
      <c r="X153" s="25"/>
      <c r="Y153" s="25"/>
      <c r="Z153" s="14"/>
      <c r="AA153" s="15"/>
      <c r="AB153" s="3"/>
      <c r="AC153" s="3"/>
      <c r="AD153" s="3"/>
      <c r="AE153" s="3"/>
      <c r="AF153" s="3"/>
      <c r="AG153" s="3"/>
      <c r="AH153" s="3"/>
      <c r="AI153" s="3"/>
      <c r="AJ153" s="3"/>
    </row>
    <row r="154" ht="15.75" customHeight="1">
      <c r="G154" s="424"/>
      <c r="J154" s="425"/>
      <c r="K154" s="188"/>
      <c r="L154" s="15"/>
      <c r="M154" s="15"/>
      <c r="N154" s="15"/>
      <c r="O154" s="15"/>
      <c r="V154" s="15"/>
      <c r="W154" s="15"/>
      <c r="X154" s="14"/>
      <c r="Y154" s="14"/>
      <c r="Z154" s="14"/>
      <c r="AA154" s="15"/>
      <c r="AB154" s="3"/>
      <c r="AC154" s="3"/>
      <c r="AD154" s="3"/>
      <c r="AE154" s="3"/>
      <c r="AF154" s="3"/>
      <c r="AG154" s="3"/>
      <c r="AH154" s="3"/>
      <c r="AI154" s="3"/>
      <c r="AJ154" s="3"/>
    </row>
    <row r="155" ht="15.75" customHeight="1">
      <c r="G155" s="424"/>
      <c r="J155" s="425"/>
      <c r="K155" s="188"/>
      <c r="L155" s="15"/>
      <c r="M155" s="15"/>
      <c r="N155" s="15"/>
      <c r="O155" s="15"/>
      <c r="V155" s="15"/>
      <c r="W155" s="15"/>
      <c r="X155" s="14"/>
      <c r="Y155" s="14"/>
      <c r="Z155" s="14"/>
      <c r="AA155" s="15"/>
      <c r="AB155" s="3"/>
      <c r="AC155" s="3"/>
      <c r="AD155" s="3"/>
      <c r="AE155" s="3"/>
      <c r="AF155" s="3"/>
      <c r="AG155" s="3"/>
      <c r="AH155" s="3"/>
      <c r="AI155" s="3"/>
      <c r="AJ155" s="3"/>
    </row>
    <row r="156" ht="15.75" customHeight="1">
      <c r="G156" s="424"/>
      <c r="J156" s="425"/>
      <c r="K156" s="188"/>
      <c r="L156" s="15"/>
      <c r="M156" s="15"/>
      <c r="N156" s="15"/>
      <c r="O156" s="15"/>
      <c r="V156" s="15"/>
      <c r="W156" s="15"/>
      <c r="X156" s="14"/>
      <c r="Y156" s="14"/>
      <c r="Z156" s="14"/>
      <c r="AA156" s="15"/>
      <c r="AB156" s="3"/>
      <c r="AC156" s="3"/>
      <c r="AD156" s="3"/>
      <c r="AE156" s="3"/>
      <c r="AF156" s="3"/>
      <c r="AG156" s="3"/>
      <c r="AH156" s="3"/>
      <c r="AI156" s="3"/>
      <c r="AJ156" s="3"/>
    </row>
    <row r="157" ht="15.75" customHeight="1">
      <c r="G157" s="424"/>
      <c r="J157" s="425"/>
      <c r="K157" s="188"/>
      <c r="L157" s="15"/>
      <c r="M157" s="15"/>
      <c r="N157" s="15"/>
      <c r="O157" s="15"/>
      <c r="V157" s="15"/>
      <c r="W157" s="15"/>
      <c r="X157" s="14"/>
      <c r="Y157" s="14"/>
      <c r="Z157" s="14"/>
      <c r="AA157" s="15"/>
      <c r="AB157" s="3"/>
      <c r="AC157" s="3"/>
      <c r="AD157" s="3"/>
      <c r="AE157" s="3"/>
      <c r="AF157" s="3"/>
      <c r="AG157" s="3"/>
      <c r="AH157" s="3"/>
      <c r="AI157" s="3"/>
      <c r="AJ157" s="3"/>
    </row>
    <row r="158" ht="15.75" customHeight="1">
      <c r="G158" s="424"/>
      <c r="J158" s="425"/>
      <c r="K158" s="188"/>
      <c r="L158" s="15"/>
      <c r="M158" s="15"/>
      <c r="N158" s="15"/>
      <c r="O158" s="15"/>
      <c r="V158" s="15"/>
      <c r="W158" s="15"/>
      <c r="X158" s="14"/>
      <c r="Y158" s="14"/>
      <c r="Z158" s="14"/>
      <c r="AA158" s="15"/>
      <c r="AB158" s="3"/>
      <c r="AC158" s="3"/>
      <c r="AD158" s="3"/>
      <c r="AE158" s="3"/>
      <c r="AF158" s="3"/>
      <c r="AG158" s="3"/>
      <c r="AH158" s="3"/>
      <c r="AI158" s="3"/>
      <c r="AJ158" s="3"/>
    </row>
    <row r="159" ht="15.75" customHeight="1">
      <c r="G159" s="424"/>
      <c r="J159" s="425"/>
      <c r="K159" s="188"/>
      <c r="L159" s="15"/>
      <c r="M159" s="15"/>
      <c r="N159" s="15"/>
      <c r="O159" s="15"/>
      <c r="P159" s="15"/>
      <c r="Q159" s="15"/>
      <c r="R159" s="15"/>
      <c r="S159" s="15"/>
      <c r="T159" s="15"/>
      <c r="U159" s="15"/>
      <c r="V159" s="15"/>
      <c r="W159" s="15"/>
      <c r="X159" s="14"/>
      <c r="Y159" s="14"/>
      <c r="Z159" s="14"/>
      <c r="AA159" s="15"/>
      <c r="AB159" s="3"/>
      <c r="AC159" s="3"/>
      <c r="AD159" s="3"/>
      <c r="AE159" s="3"/>
      <c r="AF159" s="3"/>
      <c r="AG159" s="3"/>
      <c r="AH159" s="3"/>
      <c r="AI159" s="3"/>
      <c r="AJ159" s="3"/>
    </row>
    <row r="160" ht="15.75" customHeight="1">
      <c r="G160" s="424"/>
      <c r="J160" s="425"/>
      <c r="K160" s="188"/>
      <c r="L160" s="15"/>
      <c r="M160" s="15"/>
      <c r="N160" s="15"/>
      <c r="O160" s="15"/>
      <c r="P160" s="15"/>
      <c r="Q160" s="15"/>
      <c r="R160" s="15"/>
      <c r="S160" s="15"/>
      <c r="T160" s="15"/>
      <c r="U160" s="15"/>
      <c r="V160" s="15"/>
      <c r="W160" s="15"/>
      <c r="X160" s="14"/>
      <c r="Y160" s="14"/>
      <c r="Z160" s="14"/>
      <c r="AA160" s="15"/>
      <c r="AB160" s="3"/>
      <c r="AC160" s="3"/>
      <c r="AD160" s="3"/>
      <c r="AE160" s="3"/>
      <c r="AF160" s="3"/>
      <c r="AG160" s="3"/>
      <c r="AH160" s="3"/>
      <c r="AI160" s="3"/>
      <c r="AJ160" s="3"/>
    </row>
    <row r="161" ht="15.75" customHeight="1">
      <c r="G161" s="424"/>
      <c r="J161" s="425"/>
      <c r="K161" s="188"/>
      <c r="L161" s="15"/>
      <c r="M161" s="15"/>
      <c r="N161" s="15"/>
      <c r="O161" s="15"/>
      <c r="P161" s="15"/>
      <c r="Q161" s="15"/>
      <c r="R161" s="15"/>
      <c r="S161" s="15"/>
      <c r="T161" s="15"/>
      <c r="U161" s="15"/>
      <c r="V161" s="15"/>
      <c r="W161" s="15"/>
      <c r="X161" s="14"/>
      <c r="Y161" s="14"/>
      <c r="Z161" s="14"/>
      <c r="AA161" s="15"/>
      <c r="AB161" s="3"/>
      <c r="AC161" s="3"/>
      <c r="AD161" s="3"/>
      <c r="AE161" s="3"/>
      <c r="AF161" s="3"/>
      <c r="AG161" s="3"/>
      <c r="AH161" s="3"/>
      <c r="AI161" s="3"/>
      <c r="AJ161" s="3"/>
    </row>
    <row r="162" ht="15.75" customHeight="1">
      <c r="G162" s="424"/>
      <c r="J162" s="425"/>
      <c r="K162" s="188"/>
      <c r="L162" s="15"/>
      <c r="M162" s="15"/>
      <c r="N162" s="15"/>
      <c r="O162" s="15"/>
      <c r="P162" s="15"/>
      <c r="Q162" s="15"/>
      <c r="R162" s="15"/>
      <c r="S162" s="15"/>
      <c r="T162" s="15"/>
      <c r="U162" s="15"/>
      <c r="V162" s="15"/>
      <c r="W162" s="15"/>
      <c r="X162" s="14"/>
      <c r="Y162" s="14"/>
      <c r="Z162" s="14"/>
      <c r="AA162" s="15"/>
      <c r="AB162" s="3"/>
      <c r="AC162" s="3"/>
      <c r="AD162" s="3"/>
      <c r="AE162" s="3"/>
      <c r="AF162" s="3"/>
      <c r="AG162" s="3"/>
      <c r="AH162" s="3"/>
      <c r="AI162" s="3"/>
      <c r="AJ162" s="3"/>
    </row>
    <row r="163" ht="15.75" customHeight="1">
      <c r="G163" s="424"/>
      <c r="J163" s="425"/>
      <c r="K163" s="188"/>
      <c r="L163" s="15"/>
      <c r="M163" s="15"/>
      <c r="N163" s="15"/>
      <c r="O163" s="15"/>
      <c r="P163" s="15"/>
      <c r="Q163" s="15"/>
      <c r="R163" s="15"/>
      <c r="S163" s="15"/>
      <c r="T163" s="15"/>
      <c r="U163" s="15"/>
      <c r="V163" s="15"/>
      <c r="W163" s="15"/>
      <c r="X163" s="14"/>
      <c r="Y163" s="14"/>
      <c r="Z163" s="14"/>
      <c r="AA163" s="15"/>
      <c r="AB163" s="3"/>
      <c r="AC163" s="3"/>
      <c r="AD163" s="3"/>
      <c r="AE163" s="3"/>
      <c r="AF163" s="3"/>
      <c r="AG163" s="3"/>
      <c r="AH163" s="3"/>
      <c r="AI163" s="3"/>
      <c r="AJ163" s="3"/>
    </row>
    <row r="164" ht="15.75" customHeight="1">
      <c r="G164" s="424"/>
      <c r="J164" s="425"/>
      <c r="K164" s="188"/>
      <c r="L164" s="15"/>
      <c r="M164" s="15"/>
      <c r="N164" s="15"/>
      <c r="O164" s="15"/>
      <c r="P164" s="15"/>
      <c r="Q164" s="15"/>
      <c r="R164" s="15"/>
      <c r="S164" s="15"/>
      <c r="T164" s="15"/>
      <c r="U164" s="15"/>
      <c r="V164" s="15"/>
      <c r="W164" s="15"/>
      <c r="X164" s="14"/>
      <c r="Y164" s="14"/>
      <c r="Z164" s="14"/>
      <c r="AA164" s="15"/>
      <c r="AB164" s="3"/>
      <c r="AC164" s="3"/>
      <c r="AD164" s="3"/>
      <c r="AE164" s="3"/>
      <c r="AF164" s="3"/>
      <c r="AG164" s="3"/>
      <c r="AH164" s="3"/>
      <c r="AI164" s="3"/>
      <c r="AJ164" s="3"/>
    </row>
    <row r="165" ht="15.75" customHeight="1">
      <c r="G165" s="424"/>
      <c r="J165" s="425"/>
      <c r="K165" s="188"/>
      <c r="L165" s="15"/>
      <c r="M165" s="15"/>
      <c r="N165" s="15"/>
      <c r="O165" s="15"/>
      <c r="P165" s="15"/>
      <c r="Q165" s="15"/>
      <c r="R165" s="15"/>
      <c r="S165" s="15"/>
      <c r="T165" s="15"/>
      <c r="U165" s="15"/>
      <c r="V165" s="15"/>
      <c r="W165" s="15"/>
      <c r="X165" s="14"/>
      <c r="Y165" s="14"/>
      <c r="Z165" s="14"/>
      <c r="AA165" s="15"/>
      <c r="AB165" s="3"/>
      <c r="AC165" s="3"/>
      <c r="AD165" s="3"/>
      <c r="AE165" s="3"/>
      <c r="AF165" s="3"/>
      <c r="AG165" s="3"/>
      <c r="AH165" s="3"/>
      <c r="AI165" s="3"/>
      <c r="AJ165" s="3"/>
    </row>
    <row r="166" ht="15.75" customHeight="1">
      <c r="G166" s="424"/>
      <c r="J166" s="425"/>
      <c r="K166" s="188"/>
      <c r="L166" s="15"/>
      <c r="M166" s="15"/>
      <c r="N166" s="15"/>
      <c r="O166" s="15"/>
      <c r="P166" s="15"/>
      <c r="Q166" s="15"/>
      <c r="R166" s="15"/>
      <c r="S166" s="15"/>
      <c r="T166" s="15"/>
      <c r="U166" s="15"/>
      <c r="V166" s="15"/>
      <c r="W166" s="15"/>
      <c r="X166" s="14"/>
      <c r="Y166" s="14"/>
      <c r="Z166" s="14"/>
      <c r="AA166" s="15"/>
      <c r="AB166" s="3"/>
      <c r="AC166" s="3"/>
      <c r="AD166" s="3"/>
      <c r="AE166" s="3"/>
      <c r="AF166" s="3"/>
      <c r="AG166" s="3"/>
      <c r="AH166" s="3"/>
      <c r="AI166" s="3"/>
      <c r="AJ166" s="3"/>
    </row>
    <row r="167" ht="15.75" customHeight="1">
      <c r="G167" s="424"/>
      <c r="J167" s="425"/>
      <c r="K167" s="188"/>
      <c r="L167" s="15"/>
      <c r="M167" s="15"/>
      <c r="N167" s="15"/>
      <c r="O167" s="15"/>
      <c r="P167" s="15"/>
      <c r="Q167" s="15"/>
      <c r="R167" s="15"/>
      <c r="S167" s="15"/>
      <c r="T167" s="15"/>
      <c r="U167" s="15"/>
      <c r="V167" s="15"/>
      <c r="W167" s="15"/>
      <c r="X167" s="14"/>
      <c r="Y167" s="14"/>
      <c r="Z167" s="14"/>
      <c r="AA167" s="15"/>
      <c r="AB167" s="3"/>
      <c r="AC167" s="3"/>
      <c r="AD167" s="3"/>
      <c r="AE167" s="3"/>
      <c r="AF167" s="3"/>
      <c r="AG167" s="3"/>
      <c r="AH167" s="3"/>
      <c r="AI167" s="3"/>
      <c r="AJ167" s="3"/>
    </row>
    <row r="168" ht="15.75" customHeight="1">
      <c r="G168" s="424"/>
      <c r="J168" s="425"/>
      <c r="K168" s="188"/>
      <c r="L168" s="15"/>
      <c r="M168" s="15"/>
      <c r="N168" s="15"/>
      <c r="O168" s="15"/>
      <c r="P168" s="15"/>
      <c r="Q168" s="15"/>
      <c r="R168" s="15"/>
      <c r="S168" s="15"/>
      <c r="T168" s="15"/>
      <c r="U168" s="15"/>
      <c r="V168" s="15"/>
      <c r="W168" s="15"/>
      <c r="X168" s="14"/>
      <c r="Y168" s="14"/>
      <c r="Z168" s="14"/>
      <c r="AA168" s="15"/>
      <c r="AB168" s="3"/>
      <c r="AC168" s="3"/>
      <c r="AD168" s="3"/>
      <c r="AE168" s="3"/>
      <c r="AF168" s="3"/>
      <c r="AG168" s="3"/>
      <c r="AH168" s="3"/>
      <c r="AI168" s="3"/>
      <c r="AJ168" s="3"/>
    </row>
    <row r="169" ht="15.75" customHeight="1">
      <c r="G169" s="424"/>
      <c r="J169" s="425"/>
      <c r="K169" s="188"/>
      <c r="L169" s="15"/>
      <c r="M169" s="15"/>
      <c r="N169" s="15"/>
      <c r="O169" s="15"/>
      <c r="P169" s="15"/>
      <c r="Q169" s="15"/>
      <c r="R169" s="15"/>
      <c r="S169" s="15"/>
      <c r="T169" s="15"/>
      <c r="U169" s="15"/>
      <c r="V169" s="15"/>
      <c r="W169" s="15"/>
      <c r="X169" s="14"/>
      <c r="Y169" s="14"/>
      <c r="Z169" s="14"/>
      <c r="AA169" s="15"/>
      <c r="AB169" s="3"/>
      <c r="AC169" s="3"/>
      <c r="AD169" s="3"/>
      <c r="AE169" s="3"/>
      <c r="AF169" s="3"/>
      <c r="AG169" s="3"/>
      <c r="AH169" s="3"/>
      <c r="AI169" s="3"/>
      <c r="AJ169" s="3"/>
    </row>
    <row r="170" ht="15.75" customHeight="1">
      <c r="G170" s="424"/>
      <c r="J170" s="425"/>
      <c r="K170" s="188"/>
      <c r="L170" s="15"/>
      <c r="M170" s="15"/>
      <c r="N170" s="15"/>
      <c r="O170" s="15"/>
      <c r="P170" s="15"/>
      <c r="Q170" s="15"/>
      <c r="R170" s="15"/>
      <c r="S170" s="15"/>
      <c r="T170" s="15"/>
      <c r="U170" s="15"/>
      <c r="V170" s="15"/>
      <c r="W170" s="15"/>
      <c r="X170" s="14"/>
      <c r="Y170" s="14"/>
      <c r="Z170" s="14"/>
      <c r="AA170" s="15"/>
      <c r="AB170" s="3"/>
      <c r="AC170" s="3"/>
      <c r="AD170" s="3"/>
      <c r="AE170" s="3"/>
      <c r="AF170" s="3"/>
      <c r="AG170" s="3"/>
      <c r="AH170" s="3"/>
      <c r="AI170" s="3"/>
      <c r="AJ170" s="3"/>
    </row>
    <row r="171" ht="15.75" customHeight="1">
      <c r="G171" s="424"/>
      <c r="J171" s="425"/>
      <c r="K171" s="188"/>
      <c r="L171" s="15"/>
      <c r="M171" s="15"/>
      <c r="N171" s="15"/>
      <c r="O171" s="15"/>
      <c r="P171" s="15"/>
      <c r="Q171" s="15"/>
      <c r="R171" s="15"/>
      <c r="S171" s="15"/>
      <c r="T171" s="15"/>
      <c r="U171" s="15"/>
      <c r="V171" s="15"/>
      <c r="W171" s="15"/>
      <c r="X171" s="14"/>
      <c r="Y171" s="14"/>
      <c r="Z171" s="14"/>
      <c r="AA171" s="15"/>
      <c r="AB171" s="3"/>
      <c r="AC171" s="3"/>
      <c r="AD171" s="3"/>
      <c r="AE171" s="3"/>
      <c r="AF171" s="3"/>
      <c r="AG171" s="3"/>
      <c r="AH171" s="3"/>
      <c r="AI171" s="3"/>
      <c r="AJ171" s="3"/>
    </row>
    <row r="172" ht="15.75" customHeight="1">
      <c r="G172" s="424"/>
      <c r="J172" s="425"/>
      <c r="K172" s="188"/>
      <c r="L172" s="15"/>
      <c r="M172" s="15"/>
      <c r="N172" s="15"/>
      <c r="O172" s="15"/>
      <c r="P172" s="15"/>
      <c r="Q172" s="15"/>
      <c r="R172" s="15"/>
      <c r="S172" s="15"/>
      <c r="T172" s="15"/>
      <c r="U172" s="15"/>
      <c r="V172" s="15"/>
      <c r="W172" s="15"/>
      <c r="X172" s="14"/>
      <c r="Y172" s="14"/>
      <c r="Z172" s="14"/>
      <c r="AA172" s="15"/>
      <c r="AB172" s="3"/>
      <c r="AC172" s="3"/>
      <c r="AD172" s="3"/>
      <c r="AE172" s="3"/>
      <c r="AF172" s="3"/>
      <c r="AG172" s="3"/>
      <c r="AH172" s="3"/>
      <c r="AI172" s="3"/>
      <c r="AJ172" s="3"/>
    </row>
    <row r="173" ht="15.75" customHeight="1">
      <c r="G173" s="424"/>
      <c r="J173" s="425"/>
      <c r="K173" s="188"/>
      <c r="L173" s="15"/>
      <c r="M173" s="15"/>
      <c r="N173" s="15"/>
      <c r="O173" s="15"/>
      <c r="P173" s="15"/>
      <c r="Q173" s="15"/>
      <c r="R173" s="15"/>
      <c r="S173" s="15"/>
      <c r="T173" s="15"/>
      <c r="U173" s="15"/>
      <c r="V173" s="15"/>
      <c r="W173" s="15"/>
      <c r="X173" s="14"/>
      <c r="Y173" s="14"/>
      <c r="Z173" s="14"/>
      <c r="AA173" s="15"/>
      <c r="AB173" s="3"/>
      <c r="AC173" s="3"/>
      <c r="AD173" s="3"/>
      <c r="AE173" s="3"/>
      <c r="AF173" s="3"/>
      <c r="AG173" s="3"/>
      <c r="AH173" s="3"/>
      <c r="AI173" s="3"/>
      <c r="AJ173" s="3"/>
    </row>
    <row r="174" ht="15.75" customHeight="1">
      <c r="G174" s="424"/>
      <c r="J174" s="425"/>
      <c r="K174" s="188"/>
      <c r="L174" s="15"/>
      <c r="M174" s="15"/>
      <c r="N174" s="15"/>
      <c r="O174" s="15"/>
      <c r="P174" s="15"/>
      <c r="Q174" s="15"/>
      <c r="R174" s="15"/>
      <c r="S174" s="15"/>
      <c r="T174" s="15"/>
      <c r="U174" s="15"/>
      <c r="V174" s="15"/>
      <c r="W174" s="15"/>
      <c r="X174" s="14"/>
      <c r="Y174" s="14"/>
      <c r="Z174" s="14"/>
      <c r="AA174" s="15"/>
      <c r="AB174" s="3"/>
      <c r="AC174" s="3"/>
      <c r="AD174" s="3"/>
      <c r="AE174" s="3"/>
      <c r="AF174" s="3"/>
      <c r="AG174" s="3"/>
      <c r="AH174" s="3"/>
      <c r="AI174" s="3"/>
      <c r="AJ174" s="3"/>
    </row>
    <row r="175" ht="15.75" customHeight="1">
      <c r="G175" s="424"/>
      <c r="J175" s="425"/>
      <c r="K175" s="188"/>
      <c r="L175" s="15"/>
      <c r="M175" s="15"/>
      <c r="N175" s="15"/>
      <c r="O175" s="15"/>
      <c r="P175" s="15"/>
      <c r="Q175" s="15"/>
      <c r="R175" s="15"/>
      <c r="S175" s="15"/>
      <c r="T175" s="15"/>
      <c r="U175" s="15"/>
      <c r="V175" s="15"/>
      <c r="W175" s="15"/>
      <c r="X175" s="14"/>
      <c r="Y175" s="14"/>
      <c r="Z175" s="14"/>
      <c r="AA175" s="15"/>
      <c r="AB175" s="3"/>
      <c r="AC175" s="3"/>
      <c r="AD175" s="3"/>
      <c r="AE175" s="3"/>
      <c r="AF175" s="3"/>
      <c r="AG175" s="3"/>
      <c r="AH175" s="3"/>
      <c r="AI175" s="3"/>
      <c r="AJ175" s="3"/>
    </row>
    <row r="176" ht="15.75" customHeight="1">
      <c r="G176" s="424"/>
      <c r="J176" s="425"/>
      <c r="K176" s="188"/>
      <c r="L176" s="15"/>
      <c r="M176" s="15"/>
      <c r="N176" s="15"/>
      <c r="O176" s="15"/>
      <c r="P176" s="15"/>
      <c r="Q176" s="15"/>
      <c r="R176" s="15"/>
      <c r="S176" s="15"/>
      <c r="T176" s="15"/>
      <c r="U176" s="15"/>
      <c r="V176" s="15"/>
      <c r="W176" s="15"/>
      <c r="X176" s="14"/>
      <c r="Y176" s="14"/>
      <c r="Z176" s="14"/>
      <c r="AA176" s="15"/>
      <c r="AB176" s="3"/>
      <c r="AC176" s="3"/>
      <c r="AD176" s="3"/>
      <c r="AE176" s="3"/>
      <c r="AF176" s="3"/>
      <c r="AG176" s="3"/>
      <c r="AH176" s="3"/>
      <c r="AI176" s="3"/>
      <c r="AJ176" s="3"/>
    </row>
    <row r="177" ht="15.75" customHeight="1">
      <c r="G177" s="424"/>
      <c r="J177" s="425"/>
      <c r="K177" s="188"/>
      <c r="L177" s="15"/>
      <c r="M177" s="15"/>
      <c r="N177" s="15"/>
      <c r="O177" s="15"/>
      <c r="P177" s="15"/>
      <c r="Q177" s="15"/>
      <c r="R177" s="15"/>
      <c r="S177" s="15"/>
      <c r="T177" s="15"/>
      <c r="U177" s="15"/>
      <c r="V177" s="15"/>
      <c r="W177" s="15"/>
      <c r="X177" s="14"/>
      <c r="Y177" s="14"/>
      <c r="Z177" s="14"/>
      <c r="AA177" s="15"/>
      <c r="AB177" s="3"/>
      <c r="AC177" s="3"/>
      <c r="AD177" s="3"/>
      <c r="AE177" s="3"/>
      <c r="AF177" s="3"/>
      <c r="AG177" s="3"/>
      <c r="AH177" s="3"/>
      <c r="AI177" s="3"/>
      <c r="AJ177" s="3"/>
    </row>
    <row r="178" ht="15.75" customHeight="1">
      <c r="G178" s="424"/>
      <c r="J178" s="425"/>
      <c r="K178" s="188"/>
      <c r="L178" s="15"/>
      <c r="M178" s="15"/>
      <c r="N178" s="15"/>
      <c r="O178" s="15"/>
      <c r="P178" s="15"/>
      <c r="Q178" s="15"/>
      <c r="R178" s="15"/>
      <c r="S178" s="15"/>
      <c r="T178" s="15"/>
      <c r="U178" s="15"/>
      <c r="V178" s="15"/>
      <c r="W178" s="15"/>
      <c r="X178" s="14"/>
      <c r="Y178" s="14"/>
      <c r="Z178" s="14"/>
      <c r="AA178" s="15"/>
      <c r="AB178" s="3"/>
      <c r="AC178" s="3"/>
      <c r="AD178" s="3"/>
      <c r="AE178" s="3"/>
      <c r="AF178" s="3"/>
      <c r="AG178" s="3"/>
      <c r="AH178" s="3"/>
      <c r="AI178" s="3"/>
      <c r="AJ178" s="3"/>
    </row>
    <row r="179" ht="15.75" customHeight="1">
      <c r="G179" s="424"/>
      <c r="J179" s="425"/>
      <c r="K179" s="188"/>
      <c r="L179" s="15"/>
      <c r="M179" s="15"/>
      <c r="N179" s="15"/>
      <c r="O179" s="15"/>
      <c r="P179" s="15"/>
      <c r="Q179" s="15"/>
      <c r="R179" s="15"/>
      <c r="S179" s="15"/>
      <c r="T179" s="15"/>
      <c r="U179" s="15"/>
      <c r="V179" s="15"/>
      <c r="W179" s="15"/>
      <c r="X179" s="14"/>
      <c r="Y179" s="14"/>
      <c r="Z179" s="14"/>
      <c r="AA179" s="15"/>
      <c r="AB179" s="3"/>
      <c r="AC179" s="3"/>
      <c r="AD179" s="3"/>
      <c r="AE179" s="3"/>
      <c r="AF179" s="3"/>
      <c r="AG179" s="3"/>
      <c r="AH179" s="3"/>
      <c r="AI179" s="3"/>
      <c r="AJ179" s="3"/>
    </row>
    <row r="180" ht="15.75" customHeight="1">
      <c r="G180" s="424"/>
      <c r="J180" s="425"/>
      <c r="K180" s="188"/>
      <c r="L180" s="15"/>
      <c r="M180" s="15"/>
      <c r="N180" s="15"/>
      <c r="O180" s="15"/>
      <c r="P180" s="15"/>
      <c r="Q180" s="15"/>
      <c r="R180" s="15"/>
      <c r="S180" s="15"/>
      <c r="T180" s="15"/>
      <c r="U180" s="15"/>
      <c r="V180" s="15"/>
      <c r="W180" s="15"/>
      <c r="X180" s="14"/>
      <c r="Y180" s="14"/>
      <c r="Z180" s="14"/>
      <c r="AA180" s="15"/>
      <c r="AB180" s="3"/>
      <c r="AC180" s="3"/>
      <c r="AD180" s="3"/>
      <c r="AE180" s="3"/>
      <c r="AF180" s="3"/>
      <c r="AG180" s="3"/>
      <c r="AH180" s="3"/>
      <c r="AI180" s="3"/>
      <c r="AJ180" s="3"/>
    </row>
    <row r="181" ht="15.75" customHeight="1">
      <c r="G181" s="424"/>
      <c r="J181" s="425"/>
      <c r="K181" s="188"/>
      <c r="L181" s="15"/>
      <c r="M181" s="15"/>
      <c r="N181" s="15"/>
      <c r="O181" s="15"/>
      <c r="P181" s="15"/>
      <c r="Q181" s="15"/>
      <c r="R181" s="15"/>
      <c r="S181" s="15"/>
      <c r="T181" s="15"/>
      <c r="U181" s="15"/>
      <c r="V181" s="15"/>
      <c r="W181" s="15"/>
      <c r="X181" s="14"/>
      <c r="Y181" s="14"/>
      <c r="Z181" s="14"/>
      <c r="AA181" s="15"/>
      <c r="AB181" s="3"/>
      <c r="AC181" s="3"/>
      <c r="AD181" s="3"/>
      <c r="AE181" s="3"/>
      <c r="AF181" s="3"/>
      <c r="AG181" s="3"/>
      <c r="AH181" s="3"/>
      <c r="AI181" s="3"/>
      <c r="AJ181" s="3"/>
    </row>
    <row r="182" ht="15.75" customHeight="1">
      <c r="G182" s="424"/>
      <c r="J182" s="425"/>
      <c r="K182" s="188"/>
      <c r="L182" s="15"/>
      <c r="M182" s="15"/>
      <c r="N182" s="15"/>
      <c r="O182" s="15"/>
      <c r="P182" s="15"/>
      <c r="Q182" s="15"/>
      <c r="R182" s="15"/>
      <c r="S182" s="15"/>
      <c r="T182" s="15"/>
      <c r="U182" s="15"/>
      <c r="V182" s="15"/>
      <c r="W182" s="15"/>
      <c r="X182" s="14"/>
      <c r="Y182" s="14"/>
      <c r="Z182" s="14"/>
      <c r="AA182" s="15"/>
      <c r="AB182" s="3"/>
      <c r="AC182" s="3"/>
      <c r="AD182" s="3"/>
      <c r="AE182" s="3"/>
      <c r="AF182" s="3"/>
      <c r="AG182" s="3"/>
      <c r="AH182" s="3"/>
      <c r="AI182" s="3"/>
      <c r="AJ182" s="3"/>
    </row>
    <row r="183" ht="15.75" customHeight="1">
      <c r="G183" s="424"/>
      <c r="J183" s="425"/>
      <c r="K183" s="188"/>
      <c r="L183" s="15"/>
      <c r="M183" s="15"/>
      <c r="N183" s="15"/>
      <c r="O183" s="15"/>
      <c r="P183" s="15"/>
      <c r="Q183" s="15"/>
      <c r="R183" s="15"/>
      <c r="S183" s="15"/>
      <c r="T183" s="15"/>
      <c r="U183" s="15"/>
      <c r="V183" s="15"/>
      <c r="W183" s="15"/>
      <c r="X183" s="14"/>
      <c r="Y183" s="14"/>
      <c r="Z183" s="14"/>
      <c r="AA183" s="15"/>
      <c r="AB183" s="3"/>
      <c r="AC183" s="3"/>
      <c r="AD183" s="3"/>
      <c r="AE183" s="3"/>
      <c r="AF183" s="3"/>
      <c r="AG183" s="3"/>
      <c r="AH183" s="3"/>
      <c r="AI183" s="3"/>
      <c r="AJ183" s="3"/>
    </row>
    <row r="184" ht="15.75" customHeight="1">
      <c r="G184" s="424"/>
      <c r="J184" s="425"/>
      <c r="K184" s="188"/>
      <c r="L184" s="15"/>
      <c r="M184" s="15"/>
      <c r="N184" s="15"/>
      <c r="O184" s="15"/>
      <c r="P184" s="15"/>
      <c r="Q184" s="15"/>
      <c r="R184" s="15"/>
      <c r="S184" s="15"/>
      <c r="T184" s="15"/>
      <c r="U184" s="15"/>
      <c r="V184" s="15"/>
      <c r="W184" s="15"/>
      <c r="X184" s="14"/>
      <c r="Y184" s="14"/>
      <c r="Z184" s="14"/>
      <c r="AA184" s="15"/>
      <c r="AB184" s="3"/>
      <c r="AC184" s="3"/>
      <c r="AD184" s="3"/>
      <c r="AE184" s="3"/>
      <c r="AF184" s="3"/>
      <c r="AG184" s="3"/>
      <c r="AH184" s="3"/>
      <c r="AI184" s="3"/>
      <c r="AJ184" s="3"/>
    </row>
    <row r="185" ht="15.75" customHeight="1">
      <c r="G185" s="424"/>
      <c r="J185" s="425"/>
      <c r="K185" s="188"/>
      <c r="L185" s="15"/>
      <c r="M185" s="15"/>
      <c r="N185" s="15"/>
      <c r="O185" s="15"/>
      <c r="P185" s="15"/>
      <c r="Q185" s="15"/>
      <c r="R185" s="15"/>
      <c r="S185" s="15"/>
      <c r="T185" s="15"/>
      <c r="U185" s="15"/>
      <c r="V185" s="15"/>
      <c r="W185" s="15"/>
      <c r="X185" s="14"/>
      <c r="Y185" s="14"/>
      <c r="Z185" s="14"/>
      <c r="AA185" s="15"/>
      <c r="AB185" s="3"/>
      <c r="AC185" s="3"/>
      <c r="AD185" s="3"/>
      <c r="AE185" s="3"/>
      <c r="AF185" s="3"/>
      <c r="AG185" s="3"/>
      <c r="AH185" s="3"/>
      <c r="AI185" s="3"/>
      <c r="AJ185" s="3"/>
    </row>
    <row r="186" ht="15.75" customHeight="1">
      <c r="G186" s="424"/>
      <c r="J186" s="425"/>
      <c r="K186" s="188"/>
      <c r="L186" s="15"/>
      <c r="M186" s="15"/>
      <c r="N186" s="15"/>
      <c r="O186" s="15"/>
      <c r="P186" s="15"/>
      <c r="Q186" s="15"/>
      <c r="R186" s="15"/>
      <c r="S186" s="15"/>
      <c r="T186" s="15"/>
      <c r="U186" s="15"/>
      <c r="V186" s="15"/>
      <c r="W186" s="15"/>
      <c r="X186" s="14"/>
      <c r="Y186" s="14"/>
      <c r="Z186" s="14"/>
      <c r="AA186" s="15"/>
      <c r="AB186" s="3"/>
      <c r="AC186" s="3"/>
      <c r="AD186" s="3"/>
      <c r="AE186" s="3"/>
      <c r="AF186" s="3"/>
      <c r="AG186" s="3"/>
      <c r="AH186" s="3"/>
      <c r="AI186" s="3"/>
      <c r="AJ186" s="3"/>
    </row>
    <row r="187" ht="15.75" customHeight="1">
      <c r="G187" s="424"/>
      <c r="J187" s="425"/>
      <c r="K187" s="188"/>
      <c r="L187" s="15"/>
      <c r="M187" s="15"/>
      <c r="N187" s="15"/>
      <c r="O187" s="15"/>
      <c r="P187" s="15"/>
      <c r="Q187" s="15"/>
      <c r="R187" s="15"/>
      <c r="S187" s="15"/>
      <c r="T187" s="15"/>
      <c r="U187" s="15"/>
      <c r="V187" s="15"/>
      <c r="W187" s="15"/>
      <c r="X187" s="14"/>
      <c r="Y187" s="14"/>
      <c r="Z187" s="14"/>
      <c r="AA187" s="15"/>
      <c r="AB187" s="3"/>
      <c r="AC187" s="3"/>
      <c r="AD187" s="3"/>
      <c r="AE187" s="3"/>
      <c r="AF187" s="3"/>
      <c r="AG187" s="3"/>
      <c r="AH187" s="3"/>
      <c r="AI187" s="3"/>
      <c r="AJ187" s="3"/>
    </row>
    <row r="188" ht="15.75" customHeight="1">
      <c r="G188" s="424"/>
      <c r="J188" s="425"/>
      <c r="K188" s="188"/>
      <c r="L188" s="15"/>
      <c r="M188" s="15"/>
      <c r="N188" s="15"/>
      <c r="O188" s="15"/>
      <c r="P188" s="15"/>
      <c r="Q188" s="15"/>
      <c r="R188" s="15"/>
      <c r="S188" s="15"/>
      <c r="T188" s="15"/>
      <c r="U188" s="15"/>
      <c r="V188" s="15"/>
      <c r="W188" s="15"/>
      <c r="X188" s="14"/>
      <c r="Y188" s="14"/>
      <c r="Z188" s="14"/>
      <c r="AA188" s="15"/>
      <c r="AB188" s="3"/>
      <c r="AC188" s="3"/>
      <c r="AD188" s="3"/>
      <c r="AE188" s="3"/>
      <c r="AF188" s="3"/>
      <c r="AG188" s="3"/>
      <c r="AH188" s="3"/>
      <c r="AI188" s="3"/>
      <c r="AJ188" s="3"/>
    </row>
    <row r="189" ht="15.75" customHeight="1">
      <c r="G189" s="424"/>
      <c r="J189" s="425"/>
      <c r="K189" s="188"/>
      <c r="L189" s="15"/>
      <c r="M189" s="15"/>
      <c r="N189" s="15"/>
      <c r="O189" s="15"/>
      <c r="P189" s="15"/>
      <c r="Q189" s="15"/>
      <c r="R189" s="15"/>
      <c r="S189" s="15"/>
      <c r="T189" s="15"/>
      <c r="U189" s="15"/>
      <c r="V189" s="15"/>
      <c r="W189" s="15"/>
      <c r="X189" s="14"/>
      <c r="Y189" s="14"/>
      <c r="Z189" s="14"/>
      <c r="AA189" s="15"/>
      <c r="AB189" s="3"/>
      <c r="AC189" s="3"/>
      <c r="AD189" s="3"/>
      <c r="AE189" s="3"/>
      <c r="AF189" s="3"/>
      <c r="AG189" s="3"/>
      <c r="AH189" s="3"/>
      <c r="AI189" s="3"/>
      <c r="AJ189" s="3"/>
    </row>
    <row r="190" ht="15.75" customHeight="1">
      <c r="G190" s="424"/>
      <c r="J190" s="425"/>
      <c r="K190" s="188"/>
      <c r="L190" s="15"/>
      <c r="M190" s="15"/>
      <c r="N190" s="15"/>
      <c r="O190" s="15"/>
      <c r="P190" s="15"/>
      <c r="Q190" s="15"/>
      <c r="R190" s="15"/>
      <c r="S190" s="15"/>
      <c r="T190" s="15"/>
      <c r="U190" s="15"/>
      <c r="V190" s="15"/>
      <c r="W190" s="15"/>
      <c r="X190" s="14"/>
      <c r="Y190" s="14"/>
      <c r="Z190" s="14"/>
      <c r="AA190" s="15"/>
      <c r="AB190" s="3"/>
      <c r="AC190" s="3"/>
      <c r="AD190" s="3"/>
      <c r="AE190" s="3"/>
      <c r="AF190" s="3"/>
      <c r="AG190" s="3"/>
      <c r="AH190" s="3"/>
      <c r="AI190" s="3"/>
      <c r="AJ190" s="3"/>
    </row>
    <row r="191" ht="15.75" customHeight="1">
      <c r="G191" s="424"/>
      <c r="J191" s="425"/>
      <c r="K191" s="188"/>
      <c r="L191" s="15"/>
      <c r="M191" s="15"/>
      <c r="N191" s="15"/>
      <c r="O191" s="15"/>
      <c r="P191" s="15"/>
      <c r="Q191" s="15"/>
      <c r="R191" s="15"/>
      <c r="S191" s="15"/>
      <c r="T191" s="15"/>
      <c r="U191" s="15"/>
      <c r="V191" s="15"/>
      <c r="W191" s="15"/>
      <c r="X191" s="14"/>
      <c r="Y191" s="14"/>
      <c r="Z191" s="14"/>
      <c r="AA191" s="15"/>
      <c r="AB191" s="3"/>
      <c r="AC191" s="3"/>
      <c r="AD191" s="3"/>
      <c r="AE191" s="3"/>
      <c r="AF191" s="3"/>
      <c r="AG191" s="3"/>
      <c r="AH191" s="3"/>
      <c r="AI191" s="3"/>
      <c r="AJ191" s="3"/>
    </row>
    <row r="192" ht="15.75" customHeight="1">
      <c r="G192" s="424"/>
      <c r="J192" s="425"/>
      <c r="K192" s="188"/>
      <c r="L192" s="15"/>
      <c r="M192" s="15"/>
      <c r="N192" s="15"/>
      <c r="O192" s="15"/>
      <c r="P192" s="15"/>
      <c r="Q192" s="15"/>
      <c r="R192" s="15"/>
      <c r="S192" s="15"/>
      <c r="T192" s="15"/>
      <c r="U192" s="15"/>
      <c r="V192" s="15"/>
      <c r="W192" s="15"/>
      <c r="X192" s="14"/>
      <c r="Y192" s="14"/>
      <c r="Z192" s="14"/>
      <c r="AA192" s="15"/>
      <c r="AB192" s="3"/>
      <c r="AC192" s="3"/>
      <c r="AD192" s="3"/>
      <c r="AE192" s="3"/>
      <c r="AF192" s="3"/>
      <c r="AG192" s="3"/>
      <c r="AH192" s="3"/>
      <c r="AI192" s="3"/>
      <c r="AJ192" s="3"/>
    </row>
    <row r="193" ht="15.75" customHeight="1">
      <c r="G193" s="424"/>
      <c r="J193" s="425"/>
      <c r="K193" s="188"/>
      <c r="L193" s="15"/>
      <c r="M193" s="15"/>
      <c r="N193" s="15"/>
      <c r="O193" s="15"/>
      <c r="P193" s="15"/>
      <c r="Q193" s="15"/>
      <c r="R193" s="15"/>
      <c r="S193" s="15"/>
      <c r="T193" s="15"/>
      <c r="U193" s="15"/>
      <c r="V193" s="15"/>
      <c r="W193" s="15"/>
      <c r="X193" s="14"/>
      <c r="Y193" s="14"/>
      <c r="Z193" s="14"/>
      <c r="AA193" s="15"/>
      <c r="AB193" s="3"/>
      <c r="AC193" s="3"/>
      <c r="AD193" s="3"/>
      <c r="AE193" s="3"/>
      <c r="AF193" s="3"/>
      <c r="AG193" s="3"/>
      <c r="AH193" s="3"/>
      <c r="AI193" s="3"/>
      <c r="AJ193" s="3"/>
    </row>
    <row r="194" ht="15.75" customHeight="1">
      <c r="G194" s="424"/>
      <c r="J194" s="425"/>
      <c r="K194" s="188"/>
      <c r="L194" s="15"/>
      <c r="M194" s="15"/>
      <c r="N194" s="15"/>
      <c r="O194" s="15"/>
      <c r="P194" s="15"/>
      <c r="Q194" s="15"/>
      <c r="R194" s="15"/>
      <c r="S194" s="15"/>
      <c r="T194" s="15"/>
      <c r="U194" s="15"/>
      <c r="V194" s="15"/>
      <c r="W194" s="15"/>
      <c r="X194" s="14"/>
      <c r="Y194" s="14"/>
      <c r="Z194" s="14"/>
      <c r="AA194" s="15"/>
      <c r="AB194" s="3"/>
      <c r="AC194" s="3"/>
      <c r="AD194" s="3"/>
      <c r="AE194" s="3"/>
      <c r="AF194" s="3"/>
      <c r="AG194" s="3"/>
      <c r="AH194" s="3"/>
      <c r="AI194" s="3"/>
      <c r="AJ194" s="3"/>
    </row>
    <row r="195" ht="15.75" customHeight="1">
      <c r="G195" s="424"/>
      <c r="J195" s="425"/>
      <c r="K195" s="188"/>
      <c r="L195" s="15"/>
      <c r="M195" s="15"/>
      <c r="N195" s="15"/>
      <c r="O195" s="15"/>
      <c r="P195" s="15"/>
      <c r="Q195" s="15"/>
      <c r="R195" s="15"/>
      <c r="S195" s="15"/>
      <c r="T195" s="15"/>
      <c r="U195" s="15"/>
      <c r="V195" s="15"/>
      <c r="W195" s="15"/>
      <c r="X195" s="14"/>
      <c r="Y195" s="14"/>
      <c r="Z195" s="14"/>
      <c r="AA195" s="15"/>
      <c r="AB195" s="3"/>
      <c r="AC195" s="3"/>
      <c r="AD195" s="3"/>
      <c r="AE195" s="3"/>
      <c r="AF195" s="3"/>
      <c r="AG195" s="3"/>
      <c r="AH195" s="3"/>
      <c r="AI195" s="3"/>
      <c r="AJ195" s="3"/>
    </row>
    <row r="196" ht="15.75" customHeight="1">
      <c r="G196" s="424"/>
      <c r="J196" s="425"/>
      <c r="K196" s="188"/>
      <c r="L196" s="15"/>
      <c r="M196" s="15"/>
      <c r="N196" s="15"/>
      <c r="O196" s="15"/>
      <c r="P196" s="15"/>
      <c r="Q196" s="15"/>
      <c r="R196" s="15"/>
      <c r="S196" s="15"/>
      <c r="T196" s="15"/>
      <c r="U196" s="15"/>
      <c r="V196" s="15"/>
      <c r="W196" s="15"/>
      <c r="X196" s="14"/>
      <c r="Y196" s="14"/>
      <c r="Z196" s="14"/>
      <c r="AA196" s="15"/>
      <c r="AB196" s="3"/>
      <c r="AC196" s="3"/>
      <c r="AD196" s="3"/>
      <c r="AE196" s="3"/>
      <c r="AF196" s="3"/>
      <c r="AG196" s="3"/>
      <c r="AH196" s="3"/>
      <c r="AI196" s="3"/>
      <c r="AJ196" s="3"/>
    </row>
    <row r="197" ht="15.75" customHeight="1">
      <c r="G197" s="424"/>
      <c r="J197" s="425"/>
      <c r="K197" s="188"/>
      <c r="L197" s="15"/>
      <c r="M197" s="15"/>
      <c r="N197" s="15"/>
      <c r="O197" s="15"/>
      <c r="P197" s="15"/>
      <c r="Q197" s="15"/>
      <c r="R197" s="15"/>
      <c r="S197" s="15"/>
      <c r="T197" s="15"/>
      <c r="U197" s="15"/>
      <c r="V197" s="15"/>
      <c r="W197" s="15"/>
      <c r="X197" s="14"/>
      <c r="Y197" s="14"/>
      <c r="Z197" s="14"/>
      <c r="AA197" s="15"/>
      <c r="AB197" s="3"/>
      <c r="AC197" s="3"/>
      <c r="AD197" s="3"/>
      <c r="AE197" s="3"/>
      <c r="AF197" s="3"/>
      <c r="AG197" s="3"/>
      <c r="AH197" s="3"/>
      <c r="AI197" s="3"/>
      <c r="AJ197" s="3"/>
    </row>
    <row r="198" ht="15.75" customHeight="1">
      <c r="G198" s="424"/>
      <c r="J198" s="425"/>
      <c r="K198" s="188"/>
      <c r="L198" s="15"/>
      <c r="M198" s="15"/>
      <c r="N198" s="15"/>
      <c r="O198" s="15"/>
      <c r="P198" s="15"/>
      <c r="Q198" s="15"/>
      <c r="R198" s="15"/>
      <c r="S198" s="15"/>
      <c r="T198" s="15"/>
      <c r="U198" s="15"/>
      <c r="V198" s="15"/>
      <c r="W198" s="15"/>
      <c r="X198" s="14"/>
      <c r="Y198" s="14"/>
      <c r="Z198" s="14"/>
      <c r="AA198" s="15"/>
      <c r="AB198" s="3"/>
      <c r="AC198" s="3"/>
      <c r="AD198" s="3"/>
      <c r="AE198" s="3"/>
      <c r="AF198" s="3"/>
      <c r="AG198" s="3"/>
      <c r="AH198" s="3"/>
      <c r="AI198" s="3"/>
      <c r="AJ198" s="3"/>
    </row>
    <row r="199" ht="15.75" customHeight="1">
      <c r="G199" s="424"/>
      <c r="J199" s="425"/>
      <c r="K199" s="188"/>
      <c r="L199" s="15"/>
      <c r="M199" s="15"/>
      <c r="N199" s="15"/>
      <c r="O199" s="15"/>
      <c r="P199" s="15"/>
      <c r="Q199" s="15"/>
      <c r="R199" s="15"/>
      <c r="S199" s="15"/>
      <c r="T199" s="15"/>
      <c r="U199" s="15"/>
      <c r="V199" s="15"/>
      <c r="W199" s="15"/>
      <c r="X199" s="14"/>
      <c r="Y199" s="14"/>
      <c r="Z199" s="14"/>
      <c r="AA199" s="15"/>
      <c r="AB199" s="3"/>
      <c r="AC199" s="3"/>
      <c r="AD199" s="3"/>
      <c r="AE199" s="3"/>
      <c r="AF199" s="3"/>
      <c r="AG199" s="3"/>
      <c r="AH199" s="3"/>
      <c r="AI199" s="3"/>
      <c r="AJ199" s="3"/>
    </row>
    <row r="200" ht="15.75" customHeight="1">
      <c r="G200" s="424"/>
      <c r="J200" s="425"/>
      <c r="K200" s="188"/>
      <c r="L200" s="15"/>
      <c r="M200" s="15"/>
      <c r="N200" s="15"/>
      <c r="O200" s="15"/>
      <c r="P200" s="15"/>
      <c r="Q200" s="15"/>
      <c r="R200" s="15"/>
      <c r="S200" s="15"/>
      <c r="T200" s="15"/>
      <c r="U200" s="15"/>
      <c r="V200" s="15"/>
      <c r="W200" s="15"/>
      <c r="X200" s="14"/>
      <c r="Y200" s="14"/>
      <c r="Z200" s="14"/>
      <c r="AA200" s="15"/>
      <c r="AB200" s="3"/>
      <c r="AC200" s="3"/>
      <c r="AD200" s="3"/>
      <c r="AE200" s="3"/>
      <c r="AF200" s="3"/>
      <c r="AG200" s="3"/>
      <c r="AH200" s="3"/>
      <c r="AI200" s="3"/>
      <c r="AJ200" s="3"/>
    </row>
    <row r="201" ht="15.75" customHeight="1">
      <c r="G201" s="424"/>
      <c r="J201" s="425"/>
      <c r="K201" s="188"/>
      <c r="L201" s="15"/>
      <c r="M201" s="15"/>
      <c r="N201" s="15"/>
      <c r="O201" s="15"/>
      <c r="P201" s="15"/>
      <c r="Q201" s="15"/>
      <c r="R201" s="15"/>
      <c r="S201" s="15"/>
      <c r="T201" s="15"/>
      <c r="U201" s="15"/>
      <c r="V201" s="15"/>
      <c r="W201" s="15"/>
      <c r="X201" s="14"/>
      <c r="Y201" s="14"/>
      <c r="Z201" s="14"/>
      <c r="AA201" s="15"/>
      <c r="AB201" s="3"/>
      <c r="AC201" s="3"/>
      <c r="AD201" s="3"/>
      <c r="AE201" s="3"/>
      <c r="AF201" s="3"/>
      <c r="AG201" s="3"/>
      <c r="AH201" s="3"/>
      <c r="AI201" s="3"/>
      <c r="AJ201" s="3"/>
    </row>
    <row r="202" ht="15.75" customHeight="1">
      <c r="G202" s="424"/>
      <c r="J202" s="425"/>
      <c r="K202" s="188"/>
      <c r="L202" s="15"/>
      <c r="M202" s="15"/>
      <c r="N202" s="15"/>
      <c r="O202" s="15"/>
      <c r="P202" s="15"/>
      <c r="Q202" s="15"/>
      <c r="R202" s="15"/>
      <c r="S202" s="15"/>
      <c r="T202" s="15"/>
      <c r="U202" s="15"/>
      <c r="V202" s="15"/>
      <c r="W202" s="15"/>
      <c r="X202" s="14"/>
      <c r="Y202" s="14"/>
      <c r="Z202" s="14"/>
      <c r="AA202" s="15"/>
      <c r="AB202" s="3"/>
      <c r="AC202" s="3"/>
      <c r="AD202" s="3"/>
      <c r="AE202" s="3"/>
      <c r="AF202" s="3"/>
      <c r="AG202" s="3"/>
      <c r="AH202" s="3"/>
      <c r="AI202" s="3"/>
      <c r="AJ202" s="3"/>
    </row>
    <row r="203" ht="15.75" customHeight="1">
      <c r="G203" s="424"/>
      <c r="J203" s="425"/>
      <c r="K203" s="188"/>
      <c r="L203" s="15"/>
      <c r="M203" s="15"/>
      <c r="N203" s="15"/>
      <c r="O203" s="15"/>
      <c r="P203" s="15"/>
      <c r="Q203" s="15"/>
      <c r="R203" s="15"/>
      <c r="S203" s="15"/>
      <c r="T203" s="15"/>
      <c r="U203" s="15"/>
      <c r="V203" s="15"/>
      <c r="W203" s="15"/>
      <c r="X203" s="14"/>
      <c r="Y203" s="14"/>
      <c r="Z203" s="14"/>
      <c r="AA203" s="15"/>
      <c r="AB203" s="3"/>
      <c r="AC203" s="3"/>
      <c r="AD203" s="3"/>
      <c r="AE203" s="3"/>
      <c r="AF203" s="3"/>
      <c r="AG203" s="3"/>
      <c r="AH203" s="3"/>
      <c r="AI203" s="3"/>
      <c r="AJ203" s="3"/>
    </row>
    <row r="204" ht="15.75" customHeight="1">
      <c r="G204" s="424"/>
      <c r="J204" s="425"/>
      <c r="K204" s="188"/>
      <c r="L204" s="15"/>
      <c r="M204" s="15"/>
      <c r="N204" s="15"/>
      <c r="O204" s="15"/>
      <c r="P204" s="15"/>
      <c r="Q204" s="15"/>
      <c r="R204" s="15"/>
      <c r="S204" s="15"/>
      <c r="T204" s="15"/>
      <c r="U204" s="15"/>
      <c r="V204" s="15"/>
      <c r="W204" s="15"/>
      <c r="X204" s="14"/>
      <c r="Y204" s="14"/>
      <c r="Z204" s="14"/>
      <c r="AA204" s="15"/>
      <c r="AB204" s="3"/>
      <c r="AC204" s="3"/>
      <c r="AD204" s="3"/>
      <c r="AE204" s="3"/>
      <c r="AF204" s="3"/>
      <c r="AG204" s="3"/>
      <c r="AH204" s="3"/>
      <c r="AI204" s="3"/>
      <c r="AJ204" s="3"/>
    </row>
    <row r="205" ht="15.75" customHeight="1">
      <c r="G205" s="424"/>
      <c r="J205" s="425"/>
      <c r="K205" s="188"/>
      <c r="L205" s="15"/>
      <c r="M205" s="15"/>
      <c r="N205" s="15"/>
      <c r="O205" s="15"/>
      <c r="P205" s="15"/>
      <c r="Q205" s="15"/>
      <c r="R205" s="15"/>
      <c r="S205" s="15"/>
      <c r="T205" s="15"/>
      <c r="U205" s="15"/>
      <c r="V205" s="15"/>
      <c r="W205" s="15"/>
      <c r="X205" s="14"/>
      <c r="Y205" s="14"/>
      <c r="Z205" s="14"/>
      <c r="AA205" s="15"/>
      <c r="AB205" s="3"/>
      <c r="AC205" s="3"/>
      <c r="AD205" s="3"/>
      <c r="AE205" s="3"/>
      <c r="AF205" s="3"/>
      <c r="AG205" s="3"/>
      <c r="AH205" s="3"/>
      <c r="AI205" s="3"/>
      <c r="AJ205" s="3"/>
    </row>
    <row r="206" ht="15.75" customHeight="1">
      <c r="G206" s="424"/>
      <c r="J206" s="425"/>
      <c r="K206" s="188"/>
      <c r="L206" s="15"/>
      <c r="M206" s="15"/>
      <c r="N206" s="15"/>
      <c r="O206" s="15"/>
      <c r="P206" s="15"/>
      <c r="Q206" s="15"/>
      <c r="R206" s="15"/>
      <c r="S206" s="15"/>
      <c r="T206" s="15"/>
      <c r="U206" s="15"/>
      <c r="V206" s="15"/>
      <c r="W206" s="15"/>
      <c r="X206" s="14"/>
      <c r="Y206" s="14"/>
      <c r="Z206" s="14"/>
      <c r="AA206" s="15"/>
      <c r="AB206" s="3"/>
      <c r="AC206" s="3"/>
      <c r="AD206" s="3"/>
      <c r="AE206" s="3"/>
      <c r="AF206" s="3"/>
      <c r="AG206" s="3"/>
      <c r="AH206" s="3"/>
      <c r="AI206" s="3"/>
      <c r="AJ206" s="3"/>
    </row>
    <row r="207" ht="15.75" customHeight="1">
      <c r="G207" s="424"/>
      <c r="J207" s="425"/>
      <c r="K207" s="188"/>
      <c r="L207" s="15"/>
      <c r="M207" s="15"/>
      <c r="N207" s="15"/>
      <c r="O207" s="15"/>
      <c r="P207" s="15"/>
      <c r="Q207" s="15"/>
      <c r="R207" s="15"/>
      <c r="S207" s="15"/>
      <c r="T207" s="15"/>
      <c r="U207" s="15"/>
      <c r="V207" s="15"/>
      <c r="W207" s="15"/>
      <c r="X207" s="14"/>
      <c r="Y207" s="14"/>
      <c r="Z207" s="14"/>
      <c r="AA207" s="15"/>
      <c r="AB207" s="3"/>
      <c r="AC207" s="3"/>
      <c r="AD207" s="3"/>
      <c r="AE207" s="3"/>
      <c r="AF207" s="3"/>
      <c r="AG207" s="3"/>
      <c r="AH207" s="3"/>
      <c r="AI207" s="3"/>
      <c r="AJ207" s="3"/>
    </row>
    <row r="208" ht="15.75" customHeight="1">
      <c r="G208" s="424"/>
      <c r="J208" s="425"/>
      <c r="K208" s="188"/>
      <c r="L208" s="15"/>
      <c r="M208" s="15"/>
      <c r="N208" s="15"/>
      <c r="O208" s="15"/>
      <c r="P208" s="15"/>
      <c r="Q208" s="15"/>
      <c r="R208" s="15"/>
      <c r="S208" s="15"/>
      <c r="T208" s="15"/>
      <c r="U208" s="15"/>
      <c r="V208" s="15"/>
      <c r="W208" s="15"/>
      <c r="X208" s="14"/>
      <c r="Y208" s="14"/>
      <c r="Z208" s="14"/>
      <c r="AA208" s="15"/>
      <c r="AB208" s="3"/>
      <c r="AC208" s="3"/>
      <c r="AD208" s="3"/>
      <c r="AE208" s="3"/>
      <c r="AF208" s="3"/>
      <c r="AG208" s="3"/>
      <c r="AH208" s="3"/>
      <c r="AI208" s="3"/>
      <c r="AJ208" s="3"/>
    </row>
    <row r="209" ht="15.75" customHeight="1">
      <c r="G209" s="424"/>
      <c r="J209" s="425"/>
      <c r="K209" s="188"/>
      <c r="L209" s="15"/>
      <c r="M209" s="15"/>
      <c r="N209" s="15"/>
      <c r="O209" s="15"/>
      <c r="P209" s="15"/>
      <c r="Q209" s="15"/>
      <c r="R209" s="15"/>
      <c r="S209" s="15"/>
      <c r="T209" s="15"/>
      <c r="U209" s="15"/>
      <c r="V209" s="15"/>
      <c r="W209" s="15"/>
      <c r="X209" s="14"/>
      <c r="Y209" s="14"/>
      <c r="Z209" s="14"/>
      <c r="AA209" s="15"/>
      <c r="AB209" s="3"/>
      <c r="AC209" s="3"/>
      <c r="AD209" s="3"/>
      <c r="AE209" s="3"/>
      <c r="AF209" s="3"/>
      <c r="AG209" s="3"/>
      <c r="AH209" s="3"/>
      <c r="AI209" s="3"/>
      <c r="AJ209" s="3"/>
    </row>
    <row r="210" ht="15.75" customHeight="1">
      <c r="G210" s="424"/>
      <c r="J210" s="425"/>
      <c r="K210" s="188"/>
      <c r="L210" s="15"/>
      <c r="M210" s="15"/>
      <c r="N210" s="15"/>
      <c r="O210" s="15"/>
      <c r="P210" s="15"/>
      <c r="Q210" s="15"/>
      <c r="R210" s="15"/>
      <c r="S210" s="15"/>
      <c r="T210" s="15"/>
      <c r="U210" s="15"/>
      <c r="V210" s="15"/>
      <c r="W210" s="15"/>
      <c r="X210" s="14"/>
      <c r="Y210" s="14"/>
      <c r="Z210" s="14"/>
      <c r="AA210" s="15"/>
      <c r="AB210" s="3"/>
      <c r="AC210" s="3"/>
      <c r="AD210" s="3"/>
      <c r="AE210" s="3"/>
      <c r="AF210" s="3"/>
      <c r="AG210" s="3"/>
      <c r="AH210" s="3"/>
      <c r="AI210" s="3"/>
      <c r="AJ210" s="3"/>
    </row>
    <row r="211" ht="15.75" customHeight="1">
      <c r="G211" s="424"/>
      <c r="J211" s="425"/>
      <c r="K211" s="188"/>
      <c r="L211" s="15"/>
      <c r="M211" s="15"/>
      <c r="N211" s="15"/>
      <c r="O211" s="15"/>
      <c r="P211" s="15"/>
      <c r="Q211" s="15"/>
      <c r="R211" s="15"/>
      <c r="S211" s="15"/>
      <c r="T211" s="15"/>
      <c r="U211" s="15"/>
      <c r="V211" s="15"/>
      <c r="W211" s="15"/>
      <c r="X211" s="14"/>
      <c r="Y211" s="14"/>
      <c r="Z211" s="14"/>
      <c r="AA211" s="15"/>
      <c r="AB211" s="3"/>
      <c r="AC211" s="3"/>
      <c r="AD211" s="3"/>
      <c r="AE211" s="3"/>
      <c r="AF211" s="3"/>
      <c r="AG211" s="3"/>
      <c r="AH211" s="3"/>
      <c r="AI211" s="3"/>
      <c r="AJ211" s="3"/>
    </row>
    <row r="212" ht="15.75" customHeight="1">
      <c r="G212" s="424"/>
      <c r="J212" s="425"/>
      <c r="K212" s="188"/>
      <c r="L212" s="15"/>
      <c r="M212" s="15"/>
      <c r="N212" s="15"/>
      <c r="O212" s="15"/>
      <c r="P212" s="15"/>
      <c r="Q212" s="15"/>
      <c r="R212" s="15"/>
      <c r="S212" s="15"/>
      <c r="T212" s="15"/>
      <c r="U212" s="15"/>
      <c r="V212" s="15"/>
      <c r="W212" s="15"/>
      <c r="X212" s="14"/>
      <c r="Y212" s="14"/>
      <c r="Z212" s="14"/>
      <c r="AA212" s="15"/>
      <c r="AB212" s="3"/>
      <c r="AC212" s="3"/>
      <c r="AD212" s="3"/>
      <c r="AE212" s="3"/>
      <c r="AF212" s="3"/>
      <c r="AG212" s="3"/>
      <c r="AH212" s="3"/>
      <c r="AI212" s="3"/>
      <c r="AJ212" s="3"/>
    </row>
    <row r="213" ht="15.75" customHeight="1">
      <c r="G213" s="424"/>
      <c r="J213" s="425"/>
      <c r="K213" s="188"/>
      <c r="L213" s="15"/>
      <c r="M213" s="15"/>
      <c r="N213" s="15"/>
      <c r="O213" s="15"/>
      <c r="P213" s="15"/>
      <c r="Q213" s="15"/>
      <c r="R213" s="15"/>
      <c r="S213" s="15"/>
      <c r="T213" s="15"/>
      <c r="U213" s="15"/>
      <c r="V213" s="15"/>
      <c r="W213" s="15"/>
      <c r="X213" s="14"/>
      <c r="Y213" s="14"/>
      <c r="Z213" s="14"/>
      <c r="AA213" s="15"/>
      <c r="AB213" s="3"/>
      <c r="AC213" s="3"/>
      <c r="AD213" s="3"/>
      <c r="AE213" s="3"/>
      <c r="AF213" s="3"/>
      <c r="AG213" s="3"/>
      <c r="AH213" s="3"/>
      <c r="AI213" s="3"/>
      <c r="AJ213" s="3"/>
    </row>
    <row r="214" ht="15.75" customHeight="1">
      <c r="G214" s="424"/>
      <c r="J214" s="425"/>
      <c r="K214" s="188"/>
      <c r="L214" s="15"/>
      <c r="M214" s="15"/>
      <c r="N214" s="15"/>
      <c r="O214" s="15"/>
      <c r="P214" s="15"/>
      <c r="Q214" s="15"/>
      <c r="R214" s="15"/>
      <c r="S214" s="15"/>
      <c r="T214" s="15"/>
      <c r="U214" s="15"/>
      <c r="V214" s="15"/>
      <c r="W214" s="15"/>
      <c r="X214" s="14"/>
      <c r="Y214" s="14"/>
      <c r="Z214" s="14"/>
      <c r="AA214" s="15"/>
      <c r="AB214" s="3"/>
      <c r="AC214" s="3"/>
      <c r="AD214" s="3"/>
      <c r="AE214" s="3"/>
      <c r="AF214" s="3"/>
      <c r="AG214" s="3"/>
      <c r="AH214" s="3"/>
      <c r="AI214" s="3"/>
      <c r="AJ214" s="3"/>
    </row>
    <row r="215" ht="15.75" customHeight="1">
      <c r="G215" s="424"/>
      <c r="J215" s="425"/>
      <c r="K215" s="188"/>
      <c r="L215" s="15"/>
      <c r="M215" s="15"/>
      <c r="N215" s="15"/>
      <c r="O215" s="15"/>
      <c r="P215" s="15"/>
      <c r="Q215" s="15"/>
      <c r="R215" s="15"/>
      <c r="S215" s="15"/>
      <c r="T215" s="15"/>
      <c r="U215" s="15"/>
      <c r="V215" s="15"/>
      <c r="W215" s="15"/>
      <c r="X215" s="14"/>
      <c r="Y215" s="14"/>
      <c r="Z215" s="14"/>
      <c r="AA215" s="15"/>
      <c r="AB215" s="3"/>
      <c r="AC215" s="3"/>
      <c r="AD215" s="3"/>
      <c r="AE215" s="3"/>
      <c r="AF215" s="3"/>
      <c r="AG215" s="3"/>
      <c r="AH215" s="3"/>
      <c r="AI215" s="3"/>
      <c r="AJ215" s="3"/>
    </row>
    <row r="216" ht="15.75" customHeight="1">
      <c r="G216" s="424"/>
      <c r="J216" s="425"/>
      <c r="K216" s="188"/>
      <c r="L216" s="15"/>
      <c r="M216" s="15"/>
      <c r="N216" s="15"/>
      <c r="O216" s="15"/>
      <c r="P216" s="15"/>
      <c r="Q216" s="15"/>
      <c r="R216" s="15"/>
      <c r="S216" s="15"/>
      <c r="T216" s="15"/>
      <c r="U216" s="15"/>
      <c r="V216" s="15"/>
      <c r="W216" s="15"/>
      <c r="X216" s="14"/>
      <c r="Y216" s="14"/>
      <c r="Z216" s="14"/>
      <c r="AA216" s="15"/>
      <c r="AB216" s="3"/>
      <c r="AC216" s="3"/>
      <c r="AD216" s="3"/>
      <c r="AE216" s="3"/>
      <c r="AF216" s="3"/>
      <c r="AG216" s="3"/>
      <c r="AH216" s="3"/>
      <c r="AI216" s="3"/>
      <c r="AJ216" s="3"/>
    </row>
    <row r="217" ht="15.75" customHeight="1">
      <c r="G217" s="424"/>
      <c r="J217" s="425"/>
      <c r="K217" s="188"/>
      <c r="L217" s="15"/>
      <c r="M217" s="15"/>
      <c r="N217" s="15"/>
      <c r="O217" s="15"/>
      <c r="P217" s="15"/>
      <c r="Q217" s="15"/>
      <c r="R217" s="15"/>
      <c r="S217" s="15"/>
      <c r="T217" s="15"/>
      <c r="U217" s="15"/>
      <c r="V217" s="15"/>
      <c r="W217" s="15"/>
      <c r="X217" s="14"/>
      <c r="Y217" s="14"/>
      <c r="Z217" s="14"/>
      <c r="AA217" s="15"/>
      <c r="AB217" s="3"/>
      <c r="AC217" s="3"/>
      <c r="AD217" s="3"/>
      <c r="AE217" s="3"/>
      <c r="AF217" s="3"/>
      <c r="AG217" s="3"/>
      <c r="AH217" s="3"/>
      <c r="AI217" s="3"/>
      <c r="AJ217" s="3"/>
    </row>
    <row r="218" ht="15.75" customHeight="1">
      <c r="G218" s="424"/>
      <c r="J218" s="425"/>
      <c r="K218" s="188"/>
      <c r="L218" s="15"/>
      <c r="M218" s="15"/>
      <c r="N218" s="15"/>
      <c r="O218" s="15"/>
      <c r="P218" s="15"/>
      <c r="Q218" s="15"/>
      <c r="R218" s="15"/>
      <c r="S218" s="15"/>
      <c r="T218" s="15"/>
      <c r="U218" s="15"/>
      <c r="V218" s="15"/>
      <c r="W218" s="15"/>
      <c r="X218" s="14"/>
      <c r="Y218" s="14"/>
      <c r="Z218" s="14"/>
      <c r="AA218" s="15"/>
      <c r="AB218" s="3"/>
      <c r="AC218" s="3"/>
      <c r="AD218" s="3"/>
      <c r="AE218" s="3"/>
      <c r="AF218" s="3"/>
      <c r="AG218" s="3"/>
      <c r="AH218" s="3"/>
      <c r="AI218" s="3"/>
      <c r="AJ218" s="3"/>
    </row>
    <row r="219" ht="15.75" customHeight="1">
      <c r="G219" s="424"/>
      <c r="J219" s="425"/>
      <c r="K219" s="188"/>
      <c r="L219" s="15"/>
      <c r="M219" s="15"/>
      <c r="N219" s="15"/>
      <c r="O219" s="15"/>
      <c r="P219" s="15"/>
      <c r="Q219" s="15"/>
      <c r="R219" s="15"/>
      <c r="S219" s="15"/>
      <c r="T219" s="15"/>
      <c r="U219" s="15"/>
      <c r="V219" s="15"/>
      <c r="W219" s="15"/>
      <c r="X219" s="14"/>
      <c r="Y219" s="14"/>
      <c r="Z219" s="14"/>
      <c r="AA219" s="15"/>
      <c r="AB219" s="3"/>
      <c r="AC219" s="3"/>
      <c r="AD219" s="3"/>
      <c r="AE219" s="3"/>
      <c r="AF219" s="3"/>
      <c r="AG219" s="3"/>
      <c r="AH219" s="3"/>
      <c r="AI219" s="3"/>
      <c r="AJ219" s="3"/>
    </row>
    <row r="220" ht="15.75" customHeight="1">
      <c r="G220" s="424"/>
      <c r="J220" s="425"/>
      <c r="K220" s="188"/>
      <c r="L220" s="15"/>
      <c r="M220" s="15"/>
      <c r="N220" s="15"/>
      <c r="O220" s="15"/>
      <c r="P220" s="15"/>
      <c r="Q220" s="15"/>
      <c r="R220" s="15"/>
      <c r="S220" s="15"/>
      <c r="T220" s="15"/>
      <c r="U220" s="15"/>
      <c r="V220" s="15"/>
      <c r="W220" s="15"/>
      <c r="X220" s="14"/>
      <c r="Y220" s="14"/>
      <c r="Z220" s="14"/>
      <c r="AA220" s="15"/>
      <c r="AB220" s="3"/>
      <c r="AC220" s="3"/>
      <c r="AD220" s="3"/>
      <c r="AE220" s="3"/>
      <c r="AF220" s="3"/>
      <c r="AG220" s="3"/>
      <c r="AH220" s="3"/>
      <c r="AI220" s="3"/>
      <c r="AJ220" s="3"/>
    </row>
    <row r="221" ht="15.75" customHeight="1">
      <c r="G221" s="424"/>
      <c r="J221" s="425"/>
      <c r="K221" s="188"/>
      <c r="L221" s="15"/>
      <c r="M221" s="15"/>
      <c r="N221" s="15"/>
      <c r="O221" s="15"/>
      <c r="P221" s="15"/>
      <c r="Q221" s="15"/>
      <c r="R221" s="15"/>
      <c r="S221" s="15"/>
      <c r="T221" s="15"/>
      <c r="U221" s="15"/>
      <c r="V221" s="15"/>
      <c r="W221" s="15"/>
      <c r="X221" s="14"/>
      <c r="Y221" s="14"/>
      <c r="Z221" s="14"/>
      <c r="AA221" s="15"/>
      <c r="AB221" s="3"/>
      <c r="AC221" s="3"/>
      <c r="AD221" s="3"/>
      <c r="AE221" s="3"/>
      <c r="AF221" s="3"/>
      <c r="AG221" s="3"/>
      <c r="AH221" s="3"/>
      <c r="AI221" s="3"/>
      <c r="AJ221" s="3"/>
    </row>
    <row r="222" ht="15.75" customHeight="1">
      <c r="G222" s="424"/>
      <c r="J222" s="425"/>
      <c r="K222" s="188"/>
      <c r="L222" s="15"/>
      <c r="M222" s="15"/>
      <c r="N222" s="15"/>
      <c r="O222" s="15"/>
      <c r="P222" s="15"/>
      <c r="Q222" s="15"/>
      <c r="R222" s="15"/>
      <c r="S222" s="15"/>
      <c r="T222" s="15"/>
      <c r="U222" s="15"/>
      <c r="V222" s="15"/>
      <c r="W222" s="15"/>
      <c r="X222" s="14"/>
      <c r="Y222" s="14"/>
      <c r="Z222" s="14"/>
      <c r="AA222" s="15"/>
      <c r="AB222" s="3"/>
      <c r="AC222" s="3"/>
      <c r="AD222" s="3"/>
      <c r="AE222" s="3"/>
      <c r="AF222" s="3"/>
      <c r="AG222" s="3"/>
      <c r="AH222" s="3"/>
      <c r="AI222" s="3"/>
      <c r="AJ222" s="3"/>
    </row>
    <row r="223" ht="15.75" customHeight="1">
      <c r="G223" s="424"/>
      <c r="J223" s="425"/>
      <c r="K223" s="188"/>
      <c r="L223" s="15"/>
      <c r="M223" s="15"/>
      <c r="N223" s="15"/>
      <c r="O223" s="15"/>
      <c r="P223" s="15"/>
      <c r="Q223" s="15"/>
      <c r="R223" s="15"/>
      <c r="S223" s="15"/>
      <c r="T223" s="15"/>
      <c r="U223" s="15"/>
      <c r="V223" s="15"/>
      <c r="W223" s="15"/>
      <c r="X223" s="14"/>
      <c r="Y223" s="14"/>
      <c r="Z223" s="14"/>
      <c r="AA223" s="15"/>
      <c r="AB223" s="3"/>
      <c r="AC223" s="3"/>
      <c r="AD223" s="3"/>
      <c r="AE223" s="3"/>
      <c r="AF223" s="3"/>
      <c r="AG223" s="3"/>
      <c r="AH223" s="3"/>
      <c r="AI223" s="3"/>
      <c r="AJ223" s="3"/>
    </row>
    <row r="224" ht="15.75" customHeight="1">
      <c r="G224" s="424"/>
      <c r="J224" s="425"/>
      <c r="K224" s="188"/>
      <c r="L224" s="15"/>
      <c r="M224" s="15"/>
      <c r="N224" s="15"/>
      <c r="O224" s="15"/>
      <c r="P224" s="15"/>
      <c r="Q224" s="15"/>
      <c r="R224" s="15"/>
      <c r="S224" s="15"/>
      <c r="T224" s="15"/>
      <c r="U224" s="15"/>
      <c r="V224" s="15"/>
      <c r="W224" s="15"/>
      <c r="X224" s="14"/>
      <c r="Y224" s="14"/>
      <c r="Z224" s="14"/>
      <c r="AA224" s="15"/>
      <c r="AB224" s="3"/>
      <c r="AC224" s="3"/>
      <c r="AD224" s="3"/>
      <c r="AE224" s="3"/>
      <c r="AF224" s="3"/>
      <c r="AG224" s="3"/>
      <c r="AH224" s="3"/>
      <c r="AI224" s="3"/>
      <c r="AJ224" s="3"/>
    </row>
    <row r="225" ht="15.75" customHeight="1">
      <c r="G225" s="424"/>
      <c r="J225" s="425"/>
      <c r="K225" s="188"/>
      <c r="L225" s="15"/>
      <c r="M225" s="15"/>
      <c r="N225" s="15"/>
      <c r="O225" s="15"/>
      <c r="P225" s="15"/>
      <c r="Q225" s="15"/>
      <c r="R225" s="15"/>
      <c r="S225" s="15"/>
      <c r="T225" s="15"/>
      <c r="U225" s="15"/>
      <c r="V225" s="15"/>
      <c r="W225" s="15"/>
      <c r="X225" s="14"/>
      <c r="Y225" s="14"/>
      <c r="Z225" s="14"/>
      <c r="AA225" s="15"/>
      <c r="AB225" s="3"/>
      <c r="AC225" s="3"/>
      <c r="AD225" s="3"/>
      <c r="AE225" s="3"/>
      <c r="AF225" s="3"/>
      <c r="AG225" s="3"/>
      <c r="AH225" s="3"/>
      <c r="AI225" s="3"/>
      <c r="AJ225" s="3"/>
    </row>
    <row r="226" ht="15.75" customHeight="1">
      <c r="G226" s="424"/>
      <c r="J226" s="425"/>
      <c r="K226" s="188"/>
      <c r="L226" s="15"/>
      <c r="M226" s="15"/>
      <c r="N226" s="15"/>
      <c r="O226" s="15"/>
      <c r="P226" s="15"/>
      <c r="Q226" s="15"/>
      <c r="R226" s="15"/>
      <c r="S226" s="15"/>
      <c r="T226" s="15"/>
      <c r="U226" s="15"/>
      <c r="V226" s="15"/>
      <c r="W226" s="15"/>
      <c r="X226" s="14"/>
      <c r="Y226" s="14"/>
      <c r="Z226" s="14"/>
      <c r="AA226" s="15"/>
      <c r="AB226" s="3"/>
      <c r="AC226" s="3"/>
      <c r="AD226" s="3"/>
      <c r="AE226" s="3"/>
      <c r="AF226" s="3"/>
      <c r="AG226" s="3"/>
      <c r="AH226" s="3"/>
      <c r="AI226" s="3"/>
      <c r="AJ226" s="3"/>
    </row>
    <row r="227" ht="15.75" customHeight="1">
      <c r="G227" s="424"/>
      <c r="J227" s="425"/>
      <c r="K227" s="188"/>
      <c r="L227" s="15"/>
      <c r="M227" s="15"/>
      <c r="N227" s="15"/>
      <c r="O227" s="15"/>
      <c r="P227" s="15"/>
      <c r="Q227" s="15"/>
      <c r="R227" s="15"/>
      <c r="S227" s="15"/>
      <c r="T227" s="15"/>
      <c r="U227" s="15"/>
      <c r="V227" s="15"/>
      <c r="W227" s="15"/>
      <c r="X227" s="14"/>
      <c r="Y227" s="14"/>
      <c r="Z227" s="14"/>
      <c r="AA227" s="15"/>
      <c r="AB227" s="3"/>
      <c r="AC227" s="3"/>
      <c r="AD227" s="3"/>
      <c r="AE227" s="3"/>
      <c r="AF227" s="3"/>
      <c r="AG227" s="3"/>
      <c r="AH227" s="3"/>
      <c r="AI227" s="3"/>
      <c r="AJ227" s="3"/>
    </row>
    <row r="228" ht="15.75" customHeight="1">
      <c r="G228" s="424"/>
      <c r="J228" s="425"/>
      <c r="K228" s="188"/>
      <c r="L228" s="15"/>
      <c r="M228" s="15"/>
      <c r="N228" s="15"/>
      <c r="O228" s="15"/>
      <c r="P228" s="15"/>
      <c r="Q228" s="15"/>
      <c r="R228" s="15"/>
      <c r="S228" s="15"/>
      <c r="T228" s="15"/>
      <c r="U228" s="15"/>
      <c r="V228" s="15"/>
      <c r="W228" s="15"/>
      <c r="X228" s="14"/>
      <c r="Y228" s="14"/>
      <c r="Z228" s="14"/>
      <c r="AA228" s="15"/>
      <c r="AB228" s="3"/>
      <c r="AC228" s="3"/>
      <c r="AD228" s="3"/>
      <c r="AE228" s="3"/>
      <c r="AF228" s="3"/>
      <c r="AG228" s="3"/>
      <c r="AH228" s="3"/>
      <c r="AI228" s="3"/>
      <c r="AJ228" s="3"/>
    </row>
    <row r="229" ht="15.75" customHeight="1">
      <c r="G229" s="424"/>
      <c r="J229" s="425"/>
      <c r="K229" s="188"/>
      <c r="L229" s="15"/>
      <c r="M229" s="15"/>
      <c r="N229" s="15"/>
      <c r="O229" s="15"/>
      <c r="P229" s="15"/>
      <c r="Q229" s="15"/>
      <c r="R229" s="15"/>
      <c r="S229" s="15"/>
      <c r="T229" s="15"/>
      <c r="U229" s="15"/>
      <c r="V229" s="15"/>
      <c r="W229" s="15"/>
      <c r="X229" s="14"/>
      <c r="Y229" s="14"/>
      <c r="Z229" s="14"/>
      <c r="AA229" s="15"/>
      <c r="AB229" s="3"/>
      <c r="AC229" s="3"/>
      <c r="AD229" s="3"/>
      <c r="AE229" s="3"/>
      <c r="AF229" s="3"/>
      <c r="AG229" s="3"/>
      <c r="AH229" s="3"/>
      <c r="AI229" s="3"/>
      <c r="AJ229" s="3"/>
    </row>
    <row r="230" ht="15.75" customHeight="1">
      <c r="G230" s="424"/>
      <c r="J230" s="425"/>
      <c r="K230" s="188"/>
      <c r="L230" s="15"/>
      <c r="M230" s="15"/>
      <c r="N230" s="15"/>
      <c r="O230" s="15"/>
      <c r="P230" s="15"/>
      <c r="Q230" s="15"/>
      <c r="R230" s="15"/>
      <c r="S230" s="15"/>
      <c r="T230" s="15"/>
      <c r="U230" s="15"/>
      <c r="V230" s="15"/>
      <c r="W230" s="15"/>
      <c r="X230" s="14"/>
      <c r="Y230" s="14"/>
      <c r="Z230" s="14"/>
      <c r="AA230" s="15"/>
      <c r="AB230" s="3"/>
      <c r="AC230" s="3"/>
      <c r="AD230" s="3"/>
      <c r="AE230" s="3"/>
      <c r="AF230" s="3"/>
      <c r="AG230" s="3"/>
      <c r="AH230" s="3"/>
      <c r="AI230" s="3"/>
      <c r="AJ230" s="3"/>
    </row>
    <row r="231" ht="15.75" customHeight="1">
      <c r="G231" s="424"/>
      <c r="J231" s="425"/>
      <c r="K231" s="188"/>
      <c r="L231" s="15"/>
      <c r="M231" s="15"/>
      <c r="N231" s="15"/>
      <c r="O231" s="15"/>
      <c r="P231" s="15"/>
      <c r="Q231" s="15"/>
      <c r="R231" s="15"/>
      <c r="S231" s="15"/>
      <c r="T231" s="15"/>
      <c r="U231" s="15"/>
      <c r="V231" s="15"/>
      <c r="W231" s="15"/>
      <c r="X231" s="14"/>
      <c r="Y231" s="14"/>
      <c r="Z231" s="14"/>
      <c r="AA231" s="15"/>
      <c r="AB231" s="3"/>
      <c r="AC231" s="3"/>
      <c r="AD231" s="3"/>
      <c r="AE231" s="3"/>
      <c r="AF231" s="3"/>
      <c r="AG231" s="3"/>
      <c r="AH231" s="3"/>
      <c r="AI231" s="3"/>
      <c r="AJ231" s="3"/>
    </row>
    <row r="232" ht="15.75" customHeight="1">
      <c r="G232" s="424"/>
      <c r="J232" s="425"/>
      <c r="K232" s="188"/>
      <c r="L232" s="15"/>
      <c r="M232" s="15"/>
      <c r="N232" s="15"/>
      <c r="O232" s="15"/>
      <c r="P232" s="15"/>
      <c r="Q232" s="15"/>
      <c r="R232" s="15"/>
      <c r="S232" s="15"/>
      <c r="T232" s="15"/>
      <c r="U232" s="15"/>
      <c r="V232" s="15"/>
      <c r="W232" s="15"/>
      <c r="X232" s="14"/>
      <c r="Y232" s="14"/>
      <c r="Z232" s="14"/>
      <c r="AA232" s="15"/>
      <c r="AB232" s="3"/>
      <c r="AC232" s="3"/>
      <c r="AD232" s="3"/>
      <c r="AE232" s="3"/>
      <c r="AF232" s="3"/>
      <c r="AG232" s="3"/>
      <c r="AH232" s="3"/>
      <c r="AI232" s="3"/>
      <c r="AJ232" s="3"/>
    </row>
    <row r="233" ht="15.75" customHeight="1">
      <c r="G233" s="424"/>
      <c r="J233" s="425"/>
      <c r="K233" s="188"/>
      <c r="L233" s="15"/>
      <c r="M233" s="15"/>
      <c r="N233" s="15"/>
      <c r="O233" s="15"/>
      <c r="P233" s="15"/>
      <c r="Q233" s="15"/>
      <c r="R233" s="15"/>
      <c r="S233" s="15"/>
      <c r="T233" s="15"/>
      <c r="U233" s="15"/>
      <c r="V233" s="15"/>
      <c r="W233" s="15"/>
      <c r="X233" s="14"/>
      <c r="Y233" s="14"/>
      <c r="Z233" s="14"/>
      <c r="AA233" s="15"/>
      <c r="AB233" s="3"/>
      <c r="AC233" s="3"/>
      <c r="AD233" s="3"/>
      <c r="AE233" s="3"/>
      <c r="AF233" s="3"/>
      <c r="AG233" s="3"/>
      <c r="AH233" s="3"/>
      <c r="AI233" s="3"/>
      <c r="AJ233" s="3"/>
    </row>
    <row r="234" ht="15.75" customHeight="1">
      <c r="G234" s="424"/>
      <c r="J234" s="425"/>
      <c r="K234" s="188"/>
      <c r="L234" s="15"/>
      <c r="M234" s="15"/>
      <c r="N234" s="15"/>
      <c r="O234" s="15"/>
      <c r="P234" s="15"/>
      <c r="Q234" s="15"/>
      <c r="R234" s="15"/>
      <c r="S234" s="15"/>
      <c r="T234" s="15"/>
      <c r="U234" s="15"/>
      <c r="V234" s="15"/>
      <c r="W234" s="15"/>
      <c r="X234" s="14"/>
      <c r="Y234" s="14"/>
      <c r="Z234" s="14"/>
      <c r="AA234" s="15"/>
      <c r="AB234" s="3"/>
      <c r="AC234" s="3"/>
      <c r="AD234" s="3"/>
      <c r="AE234" s="3"/>
      <c r="AF234" s="3"/>
      <c r="AG234" s="3"/>
      <c r="AH234" s="3"/>
      <c r="AI234" s="3"/>
      <c r="AJ234" s="3"/>
    </row>
    <row r="235" ht="15.75" customHeight="1">
      <c r="G235" s="424"/>
      <c r="J235" s="425"/>
      <c r="K235" s="188"/>
      <c r="L235" s="15"/>
      <c r="M235" s="15"/>
      <c r="N235" s="15"/>
      <c r="O235" s="15"/>
      <c r="P235" s="15"/>
      <c r="Q235" s="15"/>
      <c r="R235" s="15"/>
      <c r="S235" s="15"/>
      <c r="T235" s="15"/>
      <c r="U235" s="15"/>
      <c r="V235" s="15"/>
      <c r="W235" s="15"/>
      <c r="X235" s="14"/>
      <c r="Y235" s="14"/>
      <c r="Z235" s="14"/>
      <c r="AA235" s="15"/>
      <c r="AB235" s="3"/>
      <c r="AC235" s="3"/>
      <c r="AD235" s="3"/>
      <c r="AE235" s="3"/>
      <c r="AF235" s="3"/>
      <c r="AG235" s="3"/>
      <c r="AH235" s="3"/>
      <c r="AI235" s="3"/>
      <c r="AJ235" s="3"/>
    </row>
    <row r="236" ht="15.75" customHeight="1">
      <c r="G236" s="424"/>
      <c r="J236" s="425"/>
      <c r="K236" s="188"/>
      <c r="L236" s="15"/>
      <c r="M236" s="15"/>
      <c r="N236" s="15"/>
      <c r="O236" s="15"/>
      <c r="P236" s="15"/>
      <c r="Q236" s="15"/>
      <c r="R236" s="15"/>
      <c r="S236" s="15"/>
      <c r="T236" s="15"/>
      <c r="U236" s="15"/>
      <c r="V236" s="15"/>
      <c r="W236" s="15"/>
      <c r="X236" s="14"/>
      <c r="Y236" s="14"/>
      <c r="Z236" s="14"/>
      <c r="AA236" s="15"/>
      <c r="AB236" s="3"/>
      <c r="AC236" s="3"/>
      <c r="AD236" s="3"/>
      <c r="AE236" s="3"/>
      <c r="AF236" s="3"/>
      <c r="AG236" s="3"/>
      <c r="AH236" s="3"/>
      <c r="AI236" s="3"/>
      <c r="AJ236" s="3"/>
    </row>
    <row r="237" ht="15.75" customHeight="1">
      <c r="G237" s="424"/>
      <c r="J237" s="425"/>
      <c r="K237" s="188"/>
      <c r="L237" s="15"/>
      <c r="M237" s="15"/>
      <c r="N237" s="15"/>
      <c r="O237" s="15"/>
      <c r="P237" s="15"/>
      <c r="Q237" s="15"/>
      <c r="R237" s="15"/>
      <c r="S237" s="15"/>
      <c r="T237" s="15"/>
      <c r="U237" s="15"/>
      <c r="V237" s="15"/>
      <c r="W237" s="15"/>
      <c r="X237" s="14"/>
      <c r="Y237" s="14"/>
      <c r="Z237" s="14"/>
      <c r="AA237" s="15"/>
      <c r="AB237" s="3"/>
      <c r="AC237" s="3"/>
      <c r="AD237" s="3"/>
      <c r="AE237" s="3"/>
      <c r="AF237" s="3"/>
      <c r="AG237" s="3"/>
      <c r="AH237" s="3"/>
      <c r="AI237" s="3"/>
      <c r="AJ237" s="3"/>
    </row>
    <row r="238" ht="15.75" customHeight="1">
      <c r="G238" s="424"/>
      <c r="J238" s="425"/>
      <c r="K238" s="188"/>
      <c r="L238" s="15"/>
      <c r="M238" s="15"/>
      <c r="N238" s="15"/>
      <c r="O238" s="15"/>
      <c r="P238" s="15"/>
      <c r="Q238" s="15"/>
      <c r="R238" s="15"/>
      <c r="S238" s="15"/>
      <c r="T238" s="15"/>
      <c r="U238" s="15"/>
      <c r="V238" s="15"/>
      <c r="W238" s="15"/>
      <c r="X238" s="14"/>
      <c r="Y238" s="14"/>
      <c r="Z238" s="14"/>
      <c r="AA238" s="15"/>
      <c r="AB238" s="3"/>
      <c r="AC238" s="3"/>
      <c r="AD238" s="3"/>
      <c r="AE238" s="3"/>
      <c r="AF238" s="3"/>
      <c r="AG238" s="3"/>
      <c r="AH238" s="3"/>
      <c r="AI238" s="3"/>
      <c r="AJ238" s="3"/>
    </row>
    <row r="239" ht="15.75" customHeight="1">
      <c r="G239" s="424"/>
      <c r="J239" s="425"/>
      <c r="K239" s="188"/>
      <c r="L239" s="15"/>
      <c r="M239" s="15"/>
      <c r="N239" s="15"/>
      <c r="O239" s="15"/>
      <c r="P239" s="15"/>
      <c r="Q239" s="15"/>
      <c r="R239" s="15"/>
      <c r="S239" s="15"/>
      <c r="T239" s="15"/>
      <c r="U239" s="15"/>
      <c r="V239" s="15"/>
      <c r="W239" s="15"/>
      <c r="X239" s="14"/>
      <c r="Y239" s="14"/>
      <c r="Z239" s="14"/>
      <c r="AA239" s="15"/>
      <c r="AB239" s="3"/>
      <c r="AC239" s="3"/>
      <c r="AD239" s="3"/>
      <c r="AE239" s="3"/>
      <c r="AF239" s="3"/>
      <c r="AG239" s="3"/>
      <c r="AH239" s="3"/>
      <c r="AI239" s="3"/>
      <c r="AJ239" s="3"/>
    </row>
    <row r="240" ht="15.75" customHeight="1">
      <c r="G240" s="424"/>
      <c r="J240" s="425"/>
      <c r="K240" s="188"/>
      <c r="L240" s="15"/>
      <c r="M240" s="15"/>
      <c r="N240" s="15"/>
      <c r="O240" s="15"/>
      <c r="P240" s="15"/>
      <c r="Q240" s="15"/>
      <c r="R240" s="15"/>
      <c r="S240" s="15"/>
      <c r="T240" s="15"/>
      <c r="U240" s="15"/>
      <c r="V240" s="15"/>
      <c r="W240" s="15"/>
      <c r="X240" s="14"/>
      <c r="Y240" s="14"/>
      <c r="Z240" s="14"/>
      <c r="AA240" s="15"/>
      <c r="AB240" s="3"/>
      <c r="AC240" s="3"/>
      <c r="AD240" s="3"/>
      <c r="AE240" s="3"/>
      <c r="AF240" s="3"/>
      <c r="AG240" s="3"/>
      <c r="AH240" s="3"/>
      <c r="AI240" s="3"/>
      <c r="AJ240" s="3"/>
    </row>
    <row r="241" ht="15.75" customHeight="1">
      <c r="G241" s="424"/>
      <c r="J241" s="425"/>
      <c r="K241" s="188"/>
      <c r="L241" s="15"/>
      <c r="M241" s="15"/>
      <c r="N241" s="15"/>
      <c r="O241" s="15"/>
      <c r="P241" s="15"/>
      <c r="Q241" s="15"/>
      <c r="R241" s="15"/>
      <c r="S241" s="15"/>
      <c r="T241" s="15"/>
      <c r="U241" s="15"/>
      <c r="V241" s="15"/>
      <c r="W241" s="15"/>
      <c r="X241" s="14"/>
      <c r="Y241" s="14"/>
      <c r="Z241" s="14"/>
      <c r="AA241" s="15"/>
      <c r="AB241" s="3"/>
      <c r="AC241" s="3"/>
      <c r="AD241" s="3"/>
      <c r="AE241" s="3"/>
      <c r="AF241" s="3"/>
      <c r="AG241" s="3"/>
      <c r="AH241" s="3"/>
      <c r="AI241" s="3"/>
      <c r="AJ241" s="3"/>
    </row>
    <row r="242" ht="15.75" customHeight="1">
      <c r="G242" s="424"/>
      <c r="J242" s="425"/>
      <c r="K242" s="188"/>
      <c r="L242" s="15"/>
      <c r="M242" s="15"/>
      <c r="N242" s="15"/>
      <c r="O242" s="15"/>
      <c r="P242" s="15"/>
      <c r="Q242" s="15"/>
      <c r="R242" s="15"/>
      <c r="S242" s="15"/>
      <c r="T242" s="15"/>
      <c r="U242" s="15"/>
      <c r="V242" s="15"/>
      <c r="W242" s="15"/>
      <c r="X242" s="14"/>
      <c r="Y242" s="14"/>
      <c r="Z242" s="14"/>
      <c r="AA242" s="15"/>
      <c r="AB242" s="3"/>
      <c r="AC242" s="3"/>
      <c r="AD242" s="3"/>
      <c r="AE242" s="3"/>
      <c r="AF242" s="3"/>
      <c r="AG242" s="3"/>
      <c r="AH242" s="3"/>
      <c r="AI242" s="3"/>
      <c r="AJ242" s="3"/>
    </row>
    <row r="243" ht="15.75" customHeight="1">
      <c r="G243" s="424"/>
      <c r="J243" s="425"/>
      <c r="K243" s="188"/>
      <c r="L243" s="15"/>
      <c r="M243" s="15"/>
      <c r="N243" s="15"/>
      <c r="O243" s="15"/>
      <c r="P243" s="15"/>
      <c r="Q243" s="15"/>
      <c r="R243" s="15"/>
      <c r="S243" s="15"/>
      <c r="T243" s="15"/>
      <c r="U243" s="15"/>
      <c r="V243" s="15"/>
      <c r="W243" s="15"/>
      <c r="X243" s="14"/>
      <c r="Y243" s="14"/>
      <c r="Z243" s="14"/>
      <c r="AA243" s="15"/>
      <c r="AB243" s="3"/>
      <c r="AC243" s="3"/>
      <c r="AD243" s="3"/>
      <c r="AE243" s="3"/>
      <c r="AF243" s="3"/>
      <c r="AG243" s="3"/>
      <c r="AH243" s="3"/>
      <c r="AI243" s="3"/>
      <c r="AJ243" s="3"/>
    </row>
    <row r="244" ht="15.75" customHeight="1">
      <c r="G244" s="424"/>
      <c r="J244" s="425"/>
      <c r="K244" s="188"/>
      <c r="L244" s="15"/>
      <c r="M244" s="15"/>
      <c r="N244" s="15"/>
      <c r="O244" s="15"/>
      <c r="P244" s="15"/>
      <c r="Q244" s="15"/>
      <c r="R244" s="15"/>
      <c r="S244" s="15"/>
      <c r="T244" s="15"/>
      <c r="U244" s="15"/>
      <c r="V244" s="15"/>
      <c r="W244" s="15"/>
      <c r="X244" s="14"/>
      <c r="Y244" s="14"/>
      <c r="Z244" s="14"/>
      <c r="AA244" s="15"/>
      <c r="AB244" s="3"/>
      <c r="AC244" s="3"/>
      <c r="AD244" s="3"/>
      <c r="AE244" s="3"/>
      <c r="AF244" s="3"/>
      <c r="AG244" s="3"/>
      <c r="AH244" s="3"/>
      <c r="AI244" s="3"/>
      <c r="AJ244" s="3"/>
    </row>
    <row r="245" ht="15.75" customHeight="1">
      <c r="G245" s="424"/>
      <c r="J245" s="425"/>
      <c r="K245" s="188"/>
      <c r="L245" s="15"/>
      <c r="M245" s="15"/>
      <c r="N245" s="15"/>
      <c r="O245" s="15"/>
      <c r="P245" s="15"/>
      <c r="Q245" s="15"/>
      <c r="R245" s="15"/>
      <c r="S245" s="15"/>
      <c r="T245" s="15"/>
      <c r="U245" s="15"/>
      <c r="V245" s="15"/>
      <c r="W245" s="15"/>
      <c r="X245" s="14"/>
      <c r="Y245" s="14"/>
      <c r="Z245" s="14"/>
      <c r="AA245" s="15"/>
      <c r="AB245" s="3"/>
      <c r="AC245" s="3"/>
      <c r="AD245" s="3"/>
      <c r="AE245" s="3"/>
      <c r="AF245" s="3"/>
      <c r="AG245" s="3"/>
      <c r="AH245" s="3"/>
      <c r="AI245" s="3"/>
      <c r="AJ245" s="3"/>
    </row>
    <row r="246" ht="15.75" customHeight="1">
      <c r="G246" s="424"/>
      <c r="J246" s="425"/>
      <c r="K246" s="188"/>
      <c r="L246" s="15"/>
      <c r="M246" s="15"/>
      <c r="N246" s="15"/>
      <c r="O246" s="15"/>
      <c r="P246" s="15"/>
      <c r="Q246" s="15"/>
      <c r="R246" s="15"/>
      <c r="S246" s="15"/>
      <c r="T246" s="15"/>
      <c r="U246" s="15"/>
      <c r="V246" s="15"/>
      <c r="W246" s="15"/>
      <c r="X246" s="14"/>
      <c r="Y246" s="14"/>
      <c r="Z246" s="14"/>
      <c r="AA246" s="15"/>
      <c r="AB246" s="3"/>
      <c r="AC246" s="3"/>
      <c r="AD246" s="3"/>
      <c r="AE246" s="3"/>
      <c r="AF246" s="3"/>
      <c r="AG246" s="3"/>
      <c r="AH246" s="3"/>
      <c r="AI246" s="3"/>
      <c r="AJ246" s="3"/>
    </row>
    <row r="247" ht="15.75" customHeight="1">
      <c r="G247" s="424"/>
      <c r="J247" s="425"/>
      <c r="K247" s="188"/>
      <c r="L247" s="15"/>
      <c r="M247" s="15"/>
      <c r="N247" s="15"/>
      <c r="O247" s="15"/>
      <c r="P247" s="15"/>
      <c r="Q247" s="15"/>
      <c r="R247" s="15"/>
      <c r="S247" s="15"/>
      <c r="T247" s="15"/>
      <c r="U247" s="15"/>
      <c r="V247" s="15"/>
      <c r="W247" s="15"/>
      <c r="X247" s="14"/>
      <c r="Y247" s="14"/>
      <c r="Z247" s="14"/>
      <c r="AA247" s="15"/>
      <c r="AB247" s="3"/>
      <c r="AC247" s="3"/>
      <c r="AD247" s="3"/>
      <c r="AE247" s="3"/>
      <c r="AF247" s="3"/>
      <c r="AG247" s="3"/>
      <c r="AH247" s="3"/>
      <c r="AI247" s="3"/>
      <c r="AJ247" s="3"/>
    </row>
    <row r="248" ht="15.75" customHeight="1">
      <c r="G248" s="424"/>
      <c r="J248" s="425"/>
      <c r="K248" s="188"/>
      <c r="L248" s="15"/>
      <c r="M248" s="15"/>
      <c r="N248" s="15"/>
      <c r="O248" s="15"/>
      <c r="P248" s="15"/>
      <c r="Q248" s="15"/>
      <c r="R248" s="15"/>
      <c r="S248" s="15"/>
      <c r="T248" s="15"/>
      <c r="U248" s="15"/>
      <c r="V248" s="15"/>
      <c r="W248" s="15"/>
      <c r="X248" s="14"/>
      <c r="Y248" s="14"/>
      <c r="Z248" s="14"/>
      <c r="AA248" s="15"/>
      <c r="AB248" s="3"/>
      <c r="AC248" s="3"/>
      <c r="AD248" s="3"/>
      <c r="AE248" s="3"/>
      <c r="AF248" s="3"/>
      <c r="AG248" s="3"/>
      <c r="AH248" s="3"/>
      <c r="AI248" s="3"/>
      <c r="AJ248" s="3"/>
    </row>
    <row r="249" ht="15.75" customHeight="1">
      <c r="G249" s="424"/>
      <c r="J249" s="425"/>
      <c r="K249" s="188"/>
      <c r="L249" s="15"/>
      <c r="M249" s="15"/>
      <c r="N249" s="15"/>
      <c r="O249" s="15"/>
      <c r="P249" s="15"/>
      <c r="Q249" s="15"/>
      <c r="R249" s="15"/>
      <c r="S249" s="15"/>
      <c r="T249" s="15"/>
      <c r="U249" s="15"/>
      <c r="V249" s="15"/>
      <c r="W249" s="15"/>
      <c r="X249" s="14"/>
      <c r="Y249" s="14"/>
      <c r="Z249" s="14"/>
      <c r="AA249" s="15"/>
      <c r="AB249" s="3"/>
      <c r="AC249" s="3"/>
      <c r="AD249" s="3"/>
      <c r="AE249" s="3"/>
      <c r="AF249" s="3"/>
      <c r="AG249" s="3"/>
      <c r="AH249" s="3"/>
      <c r="AI249" s="3"/>
      <c r="AJ249" s="3"/>
    </row>
    <row r="250" ht="15.75" customHeight="1">
      <c r="G250" s="424"/>
      <c r="J250" s="425"/>
      <c r="K250" s="188"/>
      <c r="L250" s="15"/>
      <c r="M250" s="15"/>
      <c r="N250" s="15"/>
      <c r="O250" s="15"/>
      <c r="P250" s="15"/>
      <c r="Q250" s="15"/>
      <c r="R250" s="15"/>
      <c r="S250" s="15"/>
      <c r="T250" s="15"/>
      <c r="U250" s="15"/>
      <c r="V250" s="15"/>
      <c r="W250" s="15"/>
      <c r="X250" s="14"/>
      <c r="Y250" s="14"/>
      <c r="Z250" s="14"/>
      <c r="AA250" s="15"/>
      <c r="AB250" s="3"/>
      <c r="AC250" s="3"/>
      <c r="AD250" s="3"/>
      <c r="AE250" s="3"/>
      <c r="AF250" s="3"/>
      <c r="AG250" s="3"/>
      <c r="AH250" s="3"/>
      <c r="AI250" s="3"/>
      <c r="AJ250" s="3"/>
    </row>
    <row r="251" ht="15.75" customHeight="1">
      <c r="G251" s="424"/>
      <c r="J251" s="425"/>
      <c r="K251" s="188"/>
      <c r="L251" s="15"/>
      <c r="M251" s="15"/>
      <c r="N251" s="15"/>
      <c r="O251" s="15"/>
      <c r="P251" s="15"/>
      <c r="Q251" s="15"/>
      <c r="R251" s="15"/>
      <c r="S251" s="15"/>
      <c r="T251" s="15"/>
      <c r="U251" s="15"/>
      <c r="V251" s="15"/>
      <c r="W251" s="15"/>
      <c r="X251" s="14"/>
      <c r="Y251" s="14"/>
      <c r="Z251" s="14"/>
      <c r="AA251" s="15"/>
      <c r="AB251" s="3"/>
      <c r="AC251" s="3"/>
      <c r="AD251" s="3"/>
      <c r="AE251" s="3"/>
      <c r="AF251" s="3"/>
      <c r="AG251" s="3"/>
      <c r="AH251" s="3"/>
      <c r="AI251" s="3"/>
      <c r="AJ251" s="3"/>
    </row>
    <row r="252" ht="15.75" customHeight="1">
      <c r="G252" s="424"/>
      <c r="J252" s="425"/>
      <c r="K252" s="188"/>
      <c r="L252" s="15"/>
      <c r="M252" s="15"/>
      <c r="N252" s="15"/>
      <c r="O252" s="15"/>
      <c r="P252" s="15"/>
      <c r="Q252" s="15"/>
      <c r="R252" s="15"/>
      <c r="S252" s="15"/>
      <c r="T252" s="15"/>
      <c r="U252" s="15"/>
      <c r="V252" s="15"/>
      <c r="W252" s="15"/>
      <c r="X252" s="14"/>
      <c r="Y252" s="14"/>
      <c r="Z252" s="14"/>
      <c r="AA252" s="15"/>
      <c r="AB252" s="3"/>
      <c r="AC252" s="3"/>
      <c r="AD252" s="3"/>
      <c r="AE252" s="3"/>
      <c r="AF252" s="3"/>
      <c r="AG252" s="3"/>
      <c r="AH252" s="3"/>
      <c r="AI252" s="3"/>
      <c r="AJ252" s="3"/>
    </row>
    <row r="253" ht="15.75" customHeight="1">
      <c r="G253" s="424"/>
      <c r="J253" s="425"/>
      <c r="K253" s="188"/>
      <c r="L253" s="15"/>
      <c r="M253" s="15"/>
      <c r="N253" s="15"/>
      <c r="O253" s="15"/>
      <c r="P253" s="15"/>
      <c r="Q253" s="15"/>
      <c r="R253" s="15"/>
      <c r="S253" s="15"/>
      <c r="T253" s="15"/>
      <c r="U253" s="15"/>
      <c r="V253" s="15"/>
      <c r="W253" s="15"/>
      <c r="X253" s="14"/>
      <c r="Y253" s="14"/>
      <c r="Z253" s="14"/>
      <c r="AA253" s="15"/>
      <c r="AB253" s="3"/>
      <c r="AC253" s="3"/>
      <c r="AD253" s="3"/>
      <c r="AE253" s="3"/>
      <c r="AF253" s="3"/>
      <c r="AG253" s="3"/>
      <c r="AH253" s="3"/>
      <c r="AI253" s="3"/>
      <c r="AJ253" s="3"/>
    </row>
    <row r="254" ht="15.75" customHeight="1">
      <c r="G254" s="424"/>
      <c r="J254" s="425"/>
      <c r="K254" s="188"/>
      <c r="L254" s="15"/>
      <c r="M254" s="15"/>
      <c r="N254" s="15"/>
      <c r="O254" s="15"/>
      <c r="P254" s="15"/>
      <c r="Q254" s="15"/>
      <c r="R254" s="15"/>
      <c r="S254" s="15"/>
      <c r="T254" s="15"/>
      <c r="U254" s="15"/>
      <c r="V254" s="15"/>
      <c r="W254" s="15"/>
      <c r="X254" s="14"/>
      <c r="Y254" s="14"/>
      <c r="Z254" s="14"/>
      <c r="AA254" s="15"/>
      <c r="AB254" s="3"/>
      <c r="AC254" s="3"/>
      <c r="AD254" s="3"/>
      <c r="AE254" s="3"/>
      <c r="AF254" s="3"/>
      <c r="AG254" s="3"/>
      <c r="AH254" s="3"/>
      <c r="AI254" s="3"/>
      <c r="AJ254" s="3"/>
    </row>
    <row r="255" ht="15.75" customHeight="1">
      <c r="G255" s="424"/>
      <c r="J255" s="425"/>
      <c r="K255" s="188"/>
      <c r="L255" s="15"/>
      <c r="M255" s="15"/>
      <c r="N255" s="15"/>
      <c r="O255" s="15"/>
      <c r="P255" s="15"/>
      <c r="Q255" s="15"/>
      <c r="R255" s="15"/>
      <c r="S255" s="15"/>
      <c r="T255" s="15"/>
      <c r="U255" s="15"/>
      <c r="V255" s="15"/>
      <c r="W255" s="15"/>
      <c r="X255" s="14"/>
      <c r="Y255" s="14"/>
      <c r="Z255" s="14"/>
      <c r="AA255" s="15"/>
      <c r="AB255" s="3"/>
      <c r="AC255" s="3"/>
      <c r="AD255" s="3"/>
      <c r="AE255" s="3"/>
      <c r="AF255" s="3"/>
      <c r="AG255" s="3"/>
      <c r="AH255" s="3"/>
      <c r="AI255" s="3"/>
      <c r="AJ255" s="3"/>
    </row>
    <row r="256" ht="15.75" customHeight="1">
      <c r="G256" s="424"/>
      <c r="J256" s="425"/>
      <c r="K256" s="188"/>
      <c r="L256" s="15"/>
      <c r="M256" s="15"/>
      <c r="N256" s="15"/>
      <c r="O256" s="15"/>
      <c r="P256" s="15"/>
      <c r="Q256" s="15"/>
      <c r="R256" s="15"/>
      <c r="S256" s="15"/>
      <c r="T256" s="15"/>
      <c r="U256" s="15"/>
      <c r="V256" s="15"/>
      <c r="W256" s="15"/>
      <c r="X256" s="14"/>
      <c r="Y256" s="14"/>
      <c r="Z256" s="14"/>
      <c r="AA256" s="15"/>
      <c r="AB256" s="3"/>
      <c r="AC256" s="3"/>
      <c r="AD256" s="3"/>
      <c r="AE256" s="3"/>
      <c r="AF256" s="3"/>
      <c r="AG256" s="3"/>
      <c r="AH256" s="3"/>
      <c r="AI256" s="3"/>
      <c r="AJ256" s="3"/>
    </row>
    <row r="257" ht="15.75" customHeight="1">
      <c r="G257" s="424"/>
      <c r="J257" s="425"/>
      <c r="K257" s="188"/>
      <c r="L257" s="15"/>
      <c r="M257" s="15"/>
      <c r="N257" s="15"/>
      <c r="O257" s="15"/>
      <c r="P257" s="15"/>
      <c r="Q257" s="15"/>
      <c r="R257" s="15"/>
      <c r="S257" s="15"/>
      <c r="T257" s="15"/>
      <c r="U257" s="15"/>
      <c r="V257" s="15"/>
      <c r="W257" s="15"/>
      <c r="X257" s="14"/>
      <c r="Y257" s="14"/>
      <c r="Z257" s="14"/>
      <c r="AA257" s="15"/>
      <c r="AB257" s="3"/>
      <c r="AC257" s="3"/>
      <c r="AD257" s="3"/>
      <c r="AE257" s="3"/>
      <c r="AF257" s="3"/>
      <c r="AG257" s="3"/>
      <c r="AH257" s="3"/>
      <c r="AI257" s="3"/>
      <c r="AJ257" s="3"/>
    </row>
    <row r="258" ht="15.75" customHeight="1">
      <c r="G258" s="424"/>
      <c r="J258" s="425"/>
      <c r="K258" s="188"/>
      <c r="L258" s="15"/>
      <c r="M258" s="15"/>
      <c r="N258" s="15"/>
      <c r="O258" s="15"/>
      <c r="P258" s="15"/>
      <c r="Q258" s="15"/>
      <c r="R258" s="15"/>
      <c r="S258" s="15"/>
      <c r="T258" s="15"/>
      <c r="U258" s="15"/>
      <c r="V258" s="15"/>
      <c r="W258" s="15"/>
      <c r="X258" s="14"/>
      <c r="Y258" s="14"/>
      <c r="Z258" s="14"/>
      <c r="AA258" s="15"/>
      <c r="AB258" s="3"/>
      <c r="AC258" s="3"/>
      <c r="AD258" s="3"/>
      <c r="AE258" s="3"/>
      <c r="AF258" s="3"/>
      <c r="AG258" s="3"/>
      <c r="AH258" s="3"/>
      <c r="AI258" s="3"/>
      <c r="AJ258" s="3"/>
    </row>
    <row r="259" ht="15.75" customHeight="1">
      <c r="G259" s="424"/>
      <c r="J259" s="425"/>
      <c r="K259" s="188"/>
      <c r="L259" s="15"/>
      <c r="M259" s="15"/>
      <c r="N259" s="15"/>
      <c r="O259" s="15"/>
      <c r="P259" s="15"/>
      <c r="Q259" s="15"/>
      <c r="R259" s="15"/>
      <c r="S259" s="15"/>
      <c r="T259" s="15"/>
      <c r="U259" s="15"/>
      <c r="V259" s="15"/>
      <c r="W259" s="15"/>
      <c r="X259" s="14"/>
      <c r="Y259" s="14"/>
      <c r="Z259" s="14"/>
      <c r="AA259" s="15"/>
      <c r="AB259" s="3"/>
      <c r="AC259" s="3"/>
      <c r="AD259" s="3"/>
      <c r="AE259" s="3"/>
      <c r="AF259" s="3"/>
      <c r="AG259" s="3"/>
      <c r="AH259" s="3"/>
      <c r="AI259" s="3"/>
      <c r="AJ259" s="3"/>
    </row>
    <row r="260" ht="15.75" customHeight="1">
      <c r="G260" s="424"/>
      <c r="J260" s="425"/>
      <c r="K260" s="188"/>
      <c r="L260" s="15"/>
      <c r="M260" s="15"/>
      <c r="N260" s="15"/>
      <c r="O260" s="15"/>
      <c r="P260" s="15"/>
      <c r="Q260" s="15"/>
      <c r="R260" s="15"/>
      <c r="S260" s="15"/>
      <c r="T260" s="15"/>
      <c r="U260" s="15"/>
      <c r="V260" s="15"/>
      <c r="W260" s="15"/>
      <c r="X260" s="14"/>
      <c r="Y260" s="14"/>
      <c r="Z260" s="14"/>
      <c r="AA260" s="15"/>
      <c r="AB260" s="3"/>
      <c r="AC260" s="3"/>
      <c r="AD260" s="3"/>
      <c r="AE260" s="3"/>
      <c r="AF260" s="3"/>
      <c r="AG260" s="3"/>
      <c r="AH260" s="3"/>
      <c r="AI260" s="3"/>
      <c r="AJ260" s="3"/>
    </row>
    <row r="261" ht="15.75" customHeight="1">
      <c r="G261" s="424"/>
      <c r="J261" s="425"/>
      <c r="K261" s="188"/>
      <c r="L261" s="15"/>
      <c r="M261" s="15"/>
      <c r="N261" s="15"/>
      <c r="O261" s="15"/>
      <c r="P261" s="15"/>
      <c r="Q261" s="15"/>
      <c r="R261" s="15"/>
      <c r="S261" s="15"/>
      <c r="T261" s="15"/>
      <c r="U261" s="15"/>
      <c r="V261" s="15"/>
      <c r="W261" s="15"/>
      <c r="X261" s="14"/>
      <c r="Y261" s="14"/>
      <c r="Z261" s="14"/>
      <c r="AA261" s="15"/>
      <c r="AB261" s="3"/>
      <c r="AC261" s="3"/>
      <c r="AD261" s="3"/>
      <c r="AE261" s="3"/>
      <c r="AF261" s="3"/>
      <c r="AG261" s="3"/>
      <c r="AH261" s="3"/>
      <c r="AI261" s="3"/>
      <c r="AJ261" s="3"/>
    </row>
    <row r="262" ht="15.75" customHeight="1">
      <c r="G262" s="424"/>
      <c r="J262" s="425"/>
      <c r="K262" s="188"/>
      <c r="L262" s="15"/>
      <c r="M262" s="15"/>
      <c r="N262" s="15"/>
      <c r="O262" s="15"/>
      <c r="P262" s="15"/>
      <c r="Q262" s="15"/>
      <c r="R262" s="15"/>
      <c r="S262" s="15"/>
      <c r="T262" s="15"/>
      <c r="U262" s="15"/>
      <c r="V262" s="15"/>
      <c r="W262" s="15"/>
      <c r="X262" s="14"/>
      <c r="Y262" s="14"/>
      <c r="Z262" s="14"/>
      <c r="AA262" s="15"/>
      <c r="AB262" s="3"/>
      <c r="AC262" s="3"/>
      <c r="AD262" s="3"/>
      <c r="AE262" s="3"/>
      <c r="AF262" s="3"/>
      <c r="AG262" s="3"/>
      <c r="AH262" s="3"/>
      <c r="AI262" s="3"/>
      <c r="AJ262" s="3"/>
    </row>
    <row r="263" ht="15.75" customHeight="1">
      <c r="G263" s="424"/>
      <c r="J263" s="425"/>
      <c r="K263" s="188"/>
      <c r="L263" s="15"/>
      <c r="M263" s="15"/>
      <c r="N263" s="15"/>
      <c r="O263" s="15"/>
      <c r="P263" s="15"/>
      <c r="Q263" s="15"/>
      <c r="R263" s="15"/>
      <c r="S263" s="15"/>
      <c r="T263" s="15"/>
      <c r="U263" s="15"/>
      <c r="V263" s="15"/>
      <c r="W263" s="15"/>
      <c r="X263" s="14"/>
      <c r="Y263" s="14"/>
      <c r="Z263" s="14"/>
      <c r="AA263" s="15"/>
      <c r="AB263" s="3"/>
      <c r="AC263" s="3"/>
      <c r="AD263" s="3"/>
      <c r="AE263" s="3"/>
      <c r="AF263" s="3"/>
      <c r="AG263" s="3"/>
      <c r="AH263" s="3"/>
      <c r="AI263" s="3"/>
      <c r="AJ263" s="3"/>
    </row>
    <row r="264" ht="15.75" customHeight="1">
      <c r="G264" s="424"/>
      <c r="J264" s="425"/>
      <c r="K264" s="188"/>
      <c r="L264" s="15"/>
      <c r="M264" s="15"/>
      <c r="N264" s="15"/>
      <c r="O264" s="15"/>
      <c r="P264" s="15"/>
      <c r="Q264" s="15"/>
      <c r="R264" s="15"/>
      <c r="S264" s="15"/>
      <c r="T264" s="15"/>
      <c r="U264" s="15"/>
      <c r="V264" s="15"/>
      <c r="W264" s="15"/>
      <c r="X264" s="14"/>
      <c r="Y264" s="14"/>
      <c r="Z264" s="14"/>
      <c r="AA264" s="15"/>
      <c r="AB264" s="3"/>
      <c r="AC264" s="3"/>
      <c r="AD264" s="3"/>
      <c r="AE264" s="3"/>
      <c r="AF264" s="3"/>
      <c r="AG264" s="3"/>
      <c r="AH264" s="3"/>
      <c r="AI264" s="3"/>
      <c r="AJ264" s="3"/>
    </row>
    <row r="265" ht="15.75" customHeight="1">
      <c r="G265" s="424"/>
      <c r="J265" s="425"/>
      <c r="K265" s="188"/>
      <c r="L265" s="15"/>
      <c r="M265" s="15"/>
      <c r="N265" s="15"/>
      <c r="O265" s="15"/>
      <c r="P265" s="15"/>
      <c r="Q265" s="15"/>
      <c r="R265" s="15"/>
      <c r="S265" s="15"/>
      <c r="T265" s="15"/>
      <c r="U265" s="15"/>
      <c r="V265" s="15"/>
      <c r="W265" s="15"/>
      <c r="X265" s="14"/>
      <c r="Y265" s="14"/>
      <c r="Z265" s="14"/>
      <c r="AA265" s="15"/>
      <c r="AB265" s="3"/>
      <c r="AC265" s="3"/>
      <c r="AD265" s="3"/>
      <c r="AE265" s="3"/>
      <c r="AF265" s="3"/>
      <c r="AG265" s="3"/>
      <c r="AH265" s="3"/>
      <c r="AI265" s="3"/>
      <c r="AJ265" s="3"/>
    </row>
    <row r="266" ht="15.75" customHeight="1">
      <c r="G266" s="424"/>
      <c r="J266" s="425"/>
      <c r="K266" s="188"/>
      <c r="L266" s="15"/>
      <c r="M266" s="15"/>
      <c r="N266" s="15"/>
      <c r="O266" s="15"/>
      <c r="P266" s="15"/>
      <c r="Q266" s="15"/>
      <c r="R266" s="15"/>
      <c r="S266" s="15"/>
      <c r="T266" s="15"/>
      <c r="U266" s="15"/>
      <c r="V266" s="15"/>
      <c r="W266" s="15"/>
      <c r="X266" s="14"/>
      <c r="Y266" s="14"/>
      <c r="Z266" s="14"/>
      <c r="AA266" s="15"/>
      <c r="AB266" s="3"/>
      <c r="AC266" s="3"/>
      <c r="AD266" s="3"/>
      <c r="AE266" s="3"/>
      <c r="AF266" s="3"/>
      <c r="AG266" s="3"/>
      <c r="AH266" s="3"/>
      <c r="AI266" s="3"/>
      <c r="AJ266" s="3"/>
    </row>
    <row r="267" ht="15.75" customHeight="1">
      <c r="G267" s="424"/>
      <c r="J267" s="425"/>
      <c r="K267" s="188"/>
      <c r="L267" s="15"/>
      <c r="M267" s="15"/>
      <c r="N267" s="15"/>
      <c r="O267" s="15"/>
      <c r="P267" s="15"/>
      <c r="Q267" s="15"/>
      <c r="R267" s="15"/>
      <c r="S267" s="15"/>
      <c r="T267" s="15"/>
      <c r="U267" s="15"/>
      <c r="V267" s="15"/>
      <c r="W267" s="15"/>
      <c r="X267" s="14"/>
      <c r="Y267" s="14"/>
      <c r="Z267" s="14"/>
      <c r="AA267" s="15"/>
      <c r="AB267" s="3"/>
      <c r="AC267" s="3"/>
      <c r="AD267" s="3"/>
      <c r="AE267" s="3"/>
      <c r="AF267" s="3"/>
      <c r="AG267" s="3"/>
      <c r="AH267" s="3"/>
      <c r="AI267" s="3"/>
      <c r="AJ267" s="3"/>
    </row>
    <row r="268" ht="15.75" customHeight="1">
      <c r="G268" s="424"/>
      <c r="J268" s="425"/>
      <c r="K268" s="188"/>
      <c r="L268" s="15"/>
      <c r="M268" s="15"/>
      <c r="N268" s="15"/>
      <c r="O268" s="15"/>
      <c r="P268" s="15"/>
      <c r="Q268" s="15"/>
      <c r="R268" s="15"/>
      <c r="S268" s="15"/>
      <c r="T268" s="15"/>
      <c r="U268" s="15"/>
      <c r="V268" s="15"/>
      <c r="W268" s="15"/>
      <c r="X268" s="14"/>
      <c r="Y268" s="14"/>
      <c r="Z268" s="14"/>
      <c r="AA268" s="15"/>
      <c r="AB268" s="3"/>
      <c r="AC268" s="3"/>
      <c r="AD268" s="3"/>
      <c r="AE268" s="3"/>
      <c r="AF268" s="3"/>
      <c r="AG268" s="3"/>
      <c r="AH268" s="3"/>
      <c r="AI268" s="3"/>
      <c r="AJ268" s="3"/>
    </row>
    <row r="269" ht="15.75" customHeight="1">
      <c r="G269" s="424"/>
      <c r="J269" s="425"/>
      <c r="K269" s="188"/>
      <c r="L269" s="15"/>
      <c r="M269" s="15"/>
      <c r="N269" s="15"/>
      <c r="O269" s="15"/>
      <c r="P269" s="15"/>
      <c r="Q269" s="15"/>
      <c r="R269" s="15"/>
      <c r="S269" s="15"/>
      <c r="T269" s="15"/>
      <c r="U269" s="15"/>
      <c r="V269" s="15"/>
      <c r="W269" s="15"/>
      <c r="X269" s="14"/>
      <c r="Y269" s="14"/>
      <c r="Z269" s="14"/>
      <c r="AA269" s="15"/>
      <c r="AB269" s="3"/>
      <c r="AC269" s="3"/>
      <c r="AD269" s="3"/>
      <c r="AE269" s="3"/>
      <c r="AF269" s="3"/>
      <c r="AG269" s="3"/>
      <c r="AH269" s="3"/>
      <c r="AI269" s="3"/>
      <c r="AJ269" s="3"/>
    </row>
    <row r="270" ht="15.75" customHeight="1">
      <c r="G270" s="424"/>
      <c r="J270" s="425"/>
      <c r="K270" s="188"/>
      <c r="L270" s="15"/>
      <c r="M270" s="15"/>
      <c r="N270" s="15"/>
      <c r="O270" s="15"/>
      <c r="P270" s="15"/>
      <c r="Q270" s="15"/>
      <c r="R270" s="15"/>
      <c r="S270" s="15"/>
      <c r="T270" s="15"/>
      <c r="U270" s="15"/>
      <c r="V270" s="15"/>
      <c r="W270" s="15"/>
      <c r="X270" s="14"/>
      <c r="Y270" s="14"/>
      <c r="Z270" s="14"/>
      <c r="AA270" s="15"/>
      <c r="AB270" s="3"/>
      <c r="AC270" s="3"/>
      <c r="AD270" s="3"/>
      <c r="AE270" s="3"/>
      <c r="AF270" s="3"/>
      <c r="AG270" s="3"/>
      <c r="AH270" s="3"/>
      <c r="AI270" s="3"/>
      <c r="AJ270" s="3"/>
    </row>
    <row r="271" ht="15.75" customHeight="1">
      <c r="G271" s="424"/>
      <c r="J271" s="425"/>
      <c r="K271" s="188"/>
      <c r="L271" s="15"/>
      <c r="M271" s="15"/>
      <c r="N271" s="15"/>
      <c r="O271" s="15"/>
      <c r="P271" s="15"/>
      <c r="Q271" s="15"/>
      <c r="R271" s="15"/>
      <c r="S271" s="15"/>
      <c r="T271" s="15"/>
      <c r="U271" s="15"/>
      <c r="V271" s="15"/>
      <c r="W271" s="15"/>
      <c r="X271" s="14"/>
      <c r="Y271" s="14"/>
      <c r="Z271" s="14"/>
      <c r="AA271" s="15"/>
      <c r="AB271" s="3"/>
      <c r="AC271" s="3"/>
      <c r="AD271" s="3"/>
      <c r="AE271" s="3"/>
      <c r="AF271" s="3"/>
      <c r="AG271" s="3"/>
      <c r="AH271" s="3"/>
      <c r="AI271" s="3"/>
      <c r="AJ271" s="3"/>
    </row>
    <row r="272" ht="15.75" customHeight="1">
      <c r="G272" s="424"/>
      <c r="J272" s="425"/>
      <c r="K272" s="188"/>
      <c r="L272" s="15"/>
      <c r="M272" s="15"/>
      <c r="N272" s="15"/>
      <c r="O272" s="15"/>
      <c r="P272" s="15"/>
      <c r="Q272" s="15"/>
      <c r="R272" s="15"/>
      <c r="S272" s="15"/>
      <c r="T272" s="15"/>
      <c r="U272" s="15"/>
      <c r="V272" s="15"/>
      <c r="W272" s="15"/>
      <c r="X272" s="14"/>
      <c r="Y272" s="14"/>
      <c r="Z272" s="14"/>
      <c r="AA272" s="15"/>
      <c r="AB272" s="3"/>
      <c r="AC272" s="3"/>
      <c r="AD272" s="3"/>
      <c r="AE272" s="3"/>
      <c r="AF272" s="3"/>
      <c r="AG272" s="3"/>
      <c r="AH272" s="3"/>
      <c r="AI272" s="3"/>
      <c r="AJ272" s="3"/>
    </row>
    <row r="273" ht="15.75" customHeight="1">
      <c r="G273" s="424"/>
      <c r="J273" s="425"/>
      <c r="K273" s="188"/>
      <c r="L273" s="15"/>
      <c r="M273" s="15"/>
      <c r="N273" s="15"/>
      <c r="O273" s="15"/>
      <c r="P273" s="15"/>
      <c r="Q273" s="15"/>
      <c r="R273" s="15"/>
      <c r="S273" s="15"/>
      <c r="T273" s="15"/>
      <c r="U273" s="15"/>
      <c r="V273" s="15"/>
      <c r="W273" s="15"/>
      <c r="X273" s="14"/>
      <c r="Y273" s="14"/>
      <c r="Z273" s="14"/>
      <c r="AA273" s="15"/>
      <c r="AB273" s="3"/>
      <c r="AC273" s="3"/>
      <c r="AD273" s="3"/>
      <c r="AE273" s="3"/>
      <c r="AF273" s="3"/>
      <c r="AG273" s="3"/>
      <c r="AH273" s="3"/>
      <c r="AI273" s="3"/>
      <c r="AJ273" s="3"/>
    </row>
    <row r="274" ht="15.75" customHeight="1">
      <c r="G274" s="424"/>
      <c r="J274" s="425"/>
      <c r="K274" s="188"/>
      <c r="L274" s="15"/>
      <c r="M274" s="15"/>
      <c r="N274" s="15"/>
      <c r="O274" s="15"/>
      <c r="P274" s="15"/>
      <c r="Q274" s="15"/>
      <c r="R274" s="15"/>
      <c r="S274" s="15"/>
      <c r="T274" s="15"/>
      <c r="U274" s="15"/>
      <c r="V274" s="15"/>
      <c r="W274" s="15"/>
      <c r="X274" s="14"/>
      <c r="Y274" s="14"/>
      <c r="Z274" s="14"/>
      <c r="AA274" s="15"/>
      <c r="AB274" s="3"/>
      <c r="AC274" s="3"/>
      <c r="AD274" s="3"/>
      <c r="AE274" s="3"/>
      <c r="AF274" s="3"/>
      <c r="AG274" s="3"/>
      <c r="AH274" s="3"/>
      <c r="AI274" s="3"/>
      <c r="AJ274" s="3"/>
    </row>
    <row r="275" ht="15.75" customHeight="1">
      <c r="G275" s="424"/>
      <c r="J275" s="425"/>
      <c r="K275" s="188"/>
      <c r="L275" s="15"/>
      <c r="M275" s="15"/>
      <c r="N275" s="15"/>
      <c r="O275" s="15"/>
      <c r="P275" s="15"/>
      <c r="Q275" s="15"/>
      <c r="R275" s="15"/>
      <c r="S275" s="15"/>
      <c r="T275" s="15"/>
      <c r="U275" s="15"/>
      <c r="V275" s="15"/>
      <c r="W275" s="15"/>
      <c r="X275" s="14"/>
      <c r="Y275" s="14"/>
      <c r="Z275" s="14"/>
      <c r="AA275" s="15"/>
      <c r="AB275" s="3"/>
      <c r="AC275" s="3"/>
      <c r="AD275" s="3"/>
      <c r="AE275" s="3"/>
      <c r="AF275" s="3"/>
      <c r="AG275" s="3"/>
      <c r="AH275" s="3"/>
      <c r="AI275" s="3"/>
      <c r="AJ275" s="3"/>
    </row>
    <row r="276" ht="15.75" customHeight="1">
      <c r="G276" s="424"/>
      <c r="J276" s="425"/>
      <c r="K276" s="188"/>
      <c r="L276" s="15"/>
      <c r="M276" s="15"/>
      <c r="N276" s="15"/>
      <c r="O276" s="15"/>
      <c r="P276" s="15"/>
      <c r="Q276" s="15"/>
      <c r="R276" s="15"/>
      <c r="S276" s="15"/>
      <c r="T276" s="15"/>
      <c r="U276" s="15"/>
      <c r="V276" s="15"/>
      <c r="W276" s="15"/>
      <c r="X276" s="14"/>
      <c r="Y276" s="14"/>
      <c r="Z276" s="14"/>
      <c r="AA276" s="15"/>
      <c r="AB276" s="3"/>
      <c r="AC276" s="3"/>
      <c r="AD276" s="3"/>
      <c r="AE276" s="3"/>
      <c r="AF276" s="3"/>
      <c r="AG276" s="3"/>
      <c r="AH276" s="3"/>
      <c r="AI276" s="3"/>
      <c r="AJ276" s="3"/>
    </row>
    <row r="277" ht="15.75" customHeight="1">
      <c r="G277" s="424"/>
      <c r="J277" s="425"/>
      <c r="K277" s="188"/>
      <c r="L277" s="15"/>
      <c r="M277" s="15"/>
      <c r="N277" s="15"/>
      <c r="O277" s="15"/>
      <c r="P277" s="15"/>
      <c r="Q277" s="15"/>
      <c r="R277" s="15"/>
      <c r="S277" s="15"/>
      <c r="T277" s="15"/>
      <c r="U277" s="15"/>
      <c r="V277" s="15"/>
      <c r="W277" s="15"/>
      <c r="X277" s="14"/>
      <c r="Y277" s="14"/>
      <c r="Z277" s="14"/>
      <c r="AA277" s="15"/>
      <c r="AB277" s="3"/>
      <c r="AC277" s="3"/>
      <c r="AD277" s="3"/>
      <c r="AE277" s="3"/>
      <c r="AF277" s="3"/>
      <c r="AG277" s="3"/>
      <c r="AH277" s="3"/>
      <c r="AI277" s="3"/>
      <c r="AJ277" s="3"/>
    </row>
    <row r="278" ht="15.75" customHeight="1">
      <c r="G278" s="424"/>
      <c r="J278" s="425"/>
      <c r="K278" s="188"/>
      <c r="L278" s="15"/>
      <c r="M278" s="15"/>
      <c r="N278" s="15"/>
      <c r="O278" s="15"/>
      <c r="P278" s="15"/>
      <c r="Q278" s="15"/>
      <c r="R278" s="15"/>
      <c r="S278" s="15"/>
      <c r="T278" s="15"/>
      <c r="U278" s="15"/>
      <c r="V278" s="15"/>
      <c r="W278" s="15"/>
      <c r="X278" s="14"/>
      <c r="Y278" s="14"/>
      <c r="Z278" s="14"/>
      <c r="AA278" s="15"/>
      <c r="AB278" s="3"/>
      <c r="AC278" s="3"/>
      <c r="AD278" s="3"/>
      <c r="AE278" s="3"/>
      <c r="AF278" s="3"/>
      <c r="AG278" s="3"/>
      <c r="AH278" s="3"/>
      <c r="AI278" s="3"/>
      <c r="AJ278" s="3"/>
    </row>
    <row r="279" ht="15.75" customHeight="1">
      <c r="G279" s="424"/>
      <c r="J279" s="425"/>
      <c r="K279" s="188"/>
      <c r="L279" s="15"/>
      <c r="M279" s="15"/>
      <c r="N279" s="15"/>
      <c r="O279" s="15"/>
      <c r="P279" s="15"/>
      <c r="Q279" s="15"/>
      <c r="R279" s="15"/>
      <c r="S279" s="15"/>
      <c r="T279" s="15"/>
      <c r="U279" s="15"/>
      <c r="V279" s="15"/>
      <c r="W279" s="15"/>
      <c r="X279" s="14"/>
      <c r="Y279" s="14"/>
      <c r="Z279" s="14"/>
      <c r="AA279" s="15"/>
      <c r="AB279" s="3"/>
      <c r="AC279" s="3"/>
      <c r="AD279" s="3"/>
      <c r="AE279" s="3"/>
      <c r="AF279" s="3"/>
      <c r="AG279" s="3"/>
      <c r="AH279" s="3"/>
      <c r="AI279" s="3"/>
      <c r="AJ279" s="3"/>
    </row>
    <row r="280" ht="15.75" customHeight="1">
      <c r="G280" s="424"/>
      <c r="J280" s="425"/>
      <c r="K280" s="188"/>
      <c r="L280" s="15"/>
      <c r="M280" s="15"/>
      <c r="N280" s="15"/>
      <c r="O280" s="15"/>
      <c r="P280" s="15"/>
      <c r="Q280" s="15"/>
      <c r="R280" s="15"/>
      <c r="S280" s="15"/>
      <c r="T280" s="15"/>
      <c r="U280" s="15"/>
      <c r="V280" s="15"/>
      <c r="W280" s="15"/>
      <c r="X280" s="14"/>
      <c r="Y280" s="14"/>
      <c r="Z280" s="14"/>
      <c r="AA280" s="15"/>
      <c r="AB280" s="3"/>
      <c r="AC280" s="3"/>
      <c r="AD280" s="3"/>
      <c r="AE280" s="3"/>
      <c r="AF280" s="3"/>
      <c r="AG280" s="3"/>
      <c r="AH280" s="3"/>
      <c r="AI280" s="3"/>
      <c r="AJ280" s="3"/>
    </row>
    <row r="281" ht="15.75" customHeight="1">
      <c r="G281" s="424"/>
      <c r="J281" s="425"/>
      <c r="K281" s="188"/>
      <c r="L281" s="15"/>
      <c r="M281" s="15"/>
      <c r="N281" s="15"/>
      <c r="O281" s="15"/>
      <c r="P281" s="15"/>
      <c r="Q281" s="15"/>
      <c r="R281" s="15"/>
      <c r="S281" s="15"/>
      <c r="T281" s="15"/>
      <c r="U281" s="15"/>
      <c r="V281" s="15"/>
      <c r="W281" s="15"/>
      <c r="X281" s="14"/>
      <c r="Y281" s="14"/>
      <c r="Z281" s="14"/>
      <c r="AA281" s="15"/>
      <c r="AB281" s="3"/>
      <c r="AC281" s="3"/>
      <c r="AD281" s="3"/>
      <c r="AE281" s="3"/>
      <c r="AF281" s="3"/>
      <c r="AG281" s="3"/>
      <c r="AH281" s="3"/>
      <c r="AI281" s="3"/>
      <c r="AJ281" s="3"/>
    </row>
    <row r="282" ht="15.75" customHeight="1">
      <c r="G282" s="424"/>
      <c r="J282" s="425"/>
      <c r="K282" s="188"/>
      <c r="L282" s="15"/>
      <c r="M282" s="15"/>
      <c r="N282" s="15"/>
      <c r="O282" s="15"/>
      <c r="P282" s="15"/>
      <c r="Q282" s="15"/>
      <c r="R282" s="15"/>
      <c r="S282" s="15"/>
      <c r="T282" s="15"/>
      <c r="U282" s="15"/>
      <c r="V282" s="15"/>
      <c r="W282" s="15"/>
      <c r="X282" s="14"/>
      <c r="Y282" s="14"/>
      <c r="Z282" s="14"/>
      <c r="AA282" s="15"/>
      <c r="AB282" s="3"/>
      <c r="AC282" s="3"/>
      <c r="AD282" s="3"/>
      <c r="AE282" s="3"/>
      <c r="AF282" s="3"/>
      <c r="AG282" s="3"/>
      <c r="AH282" s="3"/>
      <c r="AI282" s="3"/>
      <c r="AJ282" s="3"/>
    </row>
    <row r="283" ht="15.75" customHeight="1">
      <c r="G283" s="424"/>
      <c r="J283" s="425"/>
      <c r="K283" s="188"/>
      <c r="L283" s="15"/>
      <c r="M283" s="15"/>
      <c r="N283" s="15"/>
      <c r="O283" s="15"/>
      <c r="P283" s="15"/>
      <c r="Q283" s="15"/>
      <c r="R283" s="15"/>
      <c r="S283" s="15"/>
      <c r="T283" s="15"/>
      <c r="U283" s="15"/>
      <c r="V283" s="15"/>
      <c r="W283" s="15"/>
      <c r="X283" s="14"/>
      <c r="Y283" s="14"/>
      <c r="Z283" s="14"/>
      <c r="AA283" s="15"/>
      <c r="AB283" s="3"/>
      <c r="AC283" s="3"/>
      <c r="AD283" s="3"/>
      <c r="AE283" s="3"/>
      <c r="AF283" s="3"/>
      <c r="AG283" s="3"/>
      <c r="AH283" s="3"/>
      <c r="AI283" s="3"/>
      <c r="AJ283" s="3"/>
    </row>
    <row r="284" ht="15.75" customHeight="1">
      <c r="G284" s="424"/>
      <c r="J284" s="425"/>
      <c r="K284" s="188"/>
      <c r="L284" s="15"/>
      <c r="M284" s="15"/>
      <c r="N284" s="15"/>
      <c r="O284" s="15"/>
      <c r="P284" s="15"/>
      <c r="Q284" s="15"/>
      <c r="R284" s="15"/>
      <c r="S284" s="15"/>
      <c r="T284" s="15"/>
      <c r="U284" s="15"/>
      <c r="V284" s="15"/>
      <c r="W284" s="15"/>
      <c r="X284" s="14"/>
      <c r="Y284" s="14"/>
      <c r="Z284" s="14"/>
      <c r="AA284" s="15"/>
      <c r="AB284" s="3"/>
      <c r="AC284" s="3"/>
      <c r="AD284" s="3"/>
      <c r="AE284" s="3"/>
      <c r="AF284" s="3"/>
      <c r="AG284" s="3"/>
      <c r="AH284" s="3"/>
      <c r="AI284" s="3"/>
      <c r="AJ284" s="3"/>
    </row>
    <row r="285" ht="15.75" customHeight="1">
      <c r="G285" s="424"/>
      <c r="J285" s="425"/>
      <c r="K285" s="188"/>
      <c r="L285" s="15"/>
      <c r="M285" s="15"/>
      <c r="N285" s="15"/>
      <c r="O285" s="15"/>
      <c r="P285" s="15"/>
      <c r="Q285" s="15"/>
      <c r="R285" s="15"/>
      <c r="S285" s="15"/>
      <c r="T285" s="15"/>
      <c r="U285" s="15"/>
      <c r="V285" s="15"/>
      <c r="W285" s="15"/>
      <c r="X285" s="14"/>
      <c r="Y285" s="14"/>
      <c r="Z285" s="14"/>
      <c r="AA285" s="15"/>
      <c r="AB285" s="3"/>
      <c r="AC285" s="3"/>
      <c r="AD285" s="3"/>
      <c r="AE285" s="3"/>
      <c r="AF285" s="3"/>
      <c r="AG285" s="3"/>
      <c r="AH285" s="3"/>
      <c r="AI285" s="3"/>
      <c r="AJ285" s="3"/>
    </row>
    <row r="286" ht="15.75" customHeight="1">
      <c r="G286" s="424"/>
      <c r="J286" s="425"/>
      <c r="K286" s="188"/>
      <c r="L286" s="15"/>
      <c r="M286" s="15"/>
      <c r="N286" s="15"/>
      <c r="O286" s="15"/>
      <c r="P286" s="15"/>
      <c r="Q286" s="15"/>
      <c r="R286" s="15"/>
      <c r="S286" s="15"/>
      <c r="T286" s="15"/>
      <c r="U286" s="15"/>
      <c r="V286" s="15"/>
      <c r="W286" s="15"/>
      <c r="X286" s="14"/>
      <c r="Y286" s="14"/>
      <c r="Z286" s="14"/>
      <c r="AA286" s="15"/>
      <c r="AB286" s="3"/>
      <c r="AC286" s="3"/>
      <c r="AD286" s="3"/>
      <c r="AE286" s="3"/>
      <c r="AF286" s="3"/>
      <c r="AG286" s="3"/>
      <c r="AH286" s="3"/>
      <c r="AI286" s="3"/>
      <c r="AJ286" s="3"/>
    </row>
    <row r="287" ht="15.75" customHeight="1">
      <c r="G287" s="424"/>
      <c r="J287" s="425"/>
      <c r="K287" s="188"/>
      <c r="L287" s="15"/>
      <c r="M287" s="15"/>
      <c r="N287" s="15"/>
      <c r="O287" s="15"/>
      <c r="P287" s="15"/>
      <c r="Q287" s="15"/>
      <c r="R287" s="15"/>
      <c r="S287" s="15"/>
      <c r="T287" s="15"/>
      <c r="U287" s="15"/>
      <c r="V287" s="15"/>
      <c r="W287" s="15"/>
      <c r="X287" s="14"/>
      <c r="Y287" s="14"/>
      <c r="Z287" s="14"/>
      <c r="AA287" s="15"/>
      <c r="AB287" s="3"/>
      <c r="AC287" s="3"/>
      <c r="AD287" s="3"/>
      <c r="AE287" s="3"/>
      <c r="AF287" s="3"/>
      <c r="AG287" s="3"/>
      <c r="AH287" s="3"/>
      <c r="AI287" s="3"/>
      <c r="AJ287" s="3"/>
    </row>
    <row r="288" ht="15.75" customHeight="1">
      <c r="G288" s="424"/>
      <c r="J288" s="425"/>
      <c r="K288" s="188"/>
      <c r="L288" s="15"/>
      <c r="M288" s="15"/>
      <c r="N288" s="15"/>
      <c r="O288" s="15"/>
      <c r="P288" s="15"/>
      <c r="Q288" s="15"/>
      <c r="R288" s="15"/>
      <c r="S288" s="15"/>
      <c r="T288" s="15"/>
      <c r="U288" s="15"/>
      <c r="V288" s="15"/>
      <c r="W288" s="15"/>
      <c r="X288" s="14"/>
      <c r="Y288" s="14"/>
      <c r="Z288" s="14"/>
      <c r="AA288" s="15"/>
      <c r="AB288" s="3"/>
      <c r="AC288" s="3"/>
      <c r="AD288" s="3"/>
      <c r="AE288" s="3"/>
      <c r="AF288" s="3"/>
      <c r="AG288" s="3"/>
      <c r="AH288" s="3"/>
      <c r="AI288" s="3"/>
      <c r="AJ288" s="3"/>
    </row>
    <row r="289" ht="15.75" customHeight="1">
      <c r="G289" s="424"/>
      <c r="J289" s="425"/>
      <c r="K289" s="188"/>
      <c r="L289" s="15"/>
      <c r="M289" s="15"/>
      <c r="N289" s="15"/>
      <c r="O289" s="15"/>
      <c r="P289" s="15"/>
      <c r="Q289" s="15"/>
      <c r="R289" s="15"/>
      <c r="S289" s="15"/>
      <c r="T289" s="15"/>
      <c r="U289" s="15"/>
      <c r="V289" s="15"/>
      <c r="W289" s="15"/>
      <c r="X289" s="14"/>
      <c r="Y289" s="14"/>
      <c r="Z289" s="14"/>
      <c r="AA289" s="15"/>
      <c r="AB289" s="3"/>
      <c r="AC289" s="3"/>
      <c r="AD289" s="3"/>
      <c r="AE289" s="3"/>
      <c r="AF289" s="3"/>
      <c r="AG289" s="3"/>
      <c r="AH289" s="3"/>
      <c r="AI289" s="3"/>
      <c r="AJ289" s="3"/>
    </row>
    <row r="290" ht="15.75" customHeight="1">
      <c r="G290" s="424"/>
      <c r="J290" s="425"/>
      <c r="K290" s="188"/>
      <c r="L290" s="15"/>
      <c r="M290" s="15"/>
      <c r="N290" s="15"/>
      <c r="O290" s="15"/>
      <c r="P290" s="15"/>
      <c r="Q290" s="15"/>
      <c r="R290" s="15"/>
      <c r="S290" s="15"/>
      <c r="T290" s="15"/>
      <c r="U290" s="15"/>
      <c r="V290" s="15"/>
      <c r="W290" s="15"/>
      <c r="X290" s="14"/>
      <c r="Y290" s="14"/>
      <c r="Z290" s="14"/>
      <c r="AA290" s="15"/>
      <c r="AB290" s="3"/>
      <c r="AC290" s="3"/>
      <c r="AD290" s="3"/>
      <c r="AE290" s="3"/>
      <c r="AF290" s="3"/>
      <c r="AG290" s="3"/>
      <c r="AH290" s="3"/>
      <c r="AI290" s="3"/>
      <c r="AJ290" s="3"/>
    </row>
    <row r="291" ht="15.75" customHeight="1">
      <c r="G291" s="424"/>
      <c r="J291" s="425"/>
      <c r="K291" s="188"/>
      <c r="L291" s="15"/>
      <c r="M291" s="15"/>
      <c r="N291" s="15"/>
      <c r="O291" s="15"/>
      <c r="P291" s="15"/>
      <c r="Q291" s="15"/>
      <c r="R291" s="15"/>
      <c r="S291" s="15"/>
      <c r="T291" s="15"/>
      <c r="U291" s="15"/>
      <c r="V291" s="15"/>
      <c r="W291" s="15"/>
      <c r="X291" s="14"/>
      <c r="Y291" s="14"/>
      <c r="Z291" s="14"/>
      <c r="AA291" s="15"/>
      <c r="AB291" s="3"/>
      <c r="AC291" s="3"/>
      <c r="AD291" s="3"/>
      <c r="AE291" s="3"/>
      <c r="AF291" s="3"/>
      <c r="AG291" s="3"/>
      <c r="AH291" s="3"/>
      <c r="AI291" s="3"/>
      <c r="AJ291" s="3"/>
    </row>
    <row r="292" ht="15.75" customHeight="1">
      <c r="G292" s="424"/>
      <c r="J292" s="425"/>
      <c r="K292" s="188"/>
      <c r="L292" s="15"/>
      <c r="M292" s="15"/>
      <c r="N292" s="15"/>
      <c r="O292" s="15"/>
      <c r="P292" s="15"/>
      <c r="Q292" s="15"/>
      <c r="R292" s="15"/>
      <c r="S292" s="15"/>
      <c r="T292" s="15"/>
      <c r="U292" s="15"/>
      <c r="V292" s="15"/>
      <c r="W292" s="15"/>
      <c r="X292" s="14"/>
      <c r="Y292" s="14"/>
      <c r="Z292" s="14"/>
      <c r="AA292" s="15"/>
      <c r="AB292" s="3"/>
      <c r="AC292" s="3"/>
      <c r="AD292" s="3"/>
      <c r="AE292" s="3"/>
      <c r="AF292" s="3"/>
      <c r="AG292" s="3"/>
      <c r="AH292" s="3"/>
      <c r="AI292" s="3"/>
      <c r="AJ292" s="3"/>
    </row>
    <row r="293" ht="15.75" customHeight="1">
      <c r="G293" s="424"/>
      <c r="J293" s="425"/>
      <c r="K293" s="188"/>
      <c r="L293" s="15"/>
      <c r="M293" s="15"/>
      <c r="N293" s="15"/>
      <c r="O293" s="15"/>
      <c r="P293" s="15"/>
      <c r="Q293" s="15"/>
      <c r="R293" s="15"/>
      <c r="S293" s="15"/>
      <c r="T293" s="15"/>
      <c r="U293" s="15"/>
      <c r="V293" s="15"/>
      <c r="W293" s="15"/>
      <c r="X293" s="14"/>
      <c r="Y293" s="14"/>
      <c r="Z293" s="14"/>
      <c r="AA293" s="15"/>
      <c r="AB293" s="3"/>
      <c r="AC293" s="3"/>
      <c r="AD293" s="3"/>
      <c r="AE293" s="3"/>
      <c r="AF293" s="3"/>
      <c r="AG293" s="3"/>
      <c r="AH293" s="3"/>
      <c r="AI293" s="3"/>
      <c r="AJ293" s="3"/>
    </row>
    <row r="294" ht="15.75" customHeight="1">
      <c r="G294" s="424"/>
      <c r="J294" s="425"/>
      <c r="K294" s="188"/>
      <c r="L294" s="15"/>
      <c r="M294" s="15"/>
      <c r="N294" s="15"/>
      <c r="O294" s="15"/>
      <c r="P294" s="15"/>
      <c r="Q294" s="15"/>
      <c r="R294" s="15"/>
      <c r="S294" s="15"/>
      <c r="T294" s="15"/>
      <c r="U294" s="15"/>
      <c r="V294" s="15"/>
      <c r="W294" s="15"/>
      <c r="X294" s="14"/>
      <c r="Y294" s="14"/>
      <c r="Z294" s="14"/>
      <c r="AA294" s="15"/>
      <c r="AB294" s="3"/>
      <c r="AC294" s="3"/>
      <c r="AD294" s="3"/>
      <c r="AE294" s="3"/>
      <c r="AF294" s="3"/>
      <c r="AG294" s="3"/>
      <c r="AH294" s="3"/>
      <c r="AI294" s="3"/>
      <c r="AJ294" s="3"/>
    </row>
    <row r="295" ht="15.75" customHeight="1">
      <c r="G295" s="424"/>
      <c r="J295" s="425"/>
      <c r="K295" s="188"/>
      <c r="L295" s="15"/>
      <c r="M295" s="15"/>
      <c r="N295" s="15"/>
      <c r="O295" s="15"/>
      <c r="P295" s="15"/>
      <c r="Q295" s="15"/>
      <c r="R295" s="15"/>
      <c r="S295" s="15"/>
      <c r="T295" s="15"/>
      <c r="U295" s="15"/>
      <c r="V295" s="15"/>
      <c r="W295" s="15"/>
      <c r="X295" s="14"/>
      <c r="Y295" s="14"/>
      <c r="Z295" s="14"/>
      <c r="AA295" s="15"/>
      <c r="AB295" s="3"/>
      <c r="AC295" s="3"/>
      <c r="AD295" s="3"/>
      <c r="AE295" s="3"/>
      <c r="AF295" s="3"/>
      <c r="AG295" s="3"/>
      <c r="AH295" s="3"/>
      <c r="AI295" s="3"/>
      <c r="AJ295" s="3"/>
    </row>
    <row r="296" ht="15.75" customHeight="1">
      <c r="G296" s="424"/>
      <c r="J296" s="425"/>
      <c r="K296" s="188"/>
      <c r="L296" s="15"/>
      <c r="M296" s="15"/>
      <c r="N296" s="15"/>
      <c r="O296" s="15"/>
      <c r="P296" s="15"/>
      <c r="Q296" s="15"/>
      <c r="R296" s="15"/>
      <c r="S296" s="15"/>
      <c r="T296" s="15"/>
      <c r="U296" s="15"/>
      <c r="V296" s="15"/>
      <c r="W296" s="15"/>
      <c r="X296" s="14"/>
      <c r="Y296" s="14"/>
      <c r="Z296" s="14"/>
      <c r="AA296" s="15"/>
      <c r="AB296" s="3"/>
      <c r="AC296" s="3"/>
      <c r="AD296" s="3"/>
      <c r="AE296" s="3"/>
      <c r="AF296" s="3"/>
      <c r="AG296" s="3"/>
      <c r="AH296" s="3"/>
      <c r="AI296" s="3"/>
      <c r="AJ296" s="3"/>
    </row>
    <row r="297" ht="15.75" customHeight="1">
      <c r="G297" s="424"/>
      <c r="J297" s="425"/>
      <c r="K297" s="188"/>
      <c r="L297" s="15"/>
      <c r="M297" s="15"/>
      <c r="N297" s="15"/>
      <c r="O297" s="15"/>
      <c r="P297" s="15"/>
      <c r="Q297" s="15"/>
      <c r="R297" s="15"/>
      <c r="S297" s="15"/>
      <c r="T297" s="15"/>
      <c r="U297" s="15"/>
      <c r="V297" s="15"/>
      <c r="W297" s="15"/>
      <c r="X297" s="14"/>
      <c r="Y297" s="14"/>
      <c r="Z297" s="14"/>
      <c r="AA297" s="15"/>
      <c r="AB297" s="3"/>
      <c r="AC297" s="3"/>
      <c r="AD297" s="3"/>
      <c r="AE297" s="3"/>
      <c r="AF297" s="3"/>
      <c r="AG297" s="3"/>
      <c r="AH297" s="3"/>
      <c r="AI297" s="3"/>
      <c r="AJ297" s="3"/>
    </row>
    <row r="298" ht="15.75" customHeight="1">
      <c r="G298" s="424"/>
      <c r="J298" s="425"/>
      <c r="K298" s="188"/>
      <c r="L298" s="15"/>
      <c r="M298" s="15"/>
      <c r="N298" s="15"/>
      <c r="O298" s="15"/>
      <c r="P298" s="15"/>
      <c r="Q298" s="15"/>
      <c r="R298" s="15"/>
      <c r="S298" s="15"/>
      <c r="T298" s="15"/>
      <c r="U298" s="15"/>
      <c r="V298" s="15"/>
      <c r="W298" s="15"/>
      <c r="X298" s="14"/>
      <c r="Y298" s="14"/>
      <c r="Z298" s="14"/>
      <c r="AA298" s="15"/>
      <c r="AB298" s="3"/>
      <c r="AC298" s="3"/>
      <c r="AD298" s="3"/>
      <c r="AE298" s="3"/>
      <c r="AF298" s="3"/>
      <c r="AG298" s="3"/>
      <c r="AH298" s="3"/>
      <c r="AI298" s="3"/>
      <c r="AJ298" s="3"/>
    </row>
    <row r="299" ht="15.75" customHeight="1">
      <c r="G299" s="424"/>
      <c r="J299" s="425"/>
      <c r="K299" s="188"/>
      <c r="L299" s="15"/>
      <c r="M299" s="15"/>
      <c r="N299" s="15"/>
      <c r="O299" s="15"/>
      <c r="P299" s="15"/>
      <c r="Q299" s="15"/>
      <c r="R299" s="15"/>
      <c r="S299" s="15"/>
      <c r="T299" s="15"/>
      <c r="U299" s="15"/>
      <c r="V299" s="15"/>
      <c r="W299" s="15"/>
      <c r="X299" s="14"/>
      <c r="Y299" s="14"/>
      <c r="Z299" s="14"/>
      <c r="AA299" s="15"/>
      <c r="AB299" s="3"/>
      <c r="AC299" s="3"/>
      <c r="AD299" s="3"/>
      <c r="AE299" s="3"/>
      <c r="AF299" s="3"/>
      <c r="AG299" s="3"/>
      <c r="AH299" s="3"/>
      <c r="AI299" s="3"/>
      <c r="AJ299" s="3"/>
    </row>
    <row r="300" ht="15.75" customHeight="1">
      <c r="G300" s="424"/>
      <c r="J300" s="425"/>
      <c r="K300" s="188"/>
      <c r="L300" s="15"/>
      <c r="M300" s="15"/>
      <c r="N300" s="15"/>
      <c r="O300" s="15"/>
      <c r="P300" s="15"/>
      <c r="Q300" s="15"/>
      <c r="R300" s="15"/>
      <c r="S300" s="15"/>
      <c r="T300" s="15"/>
      <c r="U300" s="15"/>
      <c r="V300" s="15"/>
      <c r="W300" s="15"/>
      <c r="X300" s="14"/>
      <c r="Y300" s="14"/>
      <c r="Z300" s="14"/>
      <c r="AA300" s="15"/>
      <c r="AB300" s="3"/>
      <c r="AC300" s="3"/>
      <c r="AD300" s="3"/>
      <c r="AE300" s="3"/>
      <c r="AF300" s="3"/>
      <c r="AG300" s="3"/>
      <c r="AH300" s="3"/>
      <c r="AI300" s="3"/>
      <c r="AJ300" s="3"/>
    </row>
    <row r="301" ht="15.75" customHeight="1">
      <c r="G301" s="424"/>
      <c r="J301" s="425"/>
      <c r="K301" s="188"/>
      <c r="L301" s="15"/>
      <c r="M301" s="15"/>
      <c r="N301" s="15"/>
      <c r="O301" s="15"/>
      <c r="P301" s="15"/>
      <c r="Q301" s="15"/>
      <c r="R301" s="15"/>
      <c r="S301" s="15"/>
      <c r="T301" s="15"/>
      <c r="U301" s="15"/>
      <c r="V301" s="15"/>
      <c r="W301" s="15"/>
      <c r="X301" s="14"/>
      <c r="Y301" s="14"/>
      <c r="Z301" s="14"/>
      <c r="AA301" s="15"/>
      <c r="AB301" s="3"/>
      <c r="AC301" s="3"/>
      <c r="AD301" s="3"/>
      <c r="AE301" s="3"/>
      <c r="AF301" s="3"/>
      <c r="AG301" s="3"/>
      <c r="AH301" s="3"/>
      <c r="AI301" s="3"/>
      <c r="AJ301" s="3"/>
    </row>
    <row r="302" ht="15.75" customHeight="1">
      <c r="G302" s="424"/>
      <c r="J302" s="425"/>
      <c r="K302" s="188"/>
      <c r="L302" s="15"/>
      <c r="M302" s="15"/>
      <c r="N302" s="15"/>
      <c r="O302" s="15"/>
      <c r="P302" s="15"/>
      <c r="Q302" s="15"/>
      <c r="R302" s="15"/>
      <c r="S302" s="15"/>
      <c r="T302" s="15"/>
      <c r="U302" s="15"/>
      <c r="V302" s="15"/>
      <c r="W302" s="15"/>
      <c r="X302" s="14"/>
      <c r="Y302" s="14"/>
      <c r="Z302" s="14"/>
      <c r="AA302" s="15"/>
      <c r="AB302" s="3"/>
      <c r="AC302" s="3"/>
      <c r="AD302" s="3"/>
      <c r="AE302" s="3"/>
      <c r="AF302" s="3"/>
      <c r="AG302" s="3"/>
      <c r="AH302" s="3"/>
      <c r="AI302" s="3"/>
      <c r="AJ302" s="3"/>
    </row>
    <row r="303" ht="15.75" customHeight="1">
      <c r="G303" s="424"/>
      <c r="J303" s="425"/>
      <c r="K303" s="188"/>
      <c r="L303" s="15"/>
      <c r="M303" s="15"/>
      <c r="N303" s="15"/>
      <c r="O303" s="15"/>
      <c r="P303" s="15"/>
      <c r="Q303" s="15"/>
      <c r="R303" s="15"/>
      <c r="S303" s="15"/>
      <c r="T303" s="15"/>
      <c r="U303" s="15"/>
      <c r="V303" s="15"/>
      <c r="W303" s="15"/>
      <c r="X303" s="14"/>
      <c r="Y303" s="14"/>
      <c r="Z303" s="14"/>
      <c r="AA303" s="15"/>
      <c r="AB303" s="3"/>
      <c r="AC303" s="3"/>
      <c r="AD303" s="3"/>
      <c r="AE303" s="3"/>
      <c r="AF303" s="3"/>
      <c r="AG303" s="3"/>
      <c r="AH303" s="3"/>
      <c r="AI303" s="3"/>
      <c r="AJ303" s="3"/>
    </row>
    <row r="304" ht="15.75" customHeight="1">
      <c r="G304" s="424"/>
      <c r="J304" s="425"/>
      <c r="K304" s="188"/>
      <c r="L304" s="15"/>
      <c r="M304" s="15"/>
      <c r="N304" s="15"/>
      <c r="O304" s="15"/>
      <c r="P304" s="15"/>
      <c r="Q304" s="15"/>
      <c r="R304" s="15"/>
      <c r="S304" s="15"/>
      <c r="T304" s="15"/>
      <c r="U304" s="15"/>
      <c r="V304" s="15"/>
      <c r="W304" s="15"/>
      <c r="X304" s="14"/>
      <c r="Y304" s="14"/>
      <c r="Z304" s="14"/>
      <c r="AA304" s="15"/>
      <c r="AB304" s="3"/>
      <c r="AC304" s="3"/>
      <c r="AD304" s="3"/>
      <c r="AE304" s="3"/>
      <c r="AF304" s="3"/>
      <c r="AG304" s="3"/>
      <c r="AH304" s="3"/>
      <c r="AI304" s="3"/>
      <c r="AJ304" s="3"/>
    </row>
    <row r="305" ht="15.75" customHeight="1">
      <c r="G305" s="424"/>
      <c r="J305" s="425"/>
      <c r="K305" s="188"/>
      <c r="L305" s="15"/>
      <c r="M305" s="15"/>
      <c r="N305" s="15"/>
      <c r="O305" s="15"/>
      <c r="P305" s="15"/>
      <c r="Q305" s="15"/>
      <c r="R305" s="15"/>
      <c r="S305" s="15"/>
      <c r="T305" s="15"/>
      <c r="U305" s="15"/>
      <c r="V305" s="15"/>
      <c r="W305" s="15"/>
      <c r="X305" s="14"/>
      <c r="Y305" s="14"/>
      <c r="Z305" s="14"/>
      <c r="AA305" s="15"/>
      <c r="AB305" s="3"/>
      <c r="AC305" s="3"/>
      <c r="AD305" s="3"/>
      <c r="AE305" s="3"/>
      <c r="AF305" s="3"/>
      <c r="AG305" s="3"/>
      <c r="AH305" s="3"/>
      <c r="AI305" s="3"/>
      <c r="AJ305" s="3"/>
    </row>
    <row r="306" ht="15.75" customHeight="1">
      <c r="G306" s="424"/>
      <c r="J306" s="425"/>
      <c r="K306" s="188"/>
      <c r="L306" s="15"/>
      <c r="M306" s="15"/>
      <c r="N306" s="15"/>
      <c r="O306" s="15"/>
      <c r="P306" s="15"/>
      <c r="Q306" s="15"/>
      <c r="R306" s="15"/>
      <c r="S306" s="15"/>
      <c r="T306" s="15"/>
      <c r="U306" s="15"/>
      <c r="V306" s="15"/>
      <c r="W306" s="15"/>
      <c r="X306" s="14"/>
      <c r="Y306" s="14"/>
      <c r="Z306" s="14"/>
      <c r="AA306" s="15"/>
      <c r="AB306" s="3"/>
      <c r="AC306" s="3"/>
      <c r="AD306" s="3"/>
      <c r="AE306" s="3"/>
      <c r="AF306" s="3"/>
      <c r="AG306" s="3"/>
      <c r="AH306" s="3"/>
      <c r="AI306" s="3"/>
      <c r="AJ306" s="3"/>
    </row>
    <row r="307" ht="15.75" customHeight="1">
      <c r="G307" s="424"/>
      <c r="J307" s="425"/>
      <c r="K307" s="188"/>
      <c r="L307" s="15"/>
      <c r="M307" s="15"/>
      <c r="N307" s="15"/>
      <c r="O307" s="15"/>
      <c r="P307" s="15"/>
      <c r="Q307" s="15"/>
      <c r="R307" s="15"/>
      <c r="S307" s="15"/>
      <c r="T307" s="15"/>
      <c r="U307" s="15"/>
      <c r="V307" s="15"/>
      <c r="W307" s="15"/>
      <c r="X307" s="14"/>
      <c r="Y307" s="14"/>
      <c r="Z307" s="14"/>
      <c r="AA307" s="15"/>
      <c r="AB307" s="3"/>
      <c r="AC307" s="3"/>
      <c r="AD307" s="3"/>
      <c r="AE307" s="3"/>
      <c r="AF307" s="3"/>
      <c r="AG307" s="3"/>
      <c r="AH307" s="3"/>
      <c r="AI307" s="3"/>
      <c r="AJ307" s="3"/>
    </row>
    <row r="308" ht="15.75" customHeight="1">
      <c r="G308" s="424"/>
      <c r="J308" s="425"/>
      <c r="K308" s="188"/>
      <c r="L308" s="15"/>
      <c r="M308" s="15"/>
      <c r="N308" s="15"/>
      <c r="O308" s="15"/>
      <c r="P308" s="15"/>
      <c r="Q308" s="15"/>
      <c r="R308" s="15"/>
      <c r="S308" s="15"/>
      <c r="T308" s="15"/>
      <c r="U308" s="15"/>
      <c r="V308" s="15"/>
      <c r="W308" s="15"/>
      <c r="X308" s="14"/>
      <c r="Y308" s="14"/>
      <c r="Z308" s="14"/>
      <c r="AA308" s="15"/>
      <c r="AB308" s="3"/>
      <c r="AC308" s="3"/>
      <c r="AD308" s="3"/>
      <c r="AE308" s="3"/>
      <c r="AF308" s="3"/>
      <c r="AG308" s="3"/>
      <c r="AH308" s="3"/>
      <c r="AI308" s="3"/>
      <c r="AJ308" s="3"/>
    </row>
    <row r="309" ht="15.75" customHeight="1">
      <c r="G309" s="424"/>
      <c r="J309" s="425"/>
      <c r="K309" s="188"/>
      <c r="L309" s="15"/>
      <c r="M309" s="15"/>
      <c r="N309" s="15"/>
      <c r="O309" s="15"/>
      <c r="P309" s="15"/>
      <c r="Q309" s="15"/>
      <c r="R309" s="15"/>
      <c r="S309" s="15"/>
      <c r="T309" s="15"/>
      <c r="U309" s="15"/>
      <c r="V309" s="15"/>
      <c r="W309" s="15"/>
      <c r="X309" s="14"/>
      <c r="Y309" s="14"/>
      <c r="Z309" s="14"/>
      <c r="AA309" s="15"/>
      <c r="AB309" s="3"/>
      <c r="AC309" s="3"/>
      <c r="AD309" s="3"/>
      <c r="AE309" s="3"/>
      <c r="AF309" s="3"/>
      <c r="AG309" s="3"/>
      <c r="AH309" s="3"/>
      <c r="AI309" s="3"/>
      <c r="AJ309" s="3"/>
    </row>
    <row r="310" ht="15.75" customHeight="1">
      <c r="G310" s="424"/>
      <c r="J310" s="425"/>
      <c r="K310" s="188"/>
      <c r="L310" s="15"/>
      <c r="M310" s="15"/>
      <c r="N310" s="15"/>
      <c r="O310" s="15"/>
      <c r="P310" s="15"/>
      <c r="Q310" s="15"/>
      <c r="R310" s="15"/>
      <c r="S310" s="15"/>
      <c r="T310" s="15"/>
      <c r="U310" s="15"/>
      <c r="V310" s="15"/>
      <c r="W310" s="15"/>
      <c r="X310" s="14"/>
      <c r="Y310" s="14"/>
      <c r="Z310" s="14"/>
      <c r="AA310" s="15"/>
      <c r="AB310" s="3"/>
      <c r="AC310" s="3"/>
      <c r="AD310" s="3"/>
      <c r="AE310" s="3"/>
      <c r="AF310" s="3"/>
      <c r="AG310" s="3"/>
      <c r="AH310" s="3"/>
      <c r="AI310" s="3"/>
      <c r="AJ310" s="3"/>
    </row>
    <row r="311" ht="15.75" customHeight="1">
      <c r="G311" s="424"/>
      <c r="J311" s="425"/>
      <c r="K311" s="188"/>
      <c r="L311" s="15"/>
      <c r="M311" s="15"/>
      <c r="N311" s="15"/>
      <c r="O311" s="15"/>
      <c r="P311" s="15"/>
      <c r="Q311" s="15"/>
      <c r="R311" s="15"/>
      <c r="S311" s="15"/>
      <c r="T311" s="15"/>
      <c r="U311" s="15"/>
      <c r="V311" s="15"/>
      <c r="W311" s="15"/>
      <c r="X311" s="14"/>
      <c r="Y311" s="14"/>
      <c r="Z311" s="14"/>
      <c r="AA311" s="15"/>
      <c r="AB311" s="3"/>
      <c r="AC311" s="3"/>
      <c r="AD311" s="3"/>
      <c r="AE311" s="3"/>
      <c r="AF311" s="3"/>
      <c r="AG311" s="3"/>
      <c r="AH311" s="3"/>
      <c r="AI311" s="3"/>
      <c r="AJ311" s="3"/>
    </row>
    <row r="312" ht="15.75" customHeight="1">
      <c r="G312" s="424"/>
      <c r="J312" s="425"/>
      <c r="K312" s="188"/>
      <c r="L312" s="15"/>
      <c r="M312" s="15"/>
      <c r="N312" s="15"/>
      <c r="O312" s="15"/>
      <c r="P312" s="15"/>
      <c r="Q312" s="15"/>
      <c r="R312" s="15"/>
      <c r="S312" s="15"/>
      <c r="T312" s="15"/>
      <c r="U312" s="15"/>
      <c r="V312" s="15"/>
      <c r="W312" s="15"/>
      <c r="X312" s="14"/>
      <c r="Y312" s="14"/>
      <c r="Z312" s="14"/>
      <c r="AA312" s="15"/>
      <c r="AB312" s="3"/>
      <c r="AC312" s="3"/>
      <c r="AD312" s="3"/>
      <c r="AE312" s="3"/>
      <c r="AF312" s="3"/>
      <c r="AG312" s="3"/>
      <c r="AH312" s="3"/>
      <c r="AI312" s="3"/>
      <c r="AJ312" s="3"/>
    </row>
    <row r="313" ht="15.75" customHeight="1">
      <c r="G313" s="424"/>
      <c r="J313" s="425"/>
      <c r="K313" s="188"/>
      <c r="L313" s="15"/>
      <c r="M313" s="15"/>
      <c r="N313" s="15"/>
      <c r="O313" s="15"/>
      <c r="P313" s="15"/>
      <c r="Q313" s="15"/>
      <c r="R313" s="15"/>
      <c r="S313" s="15"/>
      <c r="T313" s="15"/>
      <c r="U313" s="15"/>
      <c r="V313" s="15"/>
      <c r="W313" s="15"/>
      <c r="X313" s="14"/>
      <c r="Y313" s="14"/>
      <c r="Z313" s="14"/>
      <c r="AA313" s="15"/>
      <c r="AB313" s="3"/>
      <c r="AC313" s="3"/>
      <c r="AD313" s="3"/>
      <c r="AE313" s="3"/>
      <c r="AF313" s="3"/>
      <c r="AG313" s="3"/>
      <c r="AH313" s="3"/>
      <c r="AI313" s="3"/>
      <c r="AJ313" s="3"/>
    </row>
    <row r="314" ht="15.75" customHeight="1">
      <c r="G314" s="424"/>
      <c r="J314" s="425"/>
      <c r="K314" s="188"/>
      <c r="L314" s="15"/>
      <c r="M314" s="15"/>
      <c r="N314" s="15"/>
      <c r="O314" s="15"/>
      <c r="P314" s="15"/>
      <c r="Q314" s="15"/>
      <c r="R314" s="15"/>
      <c r="S314" s="15"/>
      <c r="T314" s="15"/>
      <c r="U314" s="15"/>
      <c r="V314" s="15"/>
      <c r="W314" s="15"/>
      <c r="X314" s="14"/>
      <c r="Y314" s="14"/>
      <c r="Z314" s="14"/>
      <c r="AA314" s="15"/>
      <c r="AB314" s="3"/>
      <c r="AC314" s="3"/>
      <c r="AD314" s="3"/>
      <c r="AE314" s="3"/>
      <c r="AF314" s="3"/>
      <c r="AG314" s="3"/>
      <c r="AH314" s="3"/>
      <c r="AI314" s="3"/>
      <c r="AJ314" s="3"/>
    </row>
    <row r="315" ht="15.75" customHeight="1">
      <c r="G315" s="424"/>
      <c r="J315" s="425"/>
      <c r="K315" s="188"/>
      <c r="L315" s="15"/>
      <c r="M315" s="15"/>
      <c r="N315" s="15"/>
      <c r="O315" s="15"/>
      <c r="P315" s="15"/>
      <c r="Q315" s="15"/>
      <c r="R315" s="15"/>
      <c r="S315" s="15"/>
      <c r="T315" s="15"/>
      <c r="U315" s="15"/>
      <c r="V315" s="15"/>
      <c r="W315" s="15"/>
      <c r="X315" s="14"/>
      <c r="Y315" s="14"/>
      <c r="Z315" s="14"/>
      <c r="AA315" s="15"/>
      <c r="AB315" s="3"/>
      <c r="AC315" s="3"/>
      <c r="AD315" s="3"/>
      <c r="AE315" s="3"/>
      <c r="AF315" s="3"/>
      <c r="AG315" s="3"/>
      <c r="AH315" s="3"/>
      <c r="AI315" s="3"/>
      <c r="AJ315" s="3"/>
    </row>
    <row r="316" ht="15.75" customHeight="1">
      <c r="G316" s="424"/>
      <c r="J316" s="425"/>
      <c r="K316" s="188"/>
      <c r="L316" s="15"/>
      <c r="M316" s="15"/>
      <c r="N316" s="15"/>
      <c r="O316" s="15"/>
      <c r="P316" s="15"/>
      <c r="Q316" s="15"/>
      <c r="R316" s="15"/>
      <c r="S316" s="15"/>
      <c r="T316" s="15"/>
      <c r="U316" s="15"/>
      <c r="V316" s="15"/>
      <c r="W316" s="15"/>
      <c r="X316" s="14"/>
      <c r="Y316" s="14"/>
      <c r="Z316" s="14"/>
      <c r="AA316" s="15"/>
      <c r="AB316" s="3"/>
      <c r="AC316" s="3"/>
      <c r="AD316" s="3"/>
      <c r="AE316" s="3"/>
      <c r="AF316" s="3"/>
      <c r="AG316" s="3"/>
      <c r="AH316" s="3"/>
      <c r="AI316" s="3"/>
      <c r="AJ316" s="3"/>
    </row>
    <row r="317" ht="15.75" customHeight="1">
      <c r="G317" s="424"/>
      <c r="J317" s="425"/>
      <c r="K317" s="188"/>
      <c r="L317" s="15"/>
      <c r="M317" s="15"/>
      <c r="N317" s="15"/>
      <c r="O317" s="15"/>
      <c r="P317" s="15"/>
      <c r="Q317" s="15"/>
      <c r="R317" s="15"/>
      <c r="S317" s="15"/>
      <c r="T317" s="15"/>
      <c r="U317" s="15"/>
      <c r="V317" s="15"/>
      <c r="W317" s="15"/>
      <c r="X317" s="14"/>
      <c r="Y317" s="14"/>
      <c r="Z317" s="14"/>
      <c r="AA317" s="15"/>
      <c r="AB317" s="3"/>
      <c r="AC317" s="3"/>
      <c r="AD317" s="3"/>
      <c r="AE317" s="3"/>
      <c r="AF317" s="3"/>
      <c r="AG317" s="3"/>
      <c r="AH317" s="3"/>
      <c r="AI317" s="3"/>
      <c r="AJ317" s="3"/>
    </row>
    <row r="318" ht="15.75" customHeight="1">
      <c r="G318" s="424"/>
      <c r="J318" s="425"/>
      <c r="K318" s="188"/>
      <c r="L318" s="15"/>
      <c r="M318" s="15"/>
      <c r="N318" s="15"/>
      <c r="O318" s="15"/>
      <c r="P318" s="15"/>
      <c r="Q318" s="15"/>
      <c r="R318" s="15"/>
      <c r="S318" s="15"/>
      <c r="T318" s="15"/>
      <c r="U318" s="15"/>
      <c r="V318" s="15"/>
      <c r="W318" s="15"/>
      <c r="X318" s="14"/>
      <c r="Y318" s="14"/>
      <c r="Z318" s="14"/>
      <c r="AA318" s="15"/>
      <c r="AB318" s="3"/>
      <c r="AC318" s="3"/>
      <c r="AD318" s="3"/>
      <c r="AE318" s="3"/>
      <c r="AF318" s="3"/>
      <c r="AG318" s="3"/>
      <c r="AH318" s="3"/>
      <c r="AI318" s="3"/>
      <c r="AJ318" s="3"/>
    </row>
    <row r="319" ht="15.75" customHeight="1">
      <c r="G319" s="424"/>
      <c r="J319" s="425"/>
      <c r="K319" s="188"/>
      <c r="L319" s="15"/>
      <c r="M319" s="15"/>
      <c r="N319" s="15"/>
      <c r="O319" s="15"/>
      <c r="P319" s="15"/>
      <c r="Q319" s="15"/>
      <c r="R319" s="15"/>
      <c r="S319" s="15"/>
      <c r="T319" s="15"/>
      <c r="U319" s="15"/>
      <c r="V319" s="15"/>
      <c r="W319" s="15"/>
      <c r="X319" s="14"/>
      <c r="Y319" s="14"/>
      <c r="Z319" s="14"/>
      <c r="AA319" s="15"/>
      <c r="AB319" s="3"/>
      <c r="AC319" s="3"/>
      <c r="AD319" s="3"/>
      <c r="AE319" s="3"/>
      <c r="AF319" s="3"/>
      <c r="AG319" s="3"/>
      <c r="AH319" s="3"/>
      <c r="AI319" s="3"/>
      <c r="AJ319" s="3"/>
    </row>
    <row r="320" ht="15.75" customHeight="1">
      <c r="G320" s="424"/>
      <c r="J320" s="425"/>
      <c r="K320" s="188"/>
      <c r="L320" s="15"/>
      <c r="M320" s="15"/>
      <c r="N320" s="15"/>
      <c r="O320" s="15"/>
      <c r="P320" s="15"/>
      <c r="Q320" s="15"/>
      <c r="R320" s="15"/>
      <c r="S320" s="15"/>
      <c r="T320" s="15"/>
      <c r="U320" s="15"/>
      <c r="V320" s="15"/>
      <c r="W320" s="15"/>
      <c r="X320" s="14"/>
      <c r="Y320" s="14"/>
      <c r="Z320" s="14"/>
      <c r="AA320" s="15"/>
      <c r="AB320" s="3"/>
      <c r="AC320" s="3"/>
      <c r="AD320" s="3"/>
      <c r="AE320" s="3"/>
      <c r="AF320" s="3"/>
      <c r="AG320" s="3"/>
      <c r="AH320" s="3"/>
      <c r="AI320" s="3"/>
      <c r="AJ320" s="3"/>
    </row>
    <row r="321" ht="15.75" customHeight="1">
      <c r="G321" s="424"/>
      <c r="J321" s="425"/>
      <c r="K321" s="188"/>
      <c r="L321" s="15"/>
      <c r="M321" s="15"/>
      <c r="N321" s="15"/>
      <c r="O321" s="15"/>
      <c r="P321" s="15"/>
      <c r="Q321" s="15"/>
      <c r="R321" s="15"/>
      <c r="S321" s="15"/>
      <c r="T321" s="15"/>
      <c r="U321" s="15"/>
      <c r="V321" s="15"/>
      <c r="W321" s="15"/>
      <c r="X321" s="14"/>
      <c r="Y321" s="14"/>
      <c r="Z321" s="14"/>
      <c r="AA321" s="15"/>
      <c r="AB321" s="3"/>
      <c r="AC321" s="3"/>
      <c r="AD321" s="3"/>
      <c r="AE321" s="3"/>
      <c r="AF321" s="3"/>
      <c r="AG321" s="3"/>
      <c r="AH321" s="3"/>
      <c r="AI321" s="3"/>
      <c r="AJ321" s="3"/>
    </row>
    <row r="322" ht="15.75" customHeight="1">
      <c r="G322" s="424"/>
      <c r="J322" s="425"/>
      <c r="K322" s="188"/>
      <c r="L322" s="15"/>
      <c r="M322" s="15"/>
      <c r="N322" s="15"/>
      <c r="O322" s="15"/>
      <c r="P322" s="15"/>
      <c r="Q322" s="15"/>
      <c r="R322" s="15"/>
      <c r="S322" s="15"/>
      <c r="T322" s="15"/>
      <c r="U322" s="15"/>
      <c r="V322" s="15"/>
      <c r="W322" s="15"/>
      <c r="X322" s="14"/>
      <c r="Y322" s="14"/>
      <c r="Z322" s="14"/>
      <c r="AA322" s="15"/>
      <c r="AB322" s="3"/>
      <c r="AC322" s="3"/>
      <c r="AD322" s="3"/>
      <c r="AE322" s="3"/>
      <c r="AF322" s="3"/>
      <c r="AG322" s="3"/>
      <c r="AH322" s="3"/>
      <c r="AI322" s="3"/>
      <c r="AJ322" s="3"/>
    </row>
    <row r="323" ht="15.75" customHeight="1">
      <c r="G323" s="424"/>
      <c r="J323" s="425"/>
      <c r="K323" s="188"/>
      <c r="L323" s="15"/>
      <c r="M323" s="15"/>
      <c r="N323" s="15"/>
      <c r="O323" s="15"/>
      <c r="P323" s="15"/>
      <c r="Q323" s="15"/>
      <c r="R323" s="15"/>
      <c r="S323" s="15"/>
      <c r="T323" s="15"/>
      <c r="U323" s="15"/>
      <c r="V323" s="15"/>
      <c r="W323" s="15"/>
      <c r="X323" s="14"/>
      <c r="Y323" s="14"/>
      <c r="Z323" s="14"/>
      <c r="AA323" s="15"/>
      <c r="AB323" s="3"/>
      <c r="AC323" s="3"/>
      <c r="AD323" s="3"/>
      <c r="AE323" s="3"/>
      <c r="AF323" s="3"/>
      <c r="AG323" s="3"/>
      <c r="AH323" s="3"/>
      <c r="AI323" s="3"/>
      <c r="AJ323" s="3"/>
    </row>
    <row r="324" ht="15.75" customHeight="1">
      <c r="G324" s="424"/>
      <c r="J324" s="425"/>
      <c r="K324" s="188"/>
      <c r="L324" s="15"/>
      <c r="M324" s="15"/>
      <c r="N324" s="15"/>
      <c r="O324" s="15"/>
      <c r="P324" s="15"/>
      <c r="Q324" s="15"/>
      <c r="R324" s="15"/>
      <c r="S324" s="15"/>
      <c r="T324" s="15"/>
      <c r="U324" s="15"/>
      <c r="V324" s="15"/>
      <c r="W324" s="15"/>
      <c r="X324" s="14"/>
      <c r="Y324" s="14"/>
      <c r="Z324" s="14"/>
      <c r="AA324" s="15"/>
      <c r="AB324" s="3"/>
      <c r="AC324" s="3"/>
      <c r="AD324" s="3"/>
      <c r="AE324" s="3"/>
      <c r="AF324" s="3"/>
      <c r="AG324" s="3"/>
      <c r="AH324" s="3"/>
      <c r="AI324" s="3"/>
      <c r="AJ324" s="3"/>
    </row>
    <row r="325" ht="15.75" customHeight="1">
      <c r="G325" s="424"/>
      <c r="J325" s="425"/>
      <c r="K325" s="188"/>
      <c r="L325" s="15"/>
      <c r="M325" s="15"/>
      <c r="N325" s="15"/>
      <c r="O325" s="15"/>
      <c r="P325" s="15"/>
      <c r="Q325" s="15"/>
      <c r="R325" s="15"/>
      <c r="S325" s="15"/>
      <c r="T325" s="15"/>
      <c r="U325" s="15"/>
      <c r="V325" s="15"/>
      <c r="W325" s="15"/>
      <c r="X325" s="14"/>
      <c r="Y325" s="14"/>
      <c r="Z325" s="14"/>
      <c r="AA325" s="15"/>
      <c r="AB325" s="3"/>
      <c r="AC325" s="3"/>
      <c r="AD325" s="3"/>
      <c r="AE325" s="3"/>
      <c r="AF325" s="3"/>
      <c r="AG325" s="3"/>
      <c r="AH325" s="3"/>
      <c r="AI325" s="3"/>
      <c r="AJ325" s="3"/>
    </row>
    <row r="326" ht="15.75" customHeight="1">
      <c r="G326" s="424"/>
      <c r="J326" s="425"/>
      <c r="K326" s="188"/>
      <c r="L326" s="15"/>
      <c r="M326" s="15"/>
      <c r="N326" s="15"/>
      <c r="O326" s="15"/>
      <c r="P326" s="15"/>
      <c r="Q326" s="15"/>
      <c r="R326" s="15"/>
      <c r="S326" s="15"/>
      <c r="T326" s="15"/>
      <c r="U326" s="15"/>
      <c r="V326" s="15"/>
      <c r="W326" s="15"/>
      <c r="X326" s="14"/>
      <c r="Y326" s="14"/>
      <c r="Z326" s="14"/>
      <c r="AA326" s="15"/>
      <c r="AB326" s="3"/>
      <c r="AC326" s="3"/>
      <c r="AD326" s="3"/>
      <c r="AE326" s="3"/>
      <c r="AF326" s="3"/>
      <c r="AG326" s="3"/>
      <c r="AH326" s="3"/>
      <c r="AI326" s="3"/>
      <c r="AJ326" s="3"/>
    </row>
    <row r="327" ht="15.75" customHeight="1">
      <c r="G327" s="424"/>
      <c r="J327" s="425"/>
      <c r="K327" s="188"/>
      <c r="L327" s="15"/>
      <c r="M327" s="15"/>
      <c r="N327" s="15"/>
      <c r="O327" s="15"/>
      <c r="P327" s="15"/>
      <c r="Q327" s="15"/>
      <c r="R327" s="15"/>
      <c r="S327" s="15"/>
      <c r="T327" s="15"/>
      <c r="U327" s="15"/>
      <c r="V327" s="15"/>
      <c r="W327" s="15"/>
      <c r="X327" s="14"/>
      <c r="Y327" s="14"/>
      <c r="Z327" s="14"/>
      <c r="AA327" s="15"/>
      <c r="AB327" s="3"/>
      <c r="AC327" s="3"/>
      <c r="AD327" s="3"/>
      <c r="AE327" s="3"/>
      <c r="AF327" s="3"/>
      <c r="AG327" s="3"/>
      <c r="AH327" s="3"/>
      <c r="AI327" s="3"/>
      <c r="AJ327" s="3"/>
    </row>
    <row r="328" ht="15.75" customHeight="1">
      <c r="G328" s="424"/>
      <c r="J328" s="425"/>
      <c r="K328" s="188"/>
      <c r="L328" s="15"/>
      <c r="M328" s="15"/>
      <c r="N328" s="15"/>
      <c r="O328" s="15"/>
      <c r="P328" s="15"/>
      <c r="Q328" s="15"/>
      <c r="R328" s="15"/>
      <c r="S328" s="15"/>
      <c r="T328" s="15"/>
      <c r="U328" s="15"/>
      <c r="V328" s="15"/>
      <c r="W328" s="15"/>
      <c r="X328" s="14"/>
      <c r="Y328" s="14"/>
      <c r="Z328" s="14"/>
      <c r="AA328" s="15"/>
      <c r="AB328" s="3"/>
      <c r="AC328" s="3"/>
      <c r="AD328" s="3"/>
      <c r="AE328" s="3"/>
      <c r="AF328" s="3"/>
      <c r="AG328" s="3"/>
      <c r="AH328" s="3"/>
      <c r="AI328" s="3"/>
      <c r="AJ328" s="3"/>
    </row>
    <row r="329" ht="15.75" customHeight="1">
      <c r="G329" s="424"/>
      <c r="J329" s="425"/>
      <c r="K329" s="188"/>
      <c r="L329" s="15"/>
      <c r="M329" s="15"/>
      <c r="N329" s="15"/>
      <c r="O329" s="15"/>
      <c r="P329" s="15"/>
      <c r="Q329" s="15"/>
      <c r="R329" s="15"/>
      <c r="S329" s="15"/>
      <c r="T329" s="15"/>
      <c r="U329" s="15"/>
      <c r="V329" s="15"/>
      <c r="W329" s="15"/>
      <c r="X329" s="14"/>
      <c r="Y329" s="14"/>
      <c r="Z329" s="14"/>
      <c r="AA329" s="15"/>
      <c r="AB329" s="3"/>
      <c r="AC329" s="3"/>
      <c r="AD329" s="3"/>
      <c r="AE329" s="3"/>
      <c r="AF329" s="3"/>
      <c r="AG329" s="3"/>
      <c r="AH329" s="3"/>
      <c r="AI329" s="3"/>
      <c r="AJ329" s="3"/>
    </row>
    <row r="330" ht="15.75" customHeight="1">
      <c r="G330" s="424"/>
      <c r="J330" s="425"/>
      <c r="K330" s="188"/>
      <c r="L330" s="15"/>
      <c r="M330" s="15"/>
      <c r="N330" s="15"/>
      <c r="O330" s="15"/>
      <c r="P330" s="15"/>
      <c r="Q330" s="15"/>
      <c r="R330" s="15"/>
      <c r="S330" s="15"/>
      <c r="T330" s="15"/>
      <c r="U330" s="15"/>
      <c r="V330" s="15"/>
      <c r="W330" s="15"/>
      <c r="X330" s="14"/>
      <c r="Y330" s="14"/>
      <c r="Z330" s="14"/>
      <c r="AA330" s="15"/>
      <c r="AB330" s="3"/>
      <c r="AC330" s="3"/>
      <c r="AD330" s="3"/>
      <c r="AE330" s="3"/>
      <c r="AF330" s="3"/>
      <c r="AG330" s="3"/>
      <c r="AH330" s="3"/>
      <c r="AI330" s="3"/>
      <c r="AJ330" s="3"/>
    </row>
    <row r="331" ht="15.75" customHeight="1">
      <c r="G331" s="424"/>
      <c r="J331" s="425"/>
      <c r="K331" s="188"/>
      <c r="L331" s="15"/>
      <c r="M331" s="15"/>
      <c r="N331" s="15"/>
      <c r="O331" s="15"/>
      <c r="P331" s="15"/>
      <c r="Q331" s="15"/>
      <c r="R331" s="15"/>
      <c r="S331" s="15"/>
      <c r="T331" s="15"/>
      <c r="U331" s="15"/>
      <c r="V331" s="15"/>
      <c r="W331" s="15"/>
      <c r="X331" s="14"/>
      <c r="Y331" s="14"/>
      <c r="Z331" s="14"/>
      <c r="AA331" s="15"/>
      <c r="AB331" s="3"/>
      <c r="AC331" s="3"/>
      <c r="AD331" s="3"/>
      <c r="AE331" s="3"/>
      <c r="AF331" s="3"/>
      <c r="AG331" s="3"/>
      <c r="AH331" s="3"/>
      <c r="AI331" s="3"/>
      <c r="AJ331" s="3"/>
    </row>
    <row r="332" ht="15.75" customHeight="1">
      <c r="G332" s="424"/>
      <c r="J332" s="425"/>
      <c r="K332" s="188"/>
      <c r="L332" s="15"/>
      <c r="M332" s="15"/>
      <c r="N332" s="15"/>
      <c r="O332" s="15"/>
      <c r="P332" s="15"/>
      <c r="Q332" s="15"/>
      <c r="R332" s="15"/>
      <c r="S332" s="15"/>
      <c r="T332" s="15"/>
      <c r="U332" s="15"/>
      <c r="V332" s="15"/>
      <c r="W332" s="15"/>
      <c r="X332" s="14"/>
      <c r="Y332" s="14"/>
      <c r="Z332" s="14"/>
      <c r="AA332" s="15"/>
      <c r="AB332" s="3"/>
      <c r="AC332" s="3"/>
      <c r="AD332" s="3"/>
      <c r="AE332" s="3"/>
      <c r="AF332" s="3"/>
      <c r="AG332" s="3"/>
      <c r="AH332" s="3"/>
      <c r="AI332" s="3"/>
      <c r="AJ332" s="3"/>
    </row>
    <row r="333" ht="15.75" customHeight="1">
      <c r="G333" s="424"/>
      <c r="J333" s="425"/>
      <c r="K333" s="188"/>
      <c r="L333" s="15"/>
      <c r="M333" s="15"/>
      <c r="N333" s="15"/>
      <c r="O333" s="15"/>
      <c r="P333" s="15"/>
      <c r="Q333" s="15"/>
      <c r="R333" s="15"/>
      <c r="S333" s="15"/>
      <c r="T333" s="15"/>
      <c r="U333" s="15"/>
      <c r="V333" s="15"/>
      <c r="W333" s="15"/>
      <c r="X333" s="14"/>
      <c r="Y333" s="14"/>
      <c r="Z333" s="14"/>
      <c r="AA333" s="15"/>
      <c r="AB333" s="3"/>
      <c r="AC333" s="3"/>
      <c r="AD333" s="3"/>
      <c r="AE333" s="3"/>
      <c r="AF333" s="3"/>
      <c r="AG333" s="3"/>
      <c r="AH333" s="3"/>
      <c r="AI333" s="3"/>
      <c r="AJ333" s="3"/>
    </row>
    <row r="334" ht="15.75" customHeight="1">
      <c r="G334" s="424"/>
      <c r="J334" s="425"/>
      <c r="K334" s="188"/>
      <c r="L334" s="15"/>
      <c r="M334" s="15"/>
      <c r="N334" s="15"/>
      <c r="O334" s="15"/>
      <c r="P334" s="15"/>
      <c r="Q334" s="15"/>
      <c r="R334" s="15"/>
      <c r="S334" s="15"/>
      <c r="T334" s="15"/>
      <c r="U334" s="15"/>
      <c r="V334" s="15"/>
      <c r="W334" s="15"/>
      <c r="X334" s="14"/>
      <c r="Y334" s="14"/>
      <c r="Z334" s="14"/>
      <c r="AA334" s="15"/>
      <c r="AB334" s="3"/>
      <c r="AC334" s="3"/>
      <c r="AD334" s="3"/>
      <c r="AE334" s="3"/>
      <c r="AF334" s="3"/>
      <c r="AG334" s="3"/>
      <c r="AH334" s="3"/>
      <c r="AI334" s="3"/>
      <c r="AJ334" s="3"/>
    </row>
    <row r="335" ht="15.75" customHeight="1">
      <c r="G335" s="424"/>
      <c r="J335" s="425"/>
      <c r="K335" s="188"/>
      <c r="L335" s="15"/>
      <c r="M335" s="15"/>
      <c r="N335" s="15"/>
      <c r="O335" s="15"/>
      <c r="P335" s="15"/>
      <c r="Q335" s="15"/>
      <c r="R335" s="15"/>
      <c r="S335" s="15"/>
      <c r="T335" s="15"/>
      <c r="U335" s="15"/>
      <c r="V335" s="15"/>
      <c r="W335" s="15"/>
      <c r="X335" s="14"/>
      <c r="Y335" s="14"/>
      <c r="Z335" s="14"/>
      <c r="AA335" s="15"/>
      <c r="AB335" s="3"/>
      <c r="AC335" s="3"/>
      <c r="AD335" s="3"/>
      <c r="AE335" s="3"/>
      <c r="AF335" s="3"/>
      <c r="AG335" s="3"/>
      <c r="AH335" s="3"/>
      <c r="AI335" s="3"/>
      <c r="AJ335" s="3"/>
    </row>
    <row r="336" ht="15.75" customHeight="1">
      <c r="G336" s="424"/>
      <c r="J336" s="425"/>
      <c r="K336" s="188"/>
      <c r="L336" s="15"/>
      <c r="M336" s="15"/>
      <c r="N336" s="15"/>
      <c r="O336" s="15"/>
      <c r="P336" s="15"/>
      <c r="Q336" s="15"/>
      <c r="R336" s="15"/>
      <c r="S336" s="15"/>
      <c r="T336" s="15"/>
      <c r="U336" s="15"/>
      <c r="V336" s="15"/>
      <c r="W336" s="15"/>
      <c r="X336" s="14"/>
      <c r="Y336" s="14"/>
      <c r="Z336" s="14"/>
      <c r="AA336" s="15"/>
      <c r="AB336" s="3"/>
      <c r="AC336" s="3"/>
      <c r="AD336" s="3"/>
      <c r="AE336" s="3"/>
      <c r="AF336" s="3"/>
      <c r="AG336" s="3"/>
      <c r="AH336" s="3"/>
      <c r="AI336" s="3"/>
      <c r="AJ336" s="3"/>
    </row>
    <row r="337" ht="15.75" customHeight="1">
      <c r="G337" s="424"/>
      <c r="J337" s="425"/>
      <c r="K337" s="188"/>
      <c r="L337" s="15"/>
      <c r="M337" s="15"/>
      <c r="N337" s="15"/>
      <c r="O337" s="15"/>
      <c r="P337" s="15"/>
      <c r="Q337" s="15"/>
      <c r="R337" s="15"/>
      <c r="S337" s="15"/>
      <c r="T337" s="15"/>
      <c r="U337" s="15"/>
      <c r="V337" s="15"/>
      <c r="W337" s="15"/>
      <c r="X337" s="14"/>
      <c r="Y337" s="14"/>
      <c r="Z337" s="14"/>
      <c r="AA337" s="15"/>
      <c r="AB337" s="3"/>
      <c r="AC337" s="3"/>
      <c r="AD337" s="3"/>
      <c r="AE337" s="3"/>
      <c r="AF337" s="3"/>
      <c r="AG337" s="3"/>
      <c r="AH337" s="3"/>
      <c r="AI337" s="3"/>
      <c r="AJ337" s="3"/>
    </row>
    <row r="338" ht="15.75" customHeight="1">
      <c r="G338" s="424"/>
      <c r="J338" s="425"/>
      <c r="K338" s="188"/>
      <c r="L338" s="15"/>
      <c r="M338" s="15"/>
      <c r="N338" s="15"/>
      <c r="O338" s="15"/>
      <c r="P338" s="15"/>
      <c r="Q338" s="15"/>
      <c r="R338" s="15"/>
      <c r="S338" s="15"/>
      <c r="T338" s="15"/>
      <c r="U338" s="15"/>
      <c r="V338" s="15"/>
      <c r="W338" s="15"/>
      <c r="X338" s="14"/>
      <c r="Y338" s="14"/>
      <c r="Z338" s="14"/>
      <c r="AA338" s="15"/>
      <c r="AB338" s="3"/>
      <c r="AC338" s="3"/>
      <c r="AD338" s="3"/>
      <c r="AE338" s="3"/>
      <c r="AF338" s="3"/>
      <c r="AG338" s="3"/>
      <c r="AH338" s="3"/>
      <c r="AI338" s="3"/>
      <c r="AJ338" s="3"/>
    </row>
    <row r="339" ht="15.75" customHeight="1">
      <c r="G339" s="424"/>
      <c r="J339" s="425"/>
      <c r="K339" s="188"/>
      <c r="L339" s="15"/>
      <c r="M339" s="15"/>
      <c r="N339" s="15"/>
      <c r="O339" s="15"/>
      <c r="P339" s="15"/>
      <c r="Q339" s="15"/>
      <c r="R339" s="15"/>
      <c r="S339" s="15"/>
      <c r="T339" s="15"/>
      <c r="U339" s="15"/>
      <c r="V339" s="15"/>
      <c r="W339" s="15"/>
      <c r="X339" s="14"/>
      <c r="Y339" s="14"/>
      <c r="Z339" s="14"/>
      <c r="AA339" s="15"/>
      <c r="AB339" s="3"/>
      <c r="AC339" s="3"/>
      <c r="AD339" s="3"/>
      <c r="AE339" s="3"/>
      <c r="AF339" s="3"/>
      <c r="AG339" s="3"/>
      <c r="AH339" s="3"/>
      <c r="AI339" s="3"/>
      <c r="AJ339" s="3"/>
    </row>
    <row r="340" ht="15.75" customHeight="1">
      <c r="G340" s="424"/>
      <c r="J340" s="425"/>
      <c r="K340" s="188"/>
      <c r="L340" s="15"/>
      <c r="M340" s="15"/>
      <c r="N340" s="15"/>
      <c r="O340" s="15"/>
      <c r="P340" s="15"/>
      <c r="Q340" s="15"/>
      <c r="R340" s="15"/>
      <c r="S340" s="15"/>
      <c r="T340" s="15"/>
      <c r="U340" s="15"/>
      <c r="V340" s="15"/>
      <c r="W340" s="15"/>
      <c r="X340" s="14"/>
      <c r="Y340" s="14"/>
      <c r="Z340" s="14"/>
      <c r="AA340" s="15"/>
      <c r="AB340" s="3"/>
      <c r="AC340" s="3"/>
      <c r="AD340" s="3"/>
      <c r="AE340" s="3"/>
      <c r="AF340" s="3"/>
      <c r="AG340" s="3"/>
      <c r="AH340" s="3"/>
      <c r="AI340" s="3"/>
      <c r="AJ340" s="3"/>
    </row>
    <row r="341" ht="15.75" customHeight="1">
      <c r="G341" s="424"/>
      <c r="J341" s="425"/>
      <c r="K341" s="188"/>
      <c r="L341" s="15"/>
      <c r="M341" s="15"/>
      <c r="N341" s="15"/>
      <c r="O341" s="15"/>
      <c r="P341" s="15"/>
      <c r="Q341" s="15"/>
      <c r="R341" s="15"/>
      <c r="S341" s="15"/>
      <c r="T341" s="15"/>
      <c r="U341" s="15"/>
      <c r="V341" s="15"/>
      <c r="W341" s="15"/>
      <c r="X341" s="14"/>
      <c r="Y341" s="14"/>
      <c r="Z341" s="14"/>
      <c r="AA341" s="15"/>
      <c r="AB341" s="3"/>
      <c r="AC341" s="3"/>
      <c r="AD341" s="3"/>
      <c r="AE341" s="3"/>
      <c r="AF341" s="3"/>
      <c r="AG341" s="3"/>
      <c r="AH341" s="3"/>
      <c r="AI341" s="3"/>
      <c r="AJ341" s="3"/>
    </row>
    <row r="342" ht="15.75" customHeight="1">
      <c r="G342" s="424"/>
      <c r="J342" s="425"/>
      <c r="K342" s="188"/>
      <c r="L342" s="15"/>
      <c r="M342" s="15"/>
      <c r="N342" s="15"/>
      <c r="O342" s="15"/>
      <c r="P342" s="15"/>
      <c r="Q342" s="15"/>
      <c r="R342" s="15"/>
      <c r="S342" s="15"/>
      <c r="T342" s="15"/>
      <c r="U342" s="15"/>
      <c r="V342" s="15"/>
      <c r="W342" s="15"/>
      <c r="X342" s="14"/>
      <c r="Y342" s="14"/>
      <c r="Z342" s="14"/>
      <c r="AA342" s="15"/>
      <c r="AB342" s="3"/>
      <c r="AC342" s="3"/>
      <c r="AD342" s="3"/>
      <c r="AE342" s="3"/>
      <c r="AF342" s="3"/>
      <c r="AG342" s="3"/>
      <c r="AH342" s="3"/>
      <c r="AI342" s="3"/>
      <c r="AJ342" s="3"/>
    </row>
    <row r="343" ht="15.75" customHeight="1">
      <c r="G343" s="424"/>
      <c r="J343" s="425"/>
      <c r="K343" s="188"/>
      <c r="L343" s="15"/>
      <c r="M343" s="15"/>
      <c r="N343" s="15"/>
      <c r="O343" s="15"/>
      <c r="P343" s="15"/>
      <c r="Q343" s="15"/>
      <c r="R343" s="15"/>
      <c r="S343" s="15"/>
      <c r="T343" s="15"/>
      <c r="U343" s="15"/>
      <c r="V343" s="15"/>
      <c r="W343" s="15"/>
      <c r="X343" s="14"/>
      <c r="Y343" s="14"/>
      <c r="Z343" s="14"/>
      <c r="AA343" s="15"/>
      <c r="AB343" s="3"/>
      <c r="AC343" s="3"/>
      <c r="AD343" s="3"/>
      <c r="AE343" s="3"/>
      <c r="AF343" s="3"/>
      <c r="AG343" s="3"/>
      <c r="AH343" s="3"/>
      <c r="AI343" s="3"/>
      <c r="AJ343" s="3"/>
    </row>
    <row r="344" ht="15.75" customHeight="1">
      <c r="G344" s="424"/>
      <c r="J344" s="425"/>
      <c r="K344" s="188"/>
      <c r="L344" s="15"/>
      <c r="M344" s="15"/>
      <c r="N344" s="15"/>
      <c r="O344" s="15"/>
      <c r="P344" s="15"/>
      <c r="Q344" s="15"/>
      <c r="R344" s="15"/>
      <c r="S344" s="15"/>
      <c r="T344" s="15"/>
      <c r="U344" s="15"/>
      <c r="V344" s="15"/>
      <c r="W344" s="15"/>
      <c r="X344" s="14"/>
      <c r="Y344" s="14"/>
      <c r="Z344" s="14"/>
      <c r="AA344" s="15"/>
      <c r="AB344" s="3"/>
      <c r="AC344" s="3"/>
      <c r="AD344" s="3"/>
      <c r="AE344" s="3"/>
      <c r="AF344" s="3"/>
      <c r="AG344" s="3"/>
      <c r="AH344" s="3"/>
      <c r="AI344" s="3"/>
      <c r="AJ344" s="3"/>
    </row>
    <row r="345" ht="15.75" customHeight="1">
      <c r="G345" s="424"/>
      <c r="J345" s="425"/>
      <c r="K345" s="188"/>
      <c r="L345" s="15"/>
      <c r="M345" s="15"/>
      <c r="N345" s="15"/>
      <c r="O345" s="15"/>
      <c r="P345" s="15"/>
      <c r="Q345" s="15"/>
      <c r="R345" s="15"/>
      <c r="S345" s="15"/>
      <c r="T345" s="15"/>
      <c r="U345" s="15"/>
      <c r="V345" s="15"/>
      <c r="W345" s="15"/>
      <c r="X345" s="14"/>
      <c r="Y345" s="14"/>
      <c r="Z345" s="14"/>
      <c r="AA345" s="15"/>
      <c r="AB345" s="3"/>
      <c r="AC345" s="3"/>
      <c r="AD345" s="3"/>
      <c r="AE345" s="3"/>
      <c r="AF345" s="3"/>
      <c r="AG345" s="3"/>
      <c r="AH345" s="3"/>
      <c r="AI345" s="3"/>
      <c r="AJ345" s="3"/>
    </row>
    <row r="346" ht="15.75" customHeight="1">
      <c r="G346" s="424"/>
      <c r="J346" s="425"/>
      <c r="K346" s="188"/>
      <c r="L346" s="15"/>
      <c r="M346" s="15"/>
      <c r="N346" s="15"/>
      <c r="O346" s="15"/>
      <c r="P346" s="15"/>
      <c r="Q346" s="15"/>
      <c r="R346" s="15"/>
      <c r="S346" s="15"/>
      <c r="T346" s="15"/>
      <c r="U346" s="15"/>
      <c r="V346" s="15"/>
      <c r="W346" s="15"/>
      <c r="X346" s="14"/>
      <c r="Y346" s="14"/>
      <c r="Z346" s="14"/>
      <c r="AA346" s="15"/>
      <c r="AB346" s="3"/>
      <c r="AC346" s="3"/>
      <c r="AD346" s="3"/>
      <c r="AE346" s="3"/>
      <c r="AF346" s="3"/>
      <c r="AG346" s="3"/>
      <c r="AH346" s="3"/>
      <c r="AI346" s="3"/>
      <c r="AJ346" s="3"/>
    </row>
    <row r="347" ht="15.75" customHeight="1">
      <c r="G347" s="424"/>
      <c r="J347" s="425"/>
      <c r="K347" s="188"/>
      <c r="L347" s="15"/>
      <c r="M347" s="15"/>
      <c r="N347" s="15"/>
      <c r="O347" s="15"/>
      <c r="P347" s="15"/>
      <c r="Q347" s="15"/>
      <c r="R347" s="15"/>
      <c r="S347" s="15"/>
      <c r="T347" s="15"/>
      <c r="U347" s="15"/>
      <c r="V347" s="15"/>
      <c r="W347" s="15"/>
      <c r="X347" s="14"/>
      <c r="Y347" s="14"/>
      <c r="Z347" s="14"/>
      <c r="AA347" s="15"/>
      <c r="AB347" s="3"/>
      <c r="AC347" s="3"/>
      <c r="AD347" s="3"/>
      <c r="AE347" s="3"/>
      <c r="AF347" s="3"/>
      <c r="AG347" s="3"/>
      <c r="AH347" s="3"/>
      <c r="AI347" s="3"/>
      <c r="AJ347" s="3"/>
    </row>
    <row r="348" ht="15.75" customHeight="1">
      <c r="G348" s="424"/>
      <c r="J348" s="425"/>
      <c r="K348" s="188"/>
      <c r="L348" s="15"/>
      <c r="M348" s="15"/>
      <c r="N348" s="15"/>
      <c r="O348" s="15"/>
      <c r="P348" s="15"/>
      <c r="Q348" s="15"/>
      <c r="R348" s="15"/>
      <c r="S348" s="15"/>
      <c r="T348" s="15"/>
      <c r="U348" s="15"/>
      <c r="V348" s="15"/>
      <c r="W348" s="15"/>
      <c r="X348" s="14"/>
      <c r="Y348" s="14"/>
      <c r="Z348" s="14"/>
      <c r="AA348" s="15"/>
      <c r="AB348" s="3"/>
      <c r="AC348" s="3"/>
      <c r="AD348" s="3"/>
      <c r="AE348" s="3"/>
      <c r="AF348" s="3"/>
      <c r="AG348" s="3"/>
      <c r="AH348" s="3"/>
      <c r="AI348" s="3"/>
      <c r="AJ348" s="3"/>
    </row>
    <row r="349" ht="15.75" customHeight="1">
      <c r="G349" s="424"/>
      <c r="J349" s="425"/>
      <c r="K349" s="188"/>
      <c r="L349" s="15"/>
      <c r="M349" s="15"/>
      <c r="N349" s="15"/>
      <c r="O349" s="15"/>
      <c r="P349" s="15"/>
      <c r="Q349" s="15"/>
      <c r="R349" s="15"/>
      <c r="S349" s="15"/>
      <c r="T349" s="15"/>
      <c r="U349" s="15"/>
      <c r="V349" s="15"/>
      <c r="W349" s="15"/>
      <c r="X349" s="14"/>
      <c r="Y349" s="14"/>
      <c r="Z349" s="14"/>
      <c r="AA349" s="15"/>
      <c r="AB349" s="3"/>
      <c r="AC349" s="3"/>
      <c r="AD349" s="3"/>
      <c r="AE349" s="3"/>
      <c r="AF349" s="3"/>
      <c r="AG349" s="3"/>
      <c r="AH349" s="3"/>
      <c r="AI349" s="3"/>
      <c r="AJ349" s="3"/>
    </row>
    <row r="350" ht="15.75" customHeight="1">
      <c r="G350" s="424"/>
      <c r="J350" s="425"/>
      <c r="K350" s="188"/>
      <c r="L350" s="15"/>
      <c r="M350" s="15"/>
      <c r="N350" s="15"/>
      <c r="O350" s="15"/>
      <c r="P350" s="15"/>
      <c r="Q350" s="15"/>
      <c r="R350" s="15"/>
      <c r="S350" s="15"/>
      <c r="T350" s="15"/>
      <c r="U350" s="15"/>
      <c r="V350" s="15"/>
      <c r="W350" s="15"/>
      <c r="X350" s="14"/>
      <c r="Y350" s="14"/>
      <c r="Z350" s="14"/>
      <c r="AA350" s="15"/>
      <c r="AB350" s="3"/>
      <c r="AC350" s="3"/>
      <c r="AD350" s="3"/>
      <c r="AE350" s="3"/>
      <c r="AF350" s="3"/>
      <c r="AG350" s="3"/>
      <c r="AH350" s="3"/>
      <c r="AI350" s="3"/>
      <c r="AJ350" s="3"/>
    </row>
    <row r="351" ht="15.75" customHeight="1">
      <c r="G351" s="424"/>
      <c r="J351" s="425"/>
      <c r="K351" s="188"/>
      <c r="L351" s="15"/>
      <c r="M351" s="15"/>
      <c r="N351" s="15"/>
      <c r="O351" s="15"/>
      <c r="P351" s="15"/>
      <c r="Q351" s="15"/>
      <c r="R351" s="15"/>
      <c r="S351" s="15"/>
      <c r="T351" s="15"/>
      <c r="U351" s="15"/>
      <c r="V351" s="15"/>
      <c r="W351" s="15"/>
      <c r="X351" s="14"/>
      <c r="Y351" s="14"/>
      <c r="Z351" s="14"/>
      <c r="AA351" s="15"/>
      <c r="AB351" s="3"/>
      <c r="AC351" s="3"/>
      <c r="AD351" s="3"/>
      <c r="AE351" s="3"/>
      <c r="AF351" s="3"/>
      <c r="AG351" s="3"/>
      <c r="AH351" s="3"/>
      <c r="AI351" s="3"/>
      <c r="AJ351" s="3"/>
    </row>
    <row r="352" ht="15.75" customHeight="1">
      <c r="G352" s="424"/>
      <c r="J352" s="425"/>
      <c r="K352" s="188"/>
      <c r="L352" s="15"/>
      <c r="M352" s="15"/>
      <c r="N352" s="15"/>
      <c r="O352" s="15"/>
      <c r="P352" s="15"/>
      <c r="Q352" s="15"/>
      <c r="R352" s="15"/>
      <c r="S352" s="15"/>
      <c r="T352" s="15"/>
      <c r="U352" s="15"/>
      <c r="V352" s="15"/>
      <c r="AB352" s="3"/>
      <c r="AC352" s="3"/>
      <c r="AD352" s="3"/>
      <c r="AE352" s="3"/>
      <c r="AF352" s="3"/>
      <c r="AG352" s="3"/>
      <c r="AH352" s="3"/>
      <c r="AI352" s="3"/>
      <c r="AJ352" s="3"/>
    </row>
    <row r="353" ht="15.75" customHeight="1">
      <c r="G353" s="424"/>
      <c r="J353" s="434"/>
    </row>
    <row r="354" ht="15.75" customHeight="1">
      <c r="G354" s="424"/>
      <c r="J354" s="434"/>
    </row>
    <row r="355" ht="15.75" customHeight="1">
      <c r="G355" s="424"/>
      <c r="J355" s="434"/>
    </row>
    <row r="356" ht="15.75" customHeight="1">
      <c r="G356" s="424"/>
      <c r="J356" s="434"/>
    </row>
    <row r="357" ht="15.75" customHeight="1">
      <c r="G357" s="424"/>
      <c r="J357" s="434"/>
    </row>
    <row r="358" ht="15.75" customHeight="1">
      <c r="G358" s="424"/>
      <c r="J358" s="434"/>
    </row>
    <row r="359" ht="15.75" customHeight="1">
      <c r="G359" s="424"/>
      <c r="J359" s="434"/>
    </row>
    <row r="360" ht="15.75" customHeight="1">
      <c r="G360" s="424"/>
      <c r="J360" s="434"/>
    </row>
    <row r="361" ht="15.75" customHeight="1">
      <c r="G361" s="424"/>
      <c r="J361" s="434"/>
    </row>
    <row r="362" ht="15.75" customHeight="1">
      <c r="G362" s="424"/>
      <c r="J362" s="434"/>
    </row>
    <row r="363" ht="15.75" customHeight="1">
      <c r="G363" s="424"/>
      <c r="J363" s="434"/>
    </row>
    <row r="364" ht="15.75" customHeight="1">
      <c r="G364" s="424"/>
      <c r="J364" s="434"/>
    </row>
    <row r="365" ht="15.75" customHeight="1">
      <c r="G365" s="424"/>
      <c r="J365" s="434"/>
    </row>
    <row r="366" ht="15.75" customHeight="1">
      <c r="G366" s="424"/>
      <c r="J366" s="434"/>
    </row>
    <row r="367" ht="15.75" customHeight="1">
      <c r="G367" s="424"/>
      <c r="J367" s="434"/>
    </row>
    <row r="368" ht="15.75" customHeight="1">
      <c r="G368" s="424"/>
      <c r="J368" s="434"/>
    </row>
    <row r="369" ht="15.75" customHeight="1">
      <c r="G369" s="424"/>
      <c r="J369" s="434"/>
    </row>
    <row r="370" ht="15.75" customHeight="1">
      <c r="G370" s="424"/>
      <c r="J370" s="434"/>
    </row>
    <row r="371" ht="15.75" customHeight="1">
      <c r="G371" s="424"/>
      <c r="J371" s="434"/>
    </row>
    <row r="372" ht="15.75" customHeight="1">
      <c r="G372" s="424"/>
      <c r="J372" s="434"/>
    </row>
    <row r="373" ht="15.75" customHeight="1">
      <c r="G373" s="424"/>
      <c r="J373" s="434"/>
    </row>
    <row r="374" ht="15.75" customHeight="1">
      <c r="G374" s="424"/>
      <c r="J374" s="434"/>
    </row>
    <row r="375" ht="15.75" customHeight="1">
      <c r="G375" s="424"/>
      <c r="J375" s="434"/>
    </row>
    <row r="376" ht="15.75" customHeight="1">
      <c r="G376" s="424"/>
      <c r="J376" s="434"/>
    </row>
    <row r="377" ht="15.75" customHeight="1">
      <c r="G377" s="424"/>
      <c r="J377" s="434"/>
    </row>
    <row r="378" ht="15.75" customHeight="1">
      <c r="G378" s="424"/>
      <c r="J378" s="434"/>
    </row>
    <row r="379" ht="15.75" customHeight="1">
      <c r="G379" s="424"/>
      <c r="J379" s="434"/>
    </row>
    <row r="380" ht="15.75" customHeight="1">
      <c r="G380" s="424"/>
      <c r="J380" s="434"/>
    </row>
    <row r="381" ht="15.75" customHeight="1">
      <c r="G381" s="424"/>
      <c r="J381" s="434"/>
    </row>
    <row r="382" ht="15.75" customHeight="1">
      <c r="G382" s="424"/>
      <c r="J382" s="434"/>
    </row>
    <row r="383" ht="15.75" customHeight="1">
      <c r="G383" s="424"/>
      <c r="J383" s="434"/>
    </row>
    <row r="384" ht="15.75" customHeight="1">
      <c r="G384" s="424"/>
      <c r="J384" s="434"/>
    </row>
    <row r="385" ht="15.75" customHeight="1">
      <c r="G385" s="424"/>
      <c r="J385" s="434"/>
    </row>
    <row r="386" ht="15.75" customHeight="1">
      <c r="G386" s="424"/>
      <c r="J386" s="434"/>
    </row>
    <row r="387" ht="15.75" customHeight="1">
      <c r="G387" s="424"/>
      <c r="J387" s="434"/>
    </row>
    <row r="388" ht="15.75" customHeight="1">
      <c r="G388" s="424"/>
      <c r="J388" s="434"/>
    </row>
    <row r="389" ht="15.75" customHeight="1">
      <c r="G389" s="424"/>
      <c r="J389" s="434"/>
    </row>
    <row r="390" ht="15.75" customHeight="1">
      <c r="G390" s="424"/>
      <c r="J390" s="434"/>
    </row>
    <row r="391" ht="15.75" customHeight="1">
      <c r="G391" s="424"/>
      <c r="J391" s="434"/>
    </row>
    <row r="392" ht="15.75" customHeight="1">
      <c r="G392" s="424"/>
      <c r="J392" s="434"/>
    </row>
    <row r="393" ht="15.75" customHeight="1">
      <c r="G393" s="424"/>
      <c r="J393" s="434"/>
    </row>
    <row r="394" ht="15.75" customHeight="1">
      <c r="G394" s="424"/>
      <c r="J394" s="434"/>
    </row>
    <row r="395" ht="15.75" customHeight="1">
      <c r="G395" s="424"/>
      <c r="J395" s="434"/>
    </row>
    <row r="396" ht="15.75" customHeight="1">
      <c r="G396" s="424"/>
      <c r="J396" s="434"/>
    </row>
    <row r="397" ht="15.75" customHeight="1">
      <c r="G397" s="424"/>
      <c r="J397" s="434"/>
    </row>
    <row r="398" ht="15.75" customHeight="1">
      <c r="G398" s="424"/>
      <c r="J398" s="434"/>
    </row>
    <row r="399" ht="15.75" customHeight="1">
      <c r="G399" s="424"/>
      <c r="J399" s="434"/>
    </row>
    <row r="400" ht="15.75" customHeight="1">
      <c r="G400" s="424"/>
      <c r="J400" s="434"/>
    </row>
    <row r="401" ht="15.75" customHeight="1">
      <c r="G401" s="424"/>
      <c r="J401" s="434"/>
    </row>
    <row r="402" ht="15.75" customHeight="1">
      <c r="G402" s="424"/>
      <c r="J402" s="434"/>
    </row>
    <row r="403" ht="15.75" customHeight="1">
      <c r="G403" s="424"/>
      <c r="J403" s="434"/>
    </row>
    <row r="404" ht="15.75" customHeight="1">
      <c r="G404" s="424"/>
      <c r="J404" s="434"/>
    </row>
    <row r="405" ht="15.75" customHeight="1">
      <c r="G405" s="424"/>
      <c r="J405" s="434"/>
    </row>
    <row r="406" ht="15.75" customHeight="1">
      <c r="G406" s="424"/>
      <c r="J406" s="434"/>
    </row>
    <row r="407" ht="15.75" customHeight="1">
      <c r="G407" s="424"/>
      <c r="J407" s="434"/>
    </row>
    <row r="408" ht="15.75" customHeight="1">
      <c r="G408" s="424"/>
      <c r="J408" s="434"/>
    </row>
    <row r="409" ht="15.75" customHeight="1">
      <c r="G409" s="424"/>
      <c r="J409" s="434"/>
    </row>
    <row r="410" ht="15.75" customHeight="1">
      <c r="G410" s="424"/>
      <c r="J410" s="434"/>
    </row>
    <row r="411" ht="15.75" customHeight="1">
      <c r="G411" s="424"/>
      <c r="J411" s="434"/>
    </row>
    <row r="412" ht="15.75" customHeight="1">
      <c r="G412" s="424"/>
      <c r="J412" s="434"/>
    </row>
    <row r="413" ht="15.75" customHeight="1">
      <c r="G413" s="424"/>
      <c r="J413" s="434"/>
    </row>
    <row r="414" ht="15.75" customHeight="1">
      <c r="G414" s="424"/>
      <c r="J414" s="434"/>
    </row>
    <row r="415" ht="15.75" customHeight="1">
      <c r="G415" s="424"/>
      <c r="J415" s="434"/>
    </row>
    <row r="416" ht="15.75" customHeight="1">
      <c r="G416" s="424"/>
      <c r="J416" s="434"/>
    </row>
    <row r="417" ht="15.75" customHeight="1">
      <c r="G417" s="424"/>
      <c r="J417" s="434"/>
    </row>
    <row r="418" ht="15.75" customHeight="1">
      <c r="G418" s="424"/>
      <c r="J418" s="434"/>
    </row>
    <row r="419" ht="15.75" customHeight="1">
      <c r="G419" s="424"/>
      <c r="J419" s="434"/>
    </row>
    <row r="420" ht="15.75" customHeight="1">
      <c r="G420" s="424"/>
      <c r="J420" s="434"/>
    </row>
    <row r="421" ht="15.75" customHeight="1">
      <c r="G421" s="424"/>
      <c r="J421" s="434"/>
    </row>
    <row r="422" ht="15.75" customHeight="1">
      <c r="G422" s="424"/>
      <c r="J422" s="434"/>
    </row>
    <row r="423" ht="15.75" customHeight="1">
      <c r="G423" s="424"/>
      <c r="J423" s="434"/>
    </row>
    <row r="424" ht="15.75" customHeight="1">
      <c r="G424" s="424"/>
      <c r="J424" s="434"/>
    </row>
    <row r="425" ht="15.75" customHeight="1">
      <c r="G425" s="424"/>
      <c r="J425" s="434"/>
    </row>
    <row r="426" ht="15.75" customHeight="1">
      <c r="G426" s="424"/>
      <c r="J426" s="434"/>
    </row>
    <row r="427" ht="15.75" customHeight="1">
      <c r="G427" s="424"/>
      <c r="J427" s="434"/>
    </row>
    <row r="428" ht="15.75" customHeight="1">
      <c r="G428" s="424"/>
      <c r="J428" s="434"/>
    </row>
    <row r="429" ht="15.75" customHeight="1">
      <c r="G429" s="424"/>
      <c r="J429" s="434"/>
    </row>
    <row r="430" ht="15.75" customHeight="1">
      <c r="G430" s="424"/>
      <c r="J430" s="434"/>
    </row>
    <row r="431" ht="15.75" customHeight="1">
      <c r="G431" s="424"/>
      <c r="J431" s="434"/>
    </row>
    <row r="432" ht="15.75" customHeight="1">
      <c r="G432" s="424"/>
      <c r="J432" s="434"/>
    </row>
    <row r="433" ht="15.75" customHeight="1">
      <c r="G433" s="424"/>
      <c r="J433" s="434"/>
    </row>
    <row r="434" ht="15.75" customHeight="1">
      <c r="G434" s="424"/>
      <c r="J434" s="434"/>
    </row>
    <row r="435" ht="15.75" customHeight="1">
      <c r="G435" s="424"/>
      <c r="J435" s="434"/>
    </row>
    <row r="436" ht="15.75" customHeight="1">
      <c r="G436" s="424"/>
      <c r="J436" s="434"/>
    </row>
    <row r="437" ht="15.75" customHeight="1">
      <c r="G437" s="424"/>
      <c r="J437" s="434"/>
    </row>
    <row r="438" ht="15.75" customHeight="1">
      <c r="G438" s="424"/>
      <c r="J438" s="434"/>
    </row>
    <row r="439" ht="15.75" customHeight="1">
      <c r="G439" s="424"/>
      <c r="J439" s="434"/>
    </row>
    <row r="440" ht="15.75" customHeight="1">
      <c r="G440" s="424"/>
      <c r="J440" s="434"/>
    </row>
    <row r="441" ht="15.75" customHeight="1">
      <c r="G441" s="424"/>
      <c r="J441" s="434"/>
    </row>
    <row r="442" ht="15.75" customHeight="1">
      <c r="G442" s="424"/>
      <c r="J442" s="434"/>
    </row>
    <row r="443" ht="15.75" customHeight="1">
      <c r="G443" s="424"/>
      <c r="J443" s="434"/>
    </row>
    <row r="444" ht="15.75" customHeight="1">
      <c r="G444" s="424"/>
      <c r="J444" s="434"/>
    </row>
    <row r="445" ht="15.75" customHeight="1">
      <c r="G445" s="424"/>
      <c r="J445" s="434"/>
    </row>
    <row r="446" ht="15.75" customHeight="1">
      <c r="G446" s="424"/>
      <c r="J446" s="434"/>
    </row>
    <row r="447" ht="15.75" customHeight="1">
      <c r="G447" s="424"/>
      <c r="J447" s="434"/>
    </row>
    <row r="448" ht="15.75" customHeight="1">
      <c r="G448" s="424"/>
      <c r="J448" s="434"/>
    </row>
    <row r="449" ht="15.75" customHeight="1">
      <c r="G449" s="424"/>
      <c r="J449" s="434"/>
    </row>
    <row r="450" ht="15.75" customHeight="1">
      <c r="G450" s="424"/>
      <c r="J450" s="434"/>
    </row>
    <row r="451" ht="15.75" customHeight="1">
      <c r="G451" s="424"/>
      <c r="J451" s="434"/>
    </row>
    <row r="452" ht="15.75" customHeight="1">
      <c r="G452" s="424"/>
      <c r="J452" s="434"/>
    </row>
    <row r="453" ht="15.75" customHeight="1">
      <c r="G453" s="424"/>
      <c r="J453" s="434"/>
    </row>
    <row r="454" ht="15.75" customHeight="1">
      <c r="G454" s="424"/>
      <c r="J454" s="434"/>
    </row>
    <row r="455" ht="15.75" customHeight="1">
      <c r="G455" s="424"/>
      <c r="J455" s="434"/>
    </row>
    <row r="456" ht="15.75" customHeight="1">
      <c r="G456" s="424"/>
      <c r="J456" s="434"/>
    </row>
    <row r="457" ht="15.75" customHeight="1">
      <c r="G457" s="424"/>
      <c r="J457" s="434"/>
    </row>
    <row r="458" ht="15.75" customHeight="1">
      <c r="G458" s="424"/>
      <c r="J458" s="434"/>
    </row>
    <row r="459" ht="15.75" customHeight="1">
      <c r="G459" s="424"/>
      <c r="J459" s="434"/>
    </row>
    <row r="460" ht="15.75" customHeight="1">
      <c r="G460" s="424"/>
      <c r="J460" s="434"/>
    </row>
    <row r="461" ht="15.75" customHeight="1">
      <c r="G461" s="424"/>
      <c r="J461" s="434"/>
    </row>
    <row r="462" ht="15.75" customHeight="1">
      <c r="G462" s="424"/>
      <c r="J462" s="434"/>
    </row>
    <row r="463" ht="15.75" customHeight="1">
      <c r="G463" s="424"/>
      <c r="J463" s="434"/>
    </row>
    <row r="464" ht="15.75" customHeight="1">
      <c r="G464" s="424"/>
      <c r="J464" s="434"/>
    </row>
    <row r="465" ht="15.75" customHeight="1">
      <c r="G465" s="424"/>
      <c r="J465" s="434"/>
    </row>
    <row r="466" ht="15.75" customHeight="1">
      <c r="G466" s="424"/>
      <c r="J466" s="434"/>
    </row>
    <row r="467" ht="15.75" customHeight="1">
      <c r="G467" s="424"/>
      <c r="J467" s="434"/>
    </row>
    <row r="468" ht="15.75" customHeight="1">
      <c r="G468" s="424"/>
      <c r="J468" s="434"/>
    </row>
    <row r="469" ht="15.75" customHeight="1">
      <c r="G469" s="424"/>
      <c r="J469" s="434"/>
    </row>
    <row r="470" ht="15.75" customHeight="1">
      <c r="G470" s="424"/>
      <c r="J470" s="434"/>
    </row>
    <row r="471" ht="15.75" customHeight="1">
      <c r="G471" s="424"/>
      <c r="J471" s="434"/>
    </row>
    <row r="472" ht="15.75" customHeight="1">
      <c r="G472" s="424"/>
      <c r="J472" s="434"/>
    </row>
    <row r="473" ht="15.75" customHeight="1">
      <c r="G473" s="424"/>
      <c r="J473" s="434"/>
    </row>
    <row r="474" ht="15.75" customHeight="1">
      <c r="G474" s="424"/>
      <c r="J474" s="434"/>
    </row>
    <row r="475" ht="15.75" customHeight="1">
      <c r="G475" s="424"/>
      <c r="J475" s="434"/>
    </row>
    <row r="476" ht="15.75" customHeight="1">
      <c r="G476" s="424"/>
      <c r="J476" s="434"/>
    </row>
    <row r="477" ht="15.75" customHeight="1">
      <c r="G477" s="424"/>
      <c r="J477" s="434"/>
    </row>
    <row r="478" ht="15.75" customHeight="1">
      <c r="G478" s="424"/>
      <c r="J478" s="434"/>
    </row>
    <row r="479" ht="15.75" customHeight="1">
      <c r="G479" s="424"/>
      <c r="J479" s="434"/>
    </row>
    <row r="480" ht="15.75" customHeight="1">
      <c r="G480" s="424"/>
      <c r="J480" s="434"/>
    </row>
    <row r="481" ht="15.75" customHeight="1">
      <c r="G481" s="424"/>
      <c r="J481" s="434"/>
    </row>
    <row r="482" ht="15.75" customHeight="1">
      <c r="G482" s="424"/>
      <c r="J482" s="434"/>
    </row>
    <row r="483" ht="15.75" customHeight="1">
      <c r="G483" s="424"/>
      <c r="J483" s="434"/>
    </row>
    <row r="484" ht="15.75" customHeight="1">
      <c r="G484" s="424"/>
      <c r="J484" s="434"/>
    </row>
    <row r="485" ht="15.75" customHeight="1">
      <c r="G485" s="424"/>
      <c r="J485" s="434"/>
    </row>
    <row r="486" ht="15.75" customHeight="1">
      <c r="G486" s="424"/>
      <c r="J486" s="434"/>
    </row>
    <row r="487" ht="15.75" customHeight="1">
      <c r="G487" s="424"/>
      <c r="J487" s="434"/>
    </row>
    <row r="488" ht="15.75" customHeight="1">
      <c r="G488" s="424"/>
      <c r="J488" s="434"/>
    </row>
    <row r="489" ht="15.75" customHeight="1">
      <c r="G489" s="424"/>
      <c r="J489" s="434"/>
    </row>
    <row r="490" ht="15.75" customHeight="1">
      <c r="G490" s="424"/>
      <c r="J490" s="434"/>
    </row>
    <row r="491" ht="15.75" customHeight="1">
      <c r="G491" s="424"/>
      <c r="J491" s="434"/>
    </row>
    <row r="492" ht="15.75" customHeight="1">
      <c r="G492" s="424"/>
      <c r="J492" s="434"/>
    </row>
    <row r="493" ht="15.75" customHeight="1">
      <c r="G493" s="424"/>
      <c r="J493" s="434"/>
    </row>
    <row r="494" ht="15.75" customHeight="1">
      <c r="G494" s="424"/>
      <c r="J494" s="434"/>
    </row>
    <row r="495" ht="15.75" customHeight="1">
      <c r="G495" s="424"/>
      <c r="J495" s="434"/>
    </row>
    <row r="496" ht="15.75" customHeight="1">
      <c r="G496" s="424"/>
      <c r="J496" s="434"/>
    </row>
    <row r="497" ht="15.75" customHeight="1">
      <c r="G497" s="424"/>
      <c r="J497" s="434"/>
    </row>
    <row r="498" ht="15.75" customHeight="1">
      <c r="G498" s="424"/>
      <c r="J498" s="434"/>
    </row>
    <row r="499" ht="15.75" customHeight="1">
      <c r="G499" s="424"/>
      <c r="J499" s="434"/>
    </row>
    <row r="500" ht="15.75" customHeight="1">
      <c r="G500" s="424"/>
      <c r="J500" s="434"/>
    </row>
    <row r="501" ht="15.75" customHeight="1">
      <c r="G501" s="424"/>
      <c r="J501" s="434"/>
    </row>
    <row r="502" ht="15.75" customHeight="1">
      <c r="G502" s="424"/>
      <c r="J502" s="434"/>
    </row>
    <row r="503" ht="15.75" customHeight="1">
      <c r="G503" s="424"/>
      <c r="J503" s="434"/>
    </row>
    <row r="504" ht="15.75" customHeight="1">
      <c r="G504" s="424"/>
      <c r="J504" s="434"/>
    </row>
    <row r="505" ht="15.75" customHeight="1">
      <c r="G505" s="424"/>
      <c r="J505" s="434"/>
    </row>
    <row r="506" ht="15.75" customHeight="1">
      <c r="G506" s="424"/>
      <c r="J506" s="434"/>
    </row>
    <row r="507" ht="15.75" customHeight="1">
      <c r="G507" s="424"/>
      <c r="J507" s="434"/>
    </row>
    <row r="508" ht="15.75" customHeight="1">
      <c r="G508" s="424"/>
      <c r="J508" s="434"/>
    </row>
    <row r="509" ht="15.75" customHeight="1">
      <c r="G509" s="424"/>
      <c r="J509" s="434"/>
    </row>
    <row r="510" ht="15.75" customHeight="1">
      <c r="G510" s="424"/>
      <c r="J510" s="434"/>
    </row>
    <row r="511" ht="15.75" customHeight="1">
      <c r="G511" s="424"/>
      <c r="J511" s="434"/>
    </row>
    <row r="512" ht="15.75" customHeight="1">
      <c r="G512" s="424"/>
      <c r="J512" s="434"/>
    </row>
    <row r="513" ht="15.75" customHeight="1">
      <c r="G513" s="424"/>
      <c r="J513" s="434"/>
    </row>
    <row r="514" ht="15.75" customHeight="1">
      <c r="G514" s="424"/>
      <c r="J514" s="434"/>
    </row>
    <row r="515" ht="15.75" customHeight="1">
      <c r="G515" s="424"/>
      <c r="J515" s="434"/>
    </row>
    <row r="516" ht="15.75" customHeight="1">
      <c r="G516" s="424"/>
      <c r="J516" s="434"/>
    </row>
    <row r="517" ht="15.75" customHeight="1">
      <c r="G517" s="424"/>
      <c r="J517" s="434"/>
    </row>
    <row r="518" ht="15.75" customHeight="1">
      <c r="G518" s="424"/>
      <c r="J518" s="434"/>
    </row>
    <row r="519" ht="15.75" customHeight="1">
      <c r="G519" s="424"/>
      <c r="J519" s="434"/>
    </row>
    <row r="520" ht="15.75" customHeight="1">
      <c r="G520" s="424"/>
      <c r="J520" s="434"/>
    </row>
    <row r="521" ht="15.75" customHeight="1">
      <c r="G521" s="424"/>
      <c r="J521" s="434"/>
    </row>
    <row r="522" ht="15.75" customHeight="1">
      <c r="G522" s="424"/>
      <c r="J522" s="434"/>
    </row>
    <row r="523" ht="15.75" customHeight="1">
      <c r="G523" s="424"/>
      <c r="J523" s="434"/>
    </row>
    <row r="524" ht="15.75" customHeight="1">
      <c r="G524" s="424"/>
      <c r="J524" s="434"/>
    </row>
    <row r="525" ht="15.75" customHeight="1">
      <c r="G525" s="424"/>
      <c r="J525" s="434"/>
    </row>
    <row r="526" ht="15.75" customHeight="1">
      <c r="G526" s="424"/>
      <c r="J526" s="434"/>
    </row>
    <row r="527" ht="15.75" customHeight="1">
      <c r="G527" s="424"/>
      <c r="J527" s="434"/>
    </row>
    <row r="528" ht="15.75" customHeight="1">
      <c r="G528" s="424"/>
      <c r="J528" s="434"/>
    </row>
    <row r="529" ht="15.75" customHeight="1">
      <c r="G529" s="424"/>
      <c r="J529" s="434"/>
    </row>
    <row r="530" ht="15.75" customHeight="1">
      <c r="G530" s="424"/>
      <c r="J530" s="434"/>
    </row>
    <row r="531" ht="15.75" customHeight="1">
      <c r="G531" s="424"/>
      <c r="J531" s="434"/>
    </row>
    <row r="532" ht="15.75" customHeight="1">
      <c r="G532" s="424"/>
      <c r="J532" s="434"/>
    </row>
    <row r="533" ht="15.75" customHeight="1">
      <c r="G533" s="424"/>
      <c r="J533" s="434"/>
    </row>
    <row r="534" ht="15.75" customHeight="1">
      <c r="G534" s="424"/>
      <c r="J534" s="434"/>
    </row>
    <row r="535" ht="15.75" customHeight="1">
      <c r="G535" s="424"/>
      <c r="J535" s="434"/>
    </row>
    <row r="536" ht="15.75" customHeight="1">
      <c r="G536" s="424"/>
      <c r="J536" s="434"/>
    </row>
    <row r="537" ht="15.75" customHeight="1">
      <c r="G537" s="424"/>
      <c r="J537" s="434"/>
    </row>
    <row r="538" ht="15.75" customHeight="1">
      <c r="G538" s="424"/>
      <c r="J538" s="434"/>
    </row>
    <row r="539" ht="15.75" customHeight="1">
      <c r="G539" s="424"/>
      <c r="J539" s="434"/>
    </row>
    <row r="540" ht="15.75" customHeight="1">
      <c r="G540" s="424"/>
      <c r="J540" s="434"/>
    </row>
    <row r="541" ht="15.75" customHeight="1">
      <c r="G541" s="424"/>
      <c r="J541" s="434"/>
    </row>
    <row r="542" ht="15.75" customHeight="1">
      <c r="G542" s="424"/>
      <c r="J542" s="434"/>
    </row>
    <row r="543" ht="15.75" customHeight="1">
      <c r="G543" s="424"/>
      <c r="J543" s="434"/>
    </row>
    <row r="544" ht="15.75" customHeight="1">
      <c r="G544" s="424"/>
      <c r="J544" s="434"/>
    </row>
    <row r="545" ht="15.75" customHeight="1">
      <c r="G545" s="424"/>
      <c r="J545" s="434"/>
    </row>
    <row r="546" ht="15.75" customHeight="1">
      <c r="G546" s="424"/>
      <c r="J546" s="434"/>
    </row>
    <row r="547" ht="15.75" customHeight="1">
      <c r="G547" s="424"/>
      <c r="J547" s="434"/>
    </row>
    <row r="548" ht="15.75" customHeight="1">
      <c r="G548" s="424"/>
      <c r="J548" s="434"/>
    </row>
    <row r="549" ht="15.75" customHeight="1">
      <c r="G549" s="424"/>
      <c r="J549" s="434"/>
    </row>
    <row r="550" ht="15.75" customHeight="1">
      <c r="G550" s="424"/>
      <c r="J550" s="434"/>
    </row>
    <row r="551" ht="15.75" customHeight="1">
      <c r="G551" s="424"/>
      <c r="J551" s="434"/>
    </row>
    <row r="552" ht="15.75" customHeight="1">
      <c r="G552" s="424"/>
      <c r="J552" s="434"/>
    </row>
    <row r="553" ht="15.75" customHeight="1">
      <c r="G553" s="424"/>
      <c r="J553" s="434"/>
    </row>
    <row r="554" ht="15.75" customHeight="1">
      <c r="G554" s="424"/>
      <c r="J554" s="434"/>
    </row>
    <row r="555" ht="15.75" customHeight="1">
      <c r="G555" s="424"/>
      <c r="J555" s="434"/>
    </row>
    <row r="556" ht="15.75" customHeight="1">
      <c r="G556" s="424"/>
      <c r="J556" s="434"/>
    </row>
    <row r="557" ht="15.75" customHeight="1">
      <c r="G557" s="424"/>
      <c r="J557" s="434"/>
    </row>
    <row r="558" ht="15.75" customHeight="1">
      <c r="G558" s="424"/>
      <c r="J558" s="434"/>
    </row>
    <row r="559" ht="15.75" customHeight="1">
      <c r="G559" s="424"/>
      <c r="J559" s="434"/>
    </row>
    <row r="560" ht="15.75" customHeight="1">
      <c r="G560" s="424"/>
      <c r="J560" s="434"/>
    </row>
    <row r="561" ht="15.75" customHeight="1">
      <c r="G561" s="424"/>
      <c r="J561" s="434"/>
    </row>
    <row r="562" ht="15.75" customHeight="1">
      <c r="G562" s="424"/>
      <c r="J562" s="434"/>
    </row>
    <row r="563" ht="15.75" customHeight="1">
      <c r="G563" s="424"/>
      <c r="J563" s="434"/>
    </row>
    <row r="564" ht="15.75" customHeight="1">
      <c r="G564" s="424"/>
      <c r="J564" s="434"/>
    </row>
    <row r="565" ht="15.75" customHeight="1">
      <c r="G565" s="424"/>
      <c r="J565" s="434"/>
    </row>
    <row r="566" ht="15.75" customHeight="1">
      <c r="G566" s="424"/>
      <c r="J566" s="434"/>
    </row>
    <row r="567" ht="15.75" customHeight="1">
      <c r="G567" s="424"/>
      <c r="J567" s="434"/>
    </row>
    <row r="568" ht="15.75" customHeight="1">
      <c r="G568" s="424"/>
      <c r="J568" s="434"/>
    </row>
    <row r="569" ht="15.75" customHeight="1">
      <c r="G569" s="424"/>
      <c r="J569" s="434"/>
    </row>
    <row r="570" ht="15.75" customHeight="1">
      <c r="G570" s="424"/>
      <c r="J570" s="434"/>
    </row>
    <row r="571" ht="15.75" customHeight="1">
      <c r="G571" s="424"/>
      <c r="J571" s="434"/>
    </row>
    <row r="572" ht="15.75" customHeight="1">
      <c r="G572" s="424"/>
      <c r="J572" s="434"/>
    </row>
    <row r="573" ht="15.75" customHeight="1">
      <c r="G573" s="424"/>
      <c r="J573" s="434"/>
    </row>
    <row r="574" ht="15.75" customHeight="1">
      <c r="G574" s="424"/>
      <c r="J574" s="434"/>
    </row>
    <row r="575" ht="15.75" customHeight="1">
      <c r="G575" s="424"/>
      <c r="J575" s="434"/>
    </row>
    <row r="576" ht="15.75" customHeight="1">
      <c r="G576" s="424"/>
      <c r="J576" s="434"/>
    </row>
    <row r="577" ht="15.75" customHeight="1">
      <c r="G577" s="424"/>
      <c r="J577" s="434"/>
    </row>
    <row r="578" ht="15.75" customHeight="1">
      <c r="G578" s="424"/>
      <c r="J578" s="434"/>
    </row>
    <row r="579" ht="15.75" customHeight="1">
      <c r="G579" s="424"/>
      <c r="J579" s="434"/>
    </row>
    <row r="580" ht="15.75" customHeight="1">
      <c r="G580" s="424"/>
      <c r="J580" s="434"/>
    </row>
    <row r="581" ht="15.75" customHeight="1">
      <c r="G581" s="424"/>
      <c r="J581" s="434"/>
    </row>
    <row r="582" ht="15.75" customHeight="1">
      <c r="G582" s="424"/>
      <c r="J582" s="434"/>
    </row>
    <row r="583" ht="15.75" customHeight="1">
      <c r="G583" s="424"/>
      <c r="J583" s="434"/>
    </row>
    <row r="584" ht="15.75" customHeight="1">
      <c r="G584" s="424"/>
      <c r="J584" s="434"/>
    </row>
    <row r="585" ht="15.75" customHeight="1">
      <c r="G585" s="424"/>
      <c r="J585" s="434"/>
    </row>
    <row r="586" ht="15.75" customHeight="1">
      <c r="G586" s="424"/>
      <c r="J586" s="434"/>
    </row>
    <row r="587" ht="15.75" customHeight="1">
      <c r="G587" s="424"/>
      <c r="J587" s="434"/>
    </row>
    <row r="588" ht="15.75" customHeight="1">
      <c r="G588" s="424"/>
      <c r="J588" s="434"/>
    </row>
    <row r="589" ht="15.75" customHeight="1">
      <c r="G589" s="424"/>
      <c r="J589" s="434"/>
    </row>
    <row r="590" ht="15.75" customHeight="1">
      <c r="G590" s="424"/>
      <c r="J590" s="434"/>
    </row>
    <row r="591" ht="15.75" customHeight="1">
      <c r="G591" s="424"/>
      <c r="J591" s="434"/>
    </row>
    <row r="592" ht="15.75" customHeight="1">
      <c r="G592" s="424"/>
      <c r="J592" s="434"/>
    </row>
    <row r="593" ht="15.75" customHeight="1">
      <c r="G593" s="424"/>
      <c r="J593" s="434"/>
    </row>
    <row r="594" ht="15.75" customHeight="1">
      <c r="G594" s="424"/>
      <c r="J594" s="434"/>
    </row>
    <row r="595" ht="15.75" customHeight="1">
      <c r="G595" s="424"/>
      <c r="J595" s="434"/>
    </row>
    <row r="596" ht="15.75" customHeight="1">
      <c r="G596" s="424"/>
      <c r="J596" s="434"/>
    </row>
    <row r="597" ht="15.75" customHeight="1">
      <c r="G597" s="424"/>
      <c r="J597" s="434"/>
    </row>
    <row r="598" ht="15.75" customHeight="1">
      <c r="G598" s="424"/>
      <c r="J598" s="434"/>
    </row>
    <row r="599" ht="15.75" customHeight="1">
      <c r="G599" s="424"/>
      <c r="J599" s="434"/>
    </row>
    <row r="600" ht="15.75" customHeight="1">
      <c r="G600" s="424"/>
      <c r="J600" s="434"/>
    </row>
    <row r="601" ht="15.75" customHeight="1">
      <c r="G601" s="424"/>
      <c r="J601" s="434"/>
    </row>
    <row r="602" ht="15.75" customHeight="1">
      <c r="G602" s="424"/>
      <c r="J602" s="434"/>
    </row>
    <row r="603" ht="15.75" customHeight="1">
      <c r="G603" s="424"/>
      <c r="J603" s="434"/>
    </row>
    <row r="604" ht="15.75" customHeight="1">
      <c r="G604" s="424"/>
      <c r="J604" s="434"/>
    </row>
    <row r="605" ht="15.75" customHeight="1">
      <c r="G605" s="424"/>
      <c r="J605" s="434"/>
    </row>
    <row r="606" ht="15.75" customHeight="1">
      <c r="G606" s="424"/>
      <c r="J606" s="434"/>
    </row>
    <row r="607" ht="15.75" customHeight="1">
      <c r="G607" s="424"/>
      <c r="J607" s="434"/>
    </row>
    <row r="608" ht="15.75" customHeight="1">
      <c r="G608" s="424"/>
      <c r="J608" s="434"/>
    </row>
    <row r="609" ht="15.75" customHeight="1">
      <c r="G609" s="424"/>
      <c r="J609" s="434"/>
    </row>
    <row r="610" ht="15.75" customHeight="1">
      <c r="G610" s="424"/>
      <c r="J610" s="434"/>
    </row>
    <row r="611" ht="15.75" customHeight="1">
      <c r="G611" s="424"/>
      <c r="J611" s="434"/>
    </row>
    <row r="612" ht="15.75" customHeight="1">
      <c r="G612" s="424"/>
      <c r="J612" s="434"/>
    </row>
    <row r="613" ht="15.75" customHeight="1">
      <c r="G613" s="424"/>
      <c r="J613" s="434"/>
    </row>
    <row r="614" ht="15.75" customHeight="1">
      <c r="G614" s="424"/>
      <c r="J614" s="434"/>
    </row>
    <row r="615" ht="15.75" customHeight="1">
      <c r="G615" s="424"/>
      <c r="J615" s="434"/>
    </row>
    <row r="616" ht="15.75" customHeight="1">
      <c r="G616" s="424"/>
      <c r="J616" s="434"/>
    </row>
    <row r="617" ht="15.75" customHeight="1">
      <c r="G617" s="424"/>
      <c r="J617" s="434"/>
    </row>
    <row r="618" ht="15.75" customHeight="1">
      <c r="G618" s="424"/>
      <c r="J618" s="434"/>
    </row>
    <row r="619" ht="15.75" customHeight="1">
      <c r="G619" s="424"/>
      <c r="J619" s="434"/>
    </row>
    <row r="620" ht="15.75" customHeight="1">
      <c r="G620" s="424"/>
      <c r="J620" s="434"/>
    </row>
    <row r="621" ht="15.75" customHeight="1">
      <c r="G621" s="424"/>
      <c r="J621" s="434"/>
    </row>
    <row r="622" ht="15.75" customHeight="1">
      <c r="G622" s="424"/>
      <c r="J622" s="434"/>
    </row>
    <row r="623" ht="15.75" customHeight="1">
      <c r="G623" s="424"/>
      <c r="J623" s="434"/>
    </row>
    <row r="624" ht="15.75" customHeight="1">
      <c r="G624" s="424"/>
      <c r="J624" s="434"/>
    </row>
    <row r="625" ht="15.75" customHeight="1">
      <c r="G625" s="424"/>
      <c r="J625" s="434"/>
    </row>
    <row r="626" ht="15.75" customHeight="1">
      <c r="G626" s="424"/>
      <c r="J626" s="434"/>
    </row>
    <row r="627" ht="15.75" customHeight="1">
      <c r="G627" s="424"/>
      <c r="J627" s="434"/>
    </row>
    <row r="628" ht="15.75" customHeight="1">
      <c r="G628" s="424"/>
      <c r="J628" s="434"/>
    </row>
    <row r="629" ht="15.75" customHeight="1">
      <c r="G629" s="424"/>
      <c r="J629" s="434"/>
    </row>
    <row r="630" ht="15.75" customHeight="1">
      <c r="G630" s="424"/>
      <c r="J630" s="434"/>
    </row>
    <row r="631" ht="15.75" customHeight="1">
      <c r="G631" s="424"/>
      <c r="J631" s="434"/>
    </row>
    <row r="632" ht="15.75" customHeight="1">
      <c r="G632" s="424"/>
      <c r="J632" s="434"/>
    </row>
    <row r="633" ht="15.75" customHeight="1">
      <c r="G633" s="424"/>
      <c r="J633" s="434"/>
    </row>
    <row r="634" ht="15.75" customHeight="1">
      <c r="G634" s="424"/>
      <c r="J634" s="434"/>
    </row>
    <row r="635" ht="15.75" customHeight="1">
      <c r="G635" s="424"/>
      <c r="J635" s="434"/>
    </row>
    <row r="636" ht="15.75" customHeight="1">
      <c r="G636" s="424"/>
      <c r="J636" s="434"/>
    </row>
    <row r="637" ht="15.75" customHeight="1">
      <c r="G637" s="424"/>
      <c r="J637" s="434"/>
    </row>
    <row r="638" ht="15.75" customHeight="1">
      <c r="G638" s="424"/>
      <c r="J638" s="434"/>
    </row>
    <row r="639" ht="15.75" customHeight="1">
      <c r="G639" s="424"/>
      <c r="J639" s="434"/>
    </row>
    <row r="640" ht="15.75" customHeight="1">
      <c r="G640" s="424"/>
      <c r="J640" s="434"/>
    </row>
    <row r="641" ht="15.75" customHeight="1">
      <c r="G641" s="424"/>
      <c r="J641" s="434"/>
    </row>
    <row r="642" ht="15.75" customHeight="1">
      <c r="G642" s="424"/>
      <c r="J642" s="434"/>
    </row>
    <row r="643" ht="15.75" customHeight="1">
      <c r="G643" s="424"/>
      <c r="J643" s="434"/>
    </row>
    <row r="644" ht="15.75" customHeight="1">
      <c r="G644" s="424"/>
      <c r="J644" s="434"/>
    </row>
    <row r="645" ht="15.75" customHeight="1">
      <c r="G645" s="424"/>
      <c r="J645" s="434"/>
    </row>
    <row r="646" ht="15.75" customHeight="1">
      <c r="G646" s="424"/>
      <c r="J646" s="434"/>
    </row>
    <row r="647" ht="15.75" customHeight="1">
      <c r="G647" s="424"/>
      <c r="J647" s="434"/>
    </row>
    <row r="648" ht="15.75" customHeight="1">
      <c r="G648" s="424"/>
      <c r="J648" s="434"/>
    </row>
    <row r="649" ht="15.75" customHeight="1">
      <c r="G649" s="424"/>
      <c r="J649" s="434"/>
    </row>
    <row r="650" ht="15.75" customHeight="1">
      <c r="G650" s="424"/>
      <c r="J650" s="434"/>
    </row>
    <row r="651" ht="15.75" customHeight="1">
      <c r="G651" s="424"/>
      <c r="J651" s="434"/>
    </row>
    <row r="652" ht="15.75" customHeight="1">
      <c r="G652" s="424"/>
      <c r="J652" s="434"/>
    </row>
    <row r="653" ht="15.75" customHeight="1">
      <c r="G653" s="424"/>
      <c r="J653" s="434"/>
    </row>
    <row r="654" ht="15.75" customHeight="1">
      <c r="G654" s="424"/>
      <c r="J654" s="434"/>
    </row>
    <row r="655" ht="15.75" customHeight="1">
      <c r="G655" s="424"/>
      <c r="J655" s="434"/>
    </row>
    <row r="656" ht="15.75" customHeight="1">
      <c r="G656" s="424"/>
      <c r="J656" s="434"/>
    </row>
    <row r="657" ht="15.75" customHeight="1">
      <c r="G657" s="424"/>
      <c r="J657" s="434"/>
    </row>
    <row r="658" ht="15.75" customHeight="1">
      <c r="G658" s="424"/>
      <c r="J658" s="434"/>
    </row>
    <row r="659" ht="15.75" customHeight="1">
      <c r="G659" s="424"/>
      <c r="J659" s="434"/>
    </row>
    <row r="660" ht="15.75" customHeight="1">
      <c r="G660" s="424"/>
      <c r="J660" s="434"/>
    </row>
    <row r="661" ht="15.75" customHeight="1">
      <c r="G661" s="424"/>
      <c r="J661" s="434"/>
    </row>
    <row r="662" ht="15.75" customHeight="1">
      <c r="G662" s="424"/>
      <c r="J662" s="434"/>
    </row>
    <row r="663" ht="15.75" customHeight="1">
      <c r="G663" s="424"/>
      <c r="J663" s="434"/>
    </row>
    <row r="664" ht="15.75" customHeight="1">
      <c r="G664" s="424"/>
      <c r="J664" s="434"/>
    </row>
    <row r="665" ht="15.75" customHeight="1">
      <c r="G665" s="424"/>
      <c r="J665" s="434"/>
    </row>
    <row r="666" ht="15.75" customHeight="1">
      <c r="G666" s="424"/>
      <c r="J666" s="434"/>
    </row>
    <row r="667" ht="15.75" customHeight="1">
      <c r="G667" s="424"/>
      <c r="J667" s="434"/>
    </row>
    <row r="668" ht="15.75" customHeight="1">
      <c r="G668" s="424"/>
      <c r="J668" s="434"/>
    </row>
    <row r="669" ht="15.75" customHeight="1">
      <c r="G669" s="424"/>
      <c r="J669" s="434"/>
    </row>
    <row r="670" ht="15.75" customHeight="1">
      <c r="G670" s="424"/>
      <c r="J670" s="434"/>
    </row>
    <row r="671" ht="15.75" customHeight="1">
      <c r="G671" s="424"/>
      <c r="J671" s="434"/>
    </row>
    <row r="672" ht="15.75" customHeight="1">
      <c r="G672" s="424"/>
      <c r="J672" s="434"/>
    </row>
    <row r="673" ht="15.75" customHeight="1">
      <c r="G673" s="424"/>
      <c r="J673" s="434"/>
    </row>
    <row r="674" ht="15.75" customHeight="1">
      <c r="G674" s="424"/>
      <c r="J674" s="434"/>
    </row>
    <row r="675" ht="15.75" customHeight="1">
      <c r="G675" s="424"/>
      <c r="J675" s="434"/>
    </row>
    <row r="676" ht="15.75" customHeight="1">
      <c r="G676" s="424"/>
      <c r="J676" s="434"/>
    </row>
    <row r="677" ht="15.75" customHeight="1">
      <c r="G677" s="424"/>
      <c r="J677" s="434"/>
    </row>
    <row r="678" ht="15.75" customHeight="1">
      <c r="G678" s="424"/>
      <c r="J678" s="434"/>
    </row>
    <row r="679" ht="15.75" customHeight="1">
      <c r="G679" s="424"/>
      <c r="J679" s="434"/>
    </row>
    <row r="680" ht="15.75" customHeight="1">
      <c r="G680" s="424"/>
      <c r="J680" s="434"/>
    </row>
    <row r="681" ht="15.75" customHeight="1">
      <c r="G681" s="424"/>
      <c r="J681" s="434"/>
    </row>
    <row r="682" ht="15.75" customHeight="1">
      <c r="G682" s="424"/>
      <c r="J682" s="434"/>
    </row>
    <row r="683" ht="15.75" customHeight="1">
      <c r="G683" s="424"/>
      <c r="J683" s="434"/>
    </row>
    <row r="684" ht="15.75" customHeight="1">
      <c r="G684" s="424"/>
      <c r="J684" s="434"/>
    </row>
    <row r="685" ht="15.75" customHeight="1">
      <c r="G685" s="424"/>
      <c r="J685" s="434"/>
    </row>
    <row r="686" ht="15.75" customHeight="1">
      <c r="G686" s="424"/>
      <c r="J686" s="434"/>
    </row>
    <row r="687" ht="15.75" customHeight="1">
      <c r="G687" s="424"/>
      <c r="J687" s="434"/>
    </row>
    <row r="688" ht="15.75" customHeight="1">
      <c r="G688" s="424"/>
      <c r="J688" s="434"/>
    </row>
    <row r="689" ht="15.75" customHeight="1">
      <c r="G689" s="424"/>
      <c r="J689" s="434"/>
    </row>
    <row r="690" ht="15.75" customHeight="1">
      <c r="G690" s="424"/>
      <c r="J690" s="434"/>
    </row>
    <row r="691" ht="15.75" customHeight="1">
      <c r="G691" s="424"/>
      <c r="J691" s="434"/>
    </row>
    <row r="692" ht="15.75" customHeight="1">
      <c r="G692" s="424"/>
      <c r="J692" s="434"/>
    </row>
    <row r="693" ht="15.75" customHeight="1">
      <c r="G693" s="424"/>
      <c r="J693" s="434"/>
    </row>
    <row r="694" ht="15.75" customHeight="1">
      <c r="G694" s="424"/>
      <c r="J694" s="434"/>
    </row>
    <row r="695" ht="15.75" customHeight="1">
      <c r="G695" s="424"/>
      <c r="J695" s="434"/>
    </row>
    <row r="696" ht="15.75" customHeight="1">
      <c r="G696" s="424"/>
      <c r="J696" s="434"/>
    </row>
    <row r="697" ht="15.75" customHeight="1">
      <c r="G697" s="424"/>
      <c r="J697" s="434"/>
    </row>
    <row r="698" ht="15.75" customHeight="1">
      <c r="G698" s="424"/>
      <c r="J698" s="434"/>
    </row>
    <row r="699" ht="15.75" customHeight="1">
      <c r="G699" s="424"/>
      <c r="J699" s="434"/>
    </row>
    <row r="700" ht="15.75" customHeight="1">
      <c r="G700" s="424"/>
      <c r="J700" s="434"/>
    </row>
    <row r="701" ht="15.75" customHeight="1">
      <c r="G701" s="424"/>
      <c r="J701" s="434"/>
    </row>
    <row r="702" ht="15.75" customHeight="1">
      <c r="G702" s="424"/>
      <c r="J702" s="434"/>
    </row>
    <row r="703" ht="15.75" customHeight="1">
      <c r="G703" s="424"/>
      <c r="J703" s="434"/>
    </row>
    <row r="704" ht="15.75" customHeight="1">
      <c r="G704" s="424"/>
      <c r="J704" s="434"/>
    </row>
    <row r="705" ht="15.75" customHeight="1">
      <c r="G705" s="424"/>
      <c r="J705" s="434"/>
    </row>
    <row r="706" ht="15.75" customHeight="1">
      <c r="G706" s="424"/>
      <c r="J706" s="434"/>
    </row>
    <row r="707" ht="15.75" customHeight="1">
      <c r="G707" s="424"/>
      <c r="J707" s="434"/>
    </row>
    <row r="708" ht="15.75" customHeight="1">
      <c r="G708" s="424"/>
      <c r="J708" s="434"/>
    </row>
    <row r="709" ht="15.75" customHeight="1">
      <c r="G709" s="424"/>
      <c r="J709" s="434"/>
    </row>
    <row r="710" ht="15.75" customHeight="1">
      <c r="G710" s="424"/>
      <c r="J710" s="434"/>
    </row>
    <row r="711" ht="15.75" customHeight="1">
      <c r="G711" s="424"/>
      <c r="J711" s="434"/>
    </row>
    <row r="712" ht="15.75" customHeight="1">
      <c r="G712" s="424"/>
      <c r="J712" s="434"/>
    </row>
    <row r="713" ht="15.75" customHeight="1">
      <c r="G713" s="424"/>
      <c r="J713" s="434"/>
    </row>
    <row r="714" ht="15.75" customHeight="1">
      <c r="G714" s="424"/>
      <c r="J714" s="434"/>
    </row>
    <row r="715" ht="15.75" customHeight="1">
      <c r="G715" s="424"/>
      <c r="J715" s="434"/>
    </row>
    <row r="716" ht="15.75" customHeight="1">
      <c r="G716" s="424"/>
      <c r="J716" s="434"/>
    </row>
    <row r="717" ht="15.75" customHeight="1">
      <c r="G717" s="424"/>
      <c r="J717" s="434"/>
    </row>
    <row r="718" ht="15.75" customHeight="1">
      <c r="G718" s="424"/>
      <c r="J718" s="434"/>
    </row>
    <row r="719" ht="15.75" customHeight="1">
      <c r="G719" s="424"/>
      <c r="J719" s="434"/>
    </row>
    <row r="720" ht="15.75" customHeight="1">
      <c r="G720" s="424"/>
      <c r="J720" s="434"/>
    </row>
    <row r="721" ht="15.75" customHeight="1">
      <c r="G721" s="424"/>
      <c r="J721" s="434"/>
    </row>
    <row r="722" ht="15.75" customHeight="1">
      <c r="G722" s="424"/>
      <c r="J722" s="434"/>
    </row>
    <row r="723" ht="15.75" customHeight="1">
      <c r="G723" s="424"/>
      <c r="J723" s="434"/>
    </row>
    <row r="724" ht="15.75" customHeight="1">
      <c r="G724" s="424"/>
      <c r="J724" s="434"/>
    </row>
    <row r="725" ht="15.75" customHeight="1">
      <c r="G725" s="424"/>
      <c r="J725" s="434"/>
    </row>
    <row r="726" ht="15.75" customHeight="1">
      <c r="G726" s="424"/>
      <c r="J726" s="434"/>
    </row>
    <row r="727" ht="15.75" customHeight="1">
      <c r="G727" s="424"/>
      <c r="J727" s="434"/>
    </row>
    <row r="728" ht="15.75" customHeight="1">
      <c r="G728" s="424"/>
      <c r="J728" s="434"/>
    </row>
    <row r="729" ht="15.75" customHeight="1">
      <c r="G729" s="424"/>
      <c r="J729" s="434"/>
    </row>
    <row r="730" ht="15.75" customHeight="1">
      <c r="G730" s="424"/>
      <c r="J730" s="434"/>
    </row>
    <row r="731" ht="15.75" customHeight="1">
      <c r="G731" s="424"/>
      <c r="J731" s="434"/>
    </row>
    <row r="732" ht="15.75" customHeight="1">
      <c r="G732" s="424"/>
      <c r="J732" s="434"/>
    </row>
    <row r="733" ht="15.75" customHeight="1">
      <c r="G733" s="424"/>
      <c r="J733" s="434"/>
    </row>
    <row r="734" ht="15.75" customHeight="1">
      <c r="G734" s="424"/>
      <c r="J734" s="434"/>
    </row>
    <row r="735" ht="15.75" customHeight="1">
      <c r="G735" s="424"/>
      <c r="J735" s="434"/>
    </row>
    <row r="736" ht="15.75" customHeight="1">
      <c r="G736" s="424"/>
      <c r="J736" s="434"/>
    </row>
    <row r="737" ht="15.75" customHeight="1">
      <c r="G737" s="424"/>
      <c r="J737" s="434"/>
    </row>
    <row r="738" ht="15.75" customHeight="1">
      <c r="G738" s="424"/>
      <c r="J738" s="434"/>
    </row>
    <row r="739" ht="15.75" customHeight="1">
      <c r="G739" s="424"/>
      <c r="J739" s="434"/>
    </row>
    <row r="740" ht="15.75" customHeight="1">
      <c r="G740" s="424"/>
      <c r="J740" s="434"/>
    </row>
    <row r="741" ht="15.75" customHeight="1">
      <c r="G741" s="424"/>
      <c r="J741" s="434"/>
    </row>
    <row r="742" ht="15.75" customHeight="1">
      <c r="G742" s="424"/>
      <c r="J742" s="434"/>
    </row>
    <row r="743" ht="15.75" customHeight="1">
      <c r="G743" s="424"/>
      <c r="J743" s="434"/>
    </row>
    <row r="744" ht="15.75" customHeight="1">
      <c r="G744" s="424"/>
      <c r="J744" s="434"/>
    </row>
    <row r="745" ht="15.75" customHeight="1">
      <c r="G745" s="424"/>
      <c r="J745" s="434"/>
    </row>
    <row r="746" ht="15.75" customHeight="1">
      <c r="G746" s="424"/>
      <c r="J746" s="434"/>
    </row>
    <row r="747" ht="15.75" customHeight="1">
      <c r="G747" s="424"/>
      <c r="J747" s="434"/>
    </row>
    <row r="748" ht="15.75" customHeight="1">
      <c r="G748" s="424"/>
      <c r="J748" s="434"/>
    </row>
    <row r="749" ht="15.75" customHeight="1">
      <c r="G749" s="424"/>
      <c r="J749" s="434"/>
    </row>
    <row r="750" ht="15.75" customHeight="1">
      <c r="G750" s="424"/>
      <c r="J750" s="434"/>
    </row>
    <row r="751" ht="15.75" customHeight="1">
      <c r="G751" s="424"/>
      <c r="J751" s="434"/>
    </row>
    <row r="752" ht="15.75" customHeight="1">
      <c r="G752" s="424"/>
      <c r="J752" s="434"/>
    </row>
    <row r="753" ht="15.75" customHeight="1">
      <c r="G753" s="424"/>
      <c r="J753" s="434"/>
    </row>
    <row r="754" ht="15.75" customHeight="1">
      <c r="G754" s="424"/>
      <c r="J754" s="434"/>
    </row>
    <row r="755" ht="15.75" customHeight="1">
      <c r="G755" s="424"/>
      <c r="J755" s="434"/>
    </row>
    <row r="756" ht="15.75" customHeight="1">
      <c r="G756" s="424"/>
      <c r="J756" s="434"/>
    </row>
    <row r="757" ht="15.75" customHeight="1">
      <c r="G757" s="424"/>
      <c r="J757" s="434"/>
    </row>
    <row r="758" ht="15.75" customHeight="1">
      <c r="G758" s="424"/>
      <c r="J758" s="434"/>
    </row>
    <row r="759" ht="15.75" customHeight="1">
      <c r="G759" s="424"/>
      <c r="J759" s="434"/>
    </row>
    <row r="760" ht="15.75" customHeight="1">
      <c r="G760" s="424"/>
      <c r="J760" s="434"/>
    </row>
    <row r="761" ht="15.75" customHeight="1">
      <c r="G761" s="424"/>
      <c r="J761" s="434"/>
    </row>
    <row r="762" ht="15.75" customHeight="1">
      <c r="G762" s="424"/>
      <c r="J762" s="434"/>
    </row>
    <row r="763" ht="15.75" customHeight="1">
      <c r="G763" s="424"/>
      <c r="J763" s="434"/>
    </row>
    <row r="764" ht="15.75" customHeight="1">
      <c r="G764" s="424"/>
      <c r="J764" s="434"/>
    </row>
    <row r="765" ht="15.75" customHeight="1">
      <c r="G765" s="424"/>
      <c r="J765" s="434"/>
    </row>
    <row r="766" ht="15.75" customHeight="1">
      <c r="G766" s="424"/>
      <c r="J766" s="434"/>
    </row>
    <row r="767" ht="15.75" customHeight="1">
      <c r="G767" s="424"/>
      <c r="J767" s="434"/>
    </row>
    <row r="768" ht="15.75" customHeight="1">
      <c r="G768" s="424"/>
      <c r="J768" s="434"/>
    </row>
    <row r="769" ht="15.75" customHeight="1">
      <c r="G769" s="424"/>
      <c r="J769" s="434"/>
    </row>
    <row r="770" ht="15.75" customHeight="1">
      <c r="G770" s="424"/>
      <c r="J770" s="434"/>
    </row>
    <row r="771" ht="15.75" customHeight="1">
      <c r="G771" s="424"/>
      <c r="J771" s="434"/>
    </row>
    <row r="772" ht="15.75" customHeight="1">
      <c r="G772" s="424"/>
      <c r="J772" s="434"/>
    </row>
    <row r="773" ht="15.75" customHeight="1">
      <c r="G773" s="424"/>
      <c r="J773" s="434"/>
    </row>
    <row r="774" ht="15.75" customHeight="1">
      <c r="G774" s="424"/>
      <c r="J774" s="434"/>
    </row>
    <row r="775" ht="15.75" customHeight="1">
      <c r="G775" s="424"/>
      <c r="J775" s="434"/>
    </row>
    <row r="776" ht="15.75" customHeight="1">
      <c r="G776" s="424"/>
      <c r="J776" s="434"/>
    </row>
    <row r="777" ht="15.75" customHeight="1">
      <c r="G777" s="424"/>
      <c r="J777" s="434"/>
    </row>
    <row r="778" ht="15.75" customHeight="1">
      <c r="G778" s="424"/>
      <c r="J778" s="434"/>
    </row>
    <row r="779" ht="15.75" customHeight="1">
      <c r="G779" s="424"/>
      <c r="J779" s="434"/>
    </row>
    <row r="780" ht="15.75" customHeight="1">
      <c r="G780" s="424"/>
      <c r="J780" s="434"/>
    </row>
    <row r="781" ht="15.75" customHeight="1">
      <c r="G781" s="424"/>
      <c r="J781" s="434"/>
    </row>
    <row r="782" ht="15.75" customHeight="1">
      <c r="G782" s="424"/>
      <c r="J782" s="434"/>
    </row>
    <row r="783" ht="15.75" customHeight="1">
      <c r="G783" s="424"/>
      <c r="J783" s="434"/>
    </row>
    <row r="784" ht="15.75" customHeight="1">
      <c r="G784" s="424"/>
      <c r="J784" s="434"/>
    </row>
    <row r="785" ht="15.75" customHeight="1">
      <c r="G785" s="424"/>
      <c r="J785" s="434"/>
    </row>
    <row r="786" ht="15.75" customHeight="1">
      <c r="G786" s="424"/>
      <c r="J786" s="434"/>
    </row>
    <row r="787" ht="15.75" customHeight="1">
      <c r="G787" s="424"/>
      <c r="J787" s="434"/>
    </row>
    <row r="788" ht="15.75" customHeight="1">
      <c r="G788" s="424"/>
      <c r="J788" s="434"/>
    </row>
    <row r="789" ht="15.75" customHeight="1">
      <c r="G789" s="424"/>
      <c r="J789" s="434"/>
    </row>
    <row r="790" ht="15.75" customHeight="1">
      <c r="G790" s="424"/>
      <c r="J790" s="434"/>
    </row>
    <row r="791" ht="15.75" customHeight="1">
      <c r="G791" s="424"/>
      <c r="J791" s="434"/>
    </row>
    <row r="792" ht="15.75" customHeight="1">
      <c r="G792" s="424"/>
      <c r="J792" s="434"/>
    </row>
    <row r="793" ht="15.75" customHeight="1">
      <c r="G793" s="424"/>
      <c r="J793" s="434"/>
    </row>
    <row r="794" ht="15.75" customHeight="1">
      <c r="G794" s="424"/>
      <c r="J794" s="434"/>
    </row>
    <row r="795" ht="15.75" customHeight="1">
      <c r="G795" s="424"/>
      <c r="J795" s="434"/>
    </row>
    <row r="796" ht="15.75" customHeight="1">
      <c r="G796" s="424"/>
      <c r="J796" s="434"/>
    </row>
    <row r="797" ht="15.75" customHeight="1">
      <c r="G797" s="424"/>
      <c r="J797" s="434"/>
    </row>
    <row r="798" ht="15.75" customHeight="1">
      <c r="G798" s="424"/>
      <c r="J798" s="434"/>
    </row>
    <row r="799" ht="15.75" customHeight="1">
      <c r="G799" s="424"/>
      <c r="J799" s="434"/>
    </row>
    <row r="800" ht="15.75" customHeight="1">
      <c r="G800" s="424"/>
      <c r="J800" s="434"/>
    </row>
    <row r="801" ht="15.75" customHeight="1">
      <c r="G801" s="424"/>
      <c r="J801" s="434"/>
    </row>
    <row r="802" ht="15.75" customHeight="1">
      <c r="G802" s="424"/>
      <c r="J802" s="434"/>
    </row>
    <row r="803" ht="15.75" customHeight="1">
      <c r="G803" s="424"/>
      <c r="J803" s="434"/>
    </row>
    <row r="804" ht="15.75" customHeight="1">
      <c r="G804" s="424"/>
      <c r="J804" s="434"/>
    </row>
    <row r="805" ht="15.75" customHeight="1">
      <c r="G805" s="424"/>
      <c r="J805" s="434"/>
    </row>
    <row r="806" ht="15.75" customHeight="1">
      <c r="G806" s="424"/>
      <c r="J806" s="434"/>
    </row>
    <row r="807" ht="15.75" customHeight="1">
      <c r="G807" s="424"/>
      <c r="J807" s="434"/>
    </row>
    <row r="808" ht="15.75" customHeight="1">
      <c r="G808" s="424"/>
      <c r="J808" s="434"/>
    </row>
    <row r="809" ht="15.75" customHeight="1">
      <c r="G809" s="424"/>
      <c r="J809" s="434"/>
    </row>
    <row r="810" ht="15.75" customHeight="1">
      <c r="G810" s="424"/>
      <c r="J810" s="434"/>
    </row>
    <row r="811" ht="15.75" customHeight="1">
      <c r="G811" s="424"/>
      <c r="J811" s="434"/>
    </row>
    <row r="812" ht="15.75" customHeight="1">
      <c r="G812" s="424"/>
      <c r="J812" s="434"/>
    </row>
    <row r="813" ht="15.75" customHeight="1">
      <c r="G813" s="424"/>
      <c r="J813" s="434"/>
    </row>
    <row r="814" ht="15.75" customHeight="1">
      <c r="G814" s="424"/>
      <c r="J814" s="434"/>
    </row>
    <row r="815" ht="15.75" customHeight="1">
      <c r="G815" s="424"/>
      <c r="J815" s="434"/>
    </row>
    <row r="816" ht="15.75" customHeight="1">
      <c r="G816" s="424"/>
      <c r="J816" s="434"/>
    </row>
    <row r="817" ht="15.75" customHeight="1">
      <c r="G817" s="424"/>
      <c r="J817" s="434"/>
    </row>
    <row r="818" ht="15.75" customHeight="1">
      <c r="G818" s="424"/>
      <c r="J818" s="434"/>
    </row>
    <row r="819" ht="15.75" customHeight="1">
      <c r="G819" s="424"/>
      <c r="J819" s="434"/>
    </row>
    <row r="820" ht="15.75" customHeight="1">
      <c r="G820" s="424"/>
      <c r="J820" s="434"/>
    </row>
    <row r="821" ht="15.75" customHeight="1">
      <c r="G821" s="424"/>
      <c r="J821" s="434"/>
    </row>
    <row r="822" ht="15.75" customHeight="1">
      <c r="G822" s="424"/>
      <c r="J822" s="434"/>
    </row>
    <row r="823" ht="15.75" customHeight="1">
      <c r="G823" s="424"/>
      <c r="J823" s="434"/>
    </row>
    <row r="824" ht="15.75" customHeight="1">
      <c r="G824" s="424"/>
      <c r="J824" s="434"/>
    </row>
    <row r="825" ht="15.75" customHeight="1">
      <c r="G825" s="424"/>
      <c r="J825" s="434"/>
    </row>
    <row r="826" ht="15.75" customHeight="1">
      <c r="G826" s="424"/>
      <c r="J826" s="434"/>
    </row>
    <row r="827" ht="15.75" customHeight="1">
      <c r="G827" s="424"/>
      <c r="J827" s="434"/>
    </row>
    <row r="828" ht="15.75" customHeight="1">
      <c r="G828" s="424"/>
      <c r="J828" s="434"/>
    </row>
    <row r="829" ht="15.75" customHeight="1">
      <c r="G829" s="424"/>
      <c r="J829" s="434"/>
    </row>
    <row r="830" ht="15.75" customHeight="1">
      <c r="G830" s="424"/>
      <c r="J830" s="434"/>
    </row>
    <row r="831" ht="15.75" customHeight="1">
      <c r="G831" s="424"/>
      <c r="J831" s="434"/>
    </row>
    <row r="832" ht="15.75" customHeight="1">
      <c r="G832" s="424"/>
      <c r="J832" s="434"/>
    </row>
    <row r="833" ht="15.75" customHeight="1">
      <c r="G833" s="424"/>
      <c r="J833" s="434"/>
    </row>
    <row r="834" ht="15.75" customHeight="1">
      <c r="G834" s="424"/>
      <c r="J834" s="434"/>
    </row>
    <row r="835" ht="15.75" customHeight="1">
      <c r="G835" s="424"/>
      <c r="J835" s="434"/>
    </row>
    <row r="836" ht="15.75" customHeight="1">
      <c r="G836" s="424"/>
      <c r="J836" s="434"/>
    </row>
    <row r="837" ht="15.75" customHeight="1">
      <c r="G837" s="424"/>
      <c r="J837" s="434"/>
    </row>
    <row r="838" ht="15.75" customHeight="1">
      <c r="G838" s="424"/>
      <c r="J838" s="434"/>
    </row>
    <row r="839" ht="15.75" customHeight="1">
      <c r="G839" s="424"/>
      <c r="J839" s="434"/>
    </row>
    <row r="840" ht="15.75" customHeight="1">
      <c r="G840" s="424"/>
      <c r="J840" s="434"/>
    </row>
    <row r="841" ht="15.75" customHeight="1">
      <c r="G841" s="424"/>
      <c r="J841" s="434"/>
    </row>
    <row r="842" ht="15.75" customHeight="1">
      <c r="G842" s="424"/>
      <c r="J842" s="434"/>
    </row>
    <row r="843" ht="15.75" customHeight="1">
      <c r="G843" s="424"/>
      <c r="J843" s="434"/>
    </row>
    <row r="844" ht="15.75" customHeight="1">
      <c r="G844" s="424"/>
      <c r="J844" s="434"/>
    </row>
    <row r="845" ht="15.75" customHeight="1">
      <c r="G845" s="424"/>
      <c r="J845" s="434"/>
    </row>
    <row r="846" ht="15.75" customHeight="1">
      <c r="G846" s="424"/>
      <c r="J846" s="434"/>
    </row>
    <row r="847" ht="15.75" customHeight="1">
      <c r="G847" s="424"/>
      <c r="J847" s="434"/>
    </row>
    <row r="848" ht="15.75" customHeight="1">
      <c r="G848" s="424"/>
      <c r="J848" s="434"/>
    </row>
    <row r="849" ht="15.75" customHeight="1">
      <c r="G849" s="424"/>
      <c r="J849" s="434"/>
    </row>
    <row r="850" ht="15.75" customHeight="1">
      <c r="G850" s="424"/>
      <c r="J850" s="434"/>
    </row>
    <row r="851" ht="15.75" customHeight="1">
      <c r="G851" s="424"/>
      <c r="J851" s="434"/>
    </row>
    <row r="852" ht="15.75" customHeight="1">
      <c r="G852" s="424"/>
      <c r="J852" s="434"/>
    </row>
    <row r="853" ht="15.75" customHeight="1">
      <c r="G853" s="424"/>
      <c r="J853" s="434"/>
    </row>
    <row r="854" ht="15.75" customHeight="1">
      <c r="G854" s="424"/>
      <c r="J854" s="434"/>
    </row>
    <row r="855" ht="15.75" customHeight="1">
      <c r="G855" s="424"/>
      <c r="J855" s="434"/>
    </row>
    <row r="856" ht="15.75" customHeight="1">
      <c r="G856" s="424"/>
      <c r="J856" s="434"/>
    </row>
    <row r="857" ht="15.75" customHeight="1">
      <c r="G857" s="424"/>
      <c r="J857" s="434"/>
    </row>
    <row r="858" ht="15.75" customHeight="1">
      <c r="G858" s="424"/>
      <c r="J858" s="434"/>
    </row>
    <row r="859" ht="15.75" customHeight="1">
      <c r="G859" s="424"/>
      <c r="J859" s="434"/>
    </row>
    <row r="860" ht="15.75" customHeight="1">
      <c r="G860" s="424"/>
      <c r="J860" s="434"/>
    </row>
    <row r="861" ht="15.75" customHeight="1">
      <c r="G861" s="424"/>
      <c r="J861" s="434"/>
    </row>
    <row r="862" ht="15.75" customHeight="1">
      <c r="G862" s="424"/>
      <c r="J862" s="434"/>
    </row>
    <row r="863" ht="15.75" customHeight="1">
      <c r="G863" s="424"/>
      <c r="J863" s="434"/>
    </row>
    <row r="864" ht="15.75" customHeight="1">
      <c r="G864" s="424"/>
      <c r="J864" s="434"/>
    </row>
    <row r="865" ht="15.75" customHeight="1">
      <c r="G865" s="424"/>
      <c r="J865" s="434"/>
    </row>
    <row r="866" ht="15.75" customHeight="1">
      <c r="G866" s="424"/>
      <c r="J866" s="434"/>
    </row>
    <row r="867" ht="15.75" customHeight="1">
      <c r="G867" s="424"/>
      <c r="J867" s="434"/>
    </row>
    <row r="868" ht="15.75" customHeight="1">
      <c r="G868" s="424"/>
      <c r="J868" s="434"/>
    </row>
    <row r="869" ht="15.75" customHeight="1">
      <c r="G869" s="424"/>
      <c r="J869" s="434"/>
    </row>
    <row r="870" ht="15.75" customHeight="1">
      <c r="G870" s="424"/>
      <c r="J870" s="434"/>
    </row>
    <row r="871" ht="15.75" customHeight="1">
      <c r="G871" s="424"/>
      <c r="J871" s="434"/>
    </row>
    <row r="872" ht="15.75" customHeight="1">
      <c r="G872" s="424"/>
      <c r="J872" s="434"/>
    </row>
    <row r="873" ht="15.75" customHeight="1">
      <c r="G873" s="424"/>
      <c r="J873" s="434"/>
    </row>
    <row r="874" ht="15.75" customHeight="1">
      <c r="G874" s="424"/>
      <c r="J874" s="434"/>
    </row>
    <row r="875" ht="15.75" customHeight="1">
      <c r="G875" s="424"/>
      <c r="J875" s="434"/>
    </row>
    <row r="876" ht="15.75" customHeight="1">
      <c r="G876" s="424"/>
      <c r="J876" s="434"/>
    </row>
    <row r="877" ht="15.75" customHeight="1">
      <c r="G877" s="424"/>
      <c r="J877" s="434"/>
    </row>
    <row r="878" ht="15.75" customHeight="1">
      <c r="G878" s="424"/>
      <c r="J878" s="434"/>
    </row>
    <row r="879" ht="15.75" customHeight="1">
      <c r="G879" s="424"/>
      <c r="J879" s="434"/>
    </row>
    <row r="880" ht="15.75" customHeight="1">
      <c r="G880" s="424"/>
      <c r="J880" s="434"/>
    </row>
    <row r="881" ht="15.75" customHeight="1">
      <c r="G881" s="424"/>
      <c r="J881" s="434"/>
    </row>
    <row r="882" ht="15.75" customHeight="1">
      <c r="G882" s="424"/>
      <c r="J882" s="434"/>
    </row>
    <row r="883" ht="15.75" customHeight="1">
      <c r="G883" s="424"/>
      <c r="J883" s="434"/>
    </row>
    <row r="884" ht="15.75" customHeight="1">
      <c r="G884" s="424"/>
      <c r="J884" s="434"/>
    </row>
    <row r="885" ht="15.75" customHeight="1">
      <c r="G885" s="424"/>
      <c r="J885" s="434"/>
    </row>
    <row r="886" ht="15.75" customHeight="1">
      <c r="G886" s="424"/>
      <c r="J886" s="434"/>
    </row>
    <row r="887" ht="15.75" customHeight="1">
      <c r="G887" s="424"/>
      <c r="J887" s="434"/>
    </row>
    <row r="888" ht="15.75" customHeight="1">
      <c r="G888" s="424"/>
      <c r="J888" s="434"/>
    </row>
    <row r="889" ht="15.75" customHeight="1">
      <c r="G889" s="424"/>
      <c r="J889" s="434"/>
    </row>
    <row r="890" ht="15.75" customHeight="1">
      <c r="G890" s="424"/>
      <c r="J890" s="434"/>
    </row>
    <row r="891" ht="15.75" customHeight="1">
      <c r="G891" s="424"/>
      <c r="J891" s="434"/>
    </row>
    <row r="892" ht="15.75" customHeight="1">
      <c r="G892" s="424"/>
      <c r="J892" s="434"/>
    </row>
    <row r="893" ht="15.75" customHeight="1">
      <c r="G893" s="424"/>
      <c r="J893" s="434"/>
    </row>
    <row r="894" ht="15.75" customHeight="1">
      <c r="G894" s="424"/>
      <c r="J894" s="434"/>
    </row>
    <row r="895" ht="15.75" customHeight="1">
      <c r="G895" s="424"/>
      <c r="J895" s="434"/>
    </row>
    <row r="896" ht="15.75" customHeight="1">
      <c r="G896" s="424"/>
      <c r="J896" s="434"/>
    </row>
    <row r="897" ht="15.75" customHeight="1">
      <c r="G897" s="424"/>
      <c r="J897" s="434"/>
    </row>
    <row r="898" ht="15.75" customHeight="1">
      <c r="G898" s="424"/>
      <c r="J898" s="434"/>
    </row>
    <row r="899" ht="15.75" customHeight="1">
      <c r="G899" s="424"/>
      <c r="J899" s="434"/>
    </row>
    <row r="900" ht="15.75" customHeight="1">
      <c r="G900" s="424"/>
      <c r="J900" s="434"/>
    </row>
    <row r="901" ht="15.75" customHeight="1">
      <c r="G901" s="424"/>
      <c r="J901" s="434"/>
    </row>
    <row r="902" ht="15.75" customHeight="1">
      <c r="G902" s="424"/>
      <c r="J902" s="434"/>
    </row>
    <row r="903" ht="15.75" customHeight="1">
      <c r="G903" s="424"/>
      <c r="J903" s="434"/>
    </row>
    <row r="904" ht="15.75" customHeight="1">
      <c r="G904" s="424"/>
      <c r="J904" s="434"/>
    </row>
    <row r="905" ht="15.75" customHeight="1">
      <c r="G905" s="424"/>
      <c r="J905" s="434"/>
    </row>
    <row r="906" ht="15.75" customHeight="1">
      <c r="G906" s="424"/>
      <c r="J906" s="434"/>
    </row>
    <row r="907" ht="15.75" customHeight="1">
      <c r="G907" s="424"/>
      <c r="J907" s="434"/>
    </row>
    <row r="908" ht="15.75" customHeight="1">
      <c r="G908" s="424"/>
      <c r="J908" s="434"/>
    </row>
    <row r="909" ht="15.75" customHeight="1">
      <c r="G909" s="424"/>
      <c r="J909" s="434"/>
    </row>
    <row r="910" ht="15.75" customHeight="1">
      <c r="G910" s="424"/>
      <c r="J910" s="434"/>
    </row>
    <row r="911" ht="15.75" customHeight="1">
      <c r="G911" s="424"/>
      <c r="J911" s="434"/>
    </row>
    <row r="912" ht="15.75" customHeight="1">
      <c r="G912" s="424"/>
      <c r="J912" s="434"/>
    </row>
    <row r="913" ht="15.75" customHeight="1">
      <c r="G913" s="424"/>
      <c r="J913" s="434"/>
    </row>
    <row r="914" ht="15.75" customHeight="1">
      <c r="G914" s="424"/>
      <c r="J914" s="434"/>
    </row>
    <row r="915" ht="15.75" customHeight="1">
      <c r="G915" s="424"/>
      <c r="J915" s="434"/>
    </row>
    <row r="916" ht="15.75" customHeight="1">
      <c r="G916" s="424"/>
      <c r="J916" s="434"/>
    </row>
    <row r="917" ht="15.75" customHeight="1">
      <c r="G917" s="424"/>
      <c r="J917" s="434"/>
    </row>
    <row r="918" ht="15.75" customHeight="1">
      <c r="G918" s="424"/>
      <c r="J918" s="434"/>
    </row>
    <row r="919" ht="15.75" customHeight="1">
      <c r="G919" s="424"/>
      <c r="J919" s="434"/>
    </row>
    <row r="920" ht="15.75" customHeight="1">
      <c r="G920" s="424"/>
      <c r="J920" s="434"/>
    </row>
    <row r="921" ht="15.75" customHeight="1">
      <c r="G921" s="424"/>
      <c r="J921" s="434"/>
    </row>
    <row r="922" ht="15.75" customHeight="1">
      <c r="G922" s="424"/>
      <c r="J922" s="434"/>
    </row>
    <row r="923" ht="15.75" customHeight="1">
      <c r="G923" s="424"/>
      <c r="J923" s="434"/>
    </row>
    <row r="924" ht="15.75" customHeight="1">
      <c r="G924" s="424"/>
      <c r="J924" s="434"/>
    </row>
    <row r="925" ht="15.75" customHeight="1">
      <c r="G925" s="424"/>
      <c r="J925" s="434"/>
    </row>
    <row r="926" ht="15.75" customHeight="1">
      <c r="G926" s="424"/>
      <c r="J926" s="434"/>
    </row>
    <row r="927" ht="15.75" customHeight="1">
      <c r="G927" s="424"/>
      <c r="J927" s="434"/>
    </row>
    <row r="928" ht="15.75" customHeight="1">
      <c r="G928" s="424"/>
      <c r="J928" s="434"/>
    </row>
    <row r="929" ht="15.75" customHeight="1">
      <c r="G929" s="424"/>
      <c r="J929" s="434"/>
    </row>
    <row r="930" ht="15.75" customHeight="1">
      <c r="G930" s="424"/>
      <c r="J930" s="434"/>
    </row>
    <row r="931" ht="15.75" customHeight="1">
      <c r="G931" s="424"/>
      <c r="J931" s="434"/>
    </row>
    <row r="932" ht="15.75" customHeight="1">
      <c r="G932" s="424"/>
      <c r="J932" s="434"/>
    </row>
    <row r="933" ht="15.75" customHeight="1">
      <c r="G933" s="424"/>
      <c r="J933" s="434"/>
    </row>
    <row r="934" ht="15.75" customHeight="1">
      <c r="G934" s="424"/>
      <c r="J934" s="434"/>
    </row>
    <row r="935" ht="15.75" customHeight="1">
      <c r="G935" s="424"/>
      <c r="J935" s="434"/>
    </row>
    <row r="936" ht="15.75" customHeight="1">
      <c r="G936" s="424"/>
      <c r="J936" s="434"/>
    </row>
    <row r="937" ht="15.75" customHeight="1">
      <c r="G937" s="424"/>
      <c r="J937" s="434"/>
    </row>
    <row r="938" ht="15.75" customHeight="1">
      <c r="G938" s="424"/>
      <c r="J938" s="434"/>
    </row>
    <row r="939" ht="15.75" customHeight="1">
      <c r="G939" s="424"/>
      <c r="J939" s="434"/>
    </row>
    <row r="940" ht="15.75" customHeight="1">
      <c r="G940" s="424"/>
      <c r="J940" s="434"/>
    </row>
    <row r="941" ht="15.75" customHeight="1">
      <c r="G941" s="424"/>
      <c r="J941" s="434"/>
    </row>
    <row r="942" ht="15.75" customHeight="1">
      <c r="G942" s="424"/>
      <c r="J942" s="434"/>
    </row>
    <row r="943" ht="15.75" customHeight="1">
      <c r="G943" s="424"/>
      <c r="J943" s="434"/>
    </row>
    <row r="944" ht="15.75" customHeight="1">
      <c r="G944" s="424"/>
      <c r="J944" s="434"/>
    </row>
    <row r="945" ht="15.75" customHeight="1">
      <c r="G945" s="424"/>
      <c r="J945" s="434"/>
    </row>
    <row r="946" ht="15.75" customHeight="1">
      <c r="G946" s="424"/>
      <c r="J946" s="434"/>
    </row>
    <row r="947" ht="15.75" customHeight="1">
      <c r="G947" s="424"/>
      <c r="J947" s="434"/>
    </row>
    <row r="948" ht="15.75" customHeight="1">
      <c r="G948" s="424"/>
      <c r="J948" s="434"/>
    </row>
    <row r="949" ht="15.75" customHeight="1">
      <c r="G949" s="424"/>
      <c r="J949" s="434"/>
    </row>
    <row r="950" ht="15.75" customHeight="1">
      <c r="G950" s="424"/>
      <c r="J950" s="434"/>
    </row>
    <row r="951" ht="15.75" customHeight="1">
      <c r="G951" s="424"/>
      <c r="J951" s="434"/>
    </row>
    <row r="952" ht="15.75" customHeight="1">
      <c r="G952" s="424"/>
      <c r="J952" s="434"/>
    </row>
    <row r="953" ht="15.75" customHeight="1">
      <c r="G953" s="424"/>
      <c r="J953" s="434"/>
    </row>
    <row r="954" ht="15.75" customHeight="1">
      <c r="G954" s="424"/>
      <c r="J954" s="434"/>
    </row>
    <row r="955" ht="15.75" customHeight="1">
      <c r="G955" s="424"/>
      <c r="J955" s="434"/>
    </row>
    <row r="956" ht="15.75" customHeight="1">
      <c r="G956" s="424"/>
      <c r="J956" s="434"/>
    </row>
    <row r="957" ht="15.75" customHeight="1">
      <c r="G957" s="424"/>
      <c r="J957" s="434"/>
    </row>
    <row r="958" ht="15.75" customHeight="1">
      <c r="G958" s="424"/>
      <c r="J958" s="434"/>
    </row>
    <row r="959" ht="15.75" customHeight="1">
      <c r="G959" s="424"/>
      <c r="J959" s="434"/>
    </row>
    <row r="960" ht="15.75" customHeight="1">
      <c r="G960" s="424"/>
      <c r="J960" s="434"/>
    </row>
    <row r="961" ht="15.75" customHeight="1">
      <c r="G961" s="424"/>
      <c r="J961" s="434"/>
    </row>
    <row r="962" ht="15.75" customHeight="1">
      <c r="G962" s="424"/>
      <c r="J962" s="434"/>
    </row>
    <row r="963" ht="15.75" customHeight="1">
      <c r="G963" s="424"/>
      <c r="J963" s="434"/>
    </row>
    <row r="964" ht="15.75" customHeight="1">
      <c r="G964" s="424"/>
      <c r="J964" s="434"/>
    </row>
    <row r="965" ht="15.75" customHeight="1">
      <c r="G965" s="424"/>
      <c r="J965" s="434"/>
    </row>
    <row r="966" ht="15.75" customHeight="1">
      <c r="G966" s="424"/>
      <c r="J966" s="434"/>
    </row>
    <row r="967" ht="15.75" customHeight="1">
      <c r="G967" s="424"/>
      <c r="J967" s="434"/>
    </row>
    <row r="968" ht="15.75" customHeight="1">
      <c r="G968" s="424"/>
      <c r="J968" s="434"/>
    </row>
    <row r="969" ht="15.75" customHeight="1">
      <c r="G969" s="424"/>
      <c r="J969" s="434"/>
    </row>
    <row r="970" ht="15.75" customHeight="1">
      <c r="G970" s="424"/>
      <c r="J970" s="434"/>
    </row>
    <row r="971" ht="15.75" customHeight="1">
      <c r="G971" s="424"/>
      <c r="J971" s="434"/>
    </row>
    <row r="972" ht="15.75" customHeight="1">
      <c r="G972" s="424"/>
      <c r="J972" s="434"/>
    </row>
    <row r="973" ht="15.75" customHeight="1">
      <c r="G973" s="424"/>
      <c r="J973" s="434"/>
    </row>
    <row r="974" ht="15.75" customHeight="1">
      <c r="G974" s="424"/>
      <c r="J974" s="434"/>
    </row>
    <row r="975" ht="15.75" customHeight="1">
      <c r="G975" s="424"/>
      <c r="J975" s="434"/>
    </row>
    <row r="976" ht="15.75" customHeight="1">
      <c r="G976" s="424"/>
      <c r="J976" s="434"/>
    </row>
    <row r="977" ht="15.75" customHeight="1">
      <c r="G977" s="424"/>
      <c r="J977" s="434"/>
    </row>
    <row r="978" ht="15.75" customHeight="1">
      <c r="G978" s="424"/>
      <c r="J978" s="434"/>
    </row>
    <row r="979" ht="15.75" customHeight="1">
      <c r="G979" s="424"/>
      <c r="J979" s="434"/>
    </row>
    <row r="980" ht="15.75" customHeight="1">
      <c r="G980" s="424"/>
      <c r="J980" s="434"/>
    </row>
    <row r="981" ht="15.75" customHeight="1">
      <c r="G981" s="424"/>
      <c r="J981" s="434"/>
    </row>
    <row r="982" ht="15.75" customHeight="1">
      <c r="G982" s="424"/>
      <c r="J982" s="434"/>
    </row>
    <row r="983" ht="15.75" customHeight="1">
      <c r="G983" s="424"/>
      <c r="J983" s="434"/>
    </row>
    <row r="984" ht="15.75" customHeight="1">
      <c r="G984" s="424"/>
      <c r="J984" s="434"/>
    </row>
    <row r="985" ht="15.75" customHeight="1">
      <c r="G985" s="424"/>
      <c r="J985" s="434"/>
    </row>
    <row r="986" ht="15.75" customHeight="1">
      <c r="G986" s="424"/>
      <c r="J986" s="434"/>
    </row>
    <row r="987" ht="15.75" customHeight="1">
      <c r="G987" s="424"/>
      <c r="J987" s="434"/>
    </row>
    <row r="988" ht="15.75" customHeight="1">
      <c r="G988" s="424"/>
      <c r="J988" s="434"/>
    </row>
    <row r="989" ht="15.75" customHeight="1">
      <c r="G989" s="424"/>
      <c r="J989" s="434"/>
    </row>
    <row r="990" ht="15.75" customHeight="1">
      <c r="G990" s="424"/>
      <c r="J990" s="434"/>
    </row>
    <row r="991" ht="15.75" customHeight="1">
      <c r="G991" s="424"/>
      <c r="J991" s="434"/>
    </row>
    <row r="992" ht="15.75" customHeight="1">
      <c r="G992" s="424"/>
      <c r="J992" s="434"/>
    </row>
    <row r="993" ht="15.75" customHeight="1">
      <c r="G993" s="424"/>
      <c r="J993" s="434"/>
    </row>
    <row r="994" ht="15.75" customHeight="1">
      <c r="G994" s="424"/>
      <c r="J994" s="434"/>
    </row>
    <row r="995" ht="15.75" customHeight="1">
      <c r="G995" s="424"/>
      <c r="J995" s="434"/>
    </row>
    <row r="996" ht="15.75" customHeight="1">
      <c r="G996" s="424"/>
      <c r="J996" s="434"/>
    </row>
    <row r="997" ht="15.75" customHeight="1">
      <c r="G997" s="424"/>
      <c r="J997" s="434"/>
    </row>
    <row r="998" ht="15.75" customHeight="1">
      <c r="G998" s="424"/>
      <c r="J998" s="434"/>
    </row>
    <row r="999" ht="15.75" customHeight="1">
      <c r="G999" s="424"/>
      <c r="J999" s="434"/>
    </row>
    <row r="1000" ht="15.75" customHeight="1">
      <c r="G1000" s="424"/>
      <c r="J1000" s="434"/>
    </row>
    <row r="1001" ht="15.75" customHeight="1">
      <c r="G1001" s="424"/>
      <c r="J1001" s="434"/>
    </row>
    <row r="1002" ht="15.75" customHeight="1">
      <c r="G1002" s="424"/>
      <c r="J1002" s="434"/>
    </row>
    <row r="1003" ht="15.75" customHeight="1">
      <c r="G1003" s="424"/>
      <c r="J1003" s="434"/>
    </row>
    <row r="1004" ht="15.75" customHeight="1">
      <c r="G1004" s="424"/>
      <c r="J1004" s="434"/>
    </row>
    <row r="1005" ht="15.75" customHeight="1">
      <c r="G1005" s="424"/>
      <c r="J1005" s="434"/>
    </row>
    <row r="1006" ht="15.75" customHeight="1">
      <c r="G1006" s="424"/>
      <c r="J1006" s="434"/>
    </row>
    <row r="1007" ht="15.75" customHeight="1">
      <c r="G1007" s="424"/>
      <c r="J1007" s="434"/>
    </row>
    <row r="1008" ht="15.75" customHeight="1">
      <c r="G1008" s="424"/>
      <c r="J1008" s="434"/>
    </row>
    <row r="1009" ht="15.75" customHeight="1">
      <c r="G1009" s="424"/>
      <c r="J1009" s="434"/>
    </row>
    <row r="1010" ht="15.75" customHeight="1">
      <c r="G1010" s="424"/>
      <c r="J1010" s="434"/>
    </row>
    <row r="1011" ht="15.75" customHeight="1">
      <c r="G1011" s="424"/>
      <c r="J1011" s="434"/>
    </row>
    <row r="1012" ht="15.75" customHeight="1">
      <c r="G1012" s="424"/>
      <c r="J1012" s="434"/>
    </row>
    <row r="1013" ht="15.75" customHeight="1">
      <c r="G1013" s="424"/>
      <c r="J1013" s="434"/>
    </row>
    <row r="1014" ht="15.75" customHeight="1">
      <c r="G1014" s="424"/>
      <c r="J1014" s="434"/>
    </row>
    <row r="1015" ht="15.75" customHeight="1">
      <c r="G1015" s="424"/>
      <c r="J1015" s="434"/>
    </row>
    <row r="1016" ht="15.75" customHeight="1">
      <c r="G1016" s="424"/>
      <c r="J1016" s="434"/>
    </row>
    <row r="1017" ht="15.75" customHeight="1">
      <c r="G1017" s="424"/>
      <c r="J1017" s="434"/>
    </row>
    <row r="1018" ht="15.75" customHeight="1">
      <c r="G1018" s="424"/>
      <c r="J1018" s="434"/>
    </row>
    <row r="1019" ht="15.75" customHeight="1">
      <c r="G1019" s="424"/>
      <c r="J1019" s="434"/>
    </row>
    <row r="1020" ht="15.75" customHeight="1">
      <c r="G1020" s="424"/>
      <c r="J1020" s="434"/>
    </row>
    <row r="1021" ht="15.75" customHeight="1">
      <c r="G1021" s="424"/>
      <c r="J1021" s="434"/>
    </row>
    <row r="1022" ht="15.75" customHeight="1">
      <c r="G1022" s="424"/>
      <c r="J1022" s="434"/>
    </row>
    <row r="1023" ht="15.75" customHeight="1">
      <c r="G1023" s="424"/>
      <c r="J1023" s="434"/>
    </row>
    <row r="1024" ht="15.75" customHeight="1">
      <c r="G1024" s="424"/>
      <c r="J1024" s="434"/>
    </row>
    <row r="1025" ht="15.75" customHeight="1">
      <c r="G1025" s="424"/>
      <c r="J1025" s="434"/>
    </row>
    <row r="1026" ht="15.75" customHeight="1">
      <c r="G1026" s="424"/>
      <c r="J1026" s="434"/>
    </row>
    <row r="1027" ht="15.75" customHeight="1">
      <c r="G1027" s="424"/>
      <c r="J1027" s="434"/>
    </row>
    <row r="1028" ht="15.75" customHeight="1">
      <c r="G1028" s="424"/>
      <c r="J1028" s="434"/>
    </row>
    <row r="1029" ht="15.75" customHeight="1">
      <c r="G1029" s="424"/>
      <c r="J1029" s="434"/>
    </row>
    <row r="1030" ht="15.75" customHeight="1">
      <c r="G1030" s="424"/>
      <c r="J1030" s="434"/>
    </row>
    <row r="1031" ht="15.75" customHeight="1">
      <c r="G1031" s="424"/>
      <c r="J1031" s="434"/>
    </row>
    <row r="1032" ht="15.75" customHeight="1">
      <c r="G1032" s="424"/>
      <c r="J1032" s="434"/>
    </row>
    <row r="1033" ht="15.75" customHeight="1">
      <c r="G1033" s="424"/>
      <c r="J1033" s="434"/>
    </row>
    <row r="1034" ht="15.75" customHeight="1">
      <c r="G1034" s="424"/>
      <c r="J1034" s="434"/>
    </row>
    <row r="1035" ht="15.75" customHeight="1">
      <c r="G1035" s="424"/>
      <c r="J1035" s="434"/>
    </row>
    <row r="1036" ht="15.75" customHeight="1">
      <c r="G1036" s="424"/>
      <c r="J1036" s="434"/>
    </row>
    <row r="1037" ht="15.75" customHeight="1">
      <c r="G1037" s="424"/>
      <c r="J1037" s="434"/>
    </row>
    <row r="1038" ht="15.75" customHeight="1">
      <c r="G1038" s="424"/>
      <c r="J1038" s="434"/>
    </row>
    <row r="1039" ht="15.75" customHeight="1">
      <c r="G1039" s="424"/>
      <c r="J1039" s="434"/>
    </row>
    <row r="1040" ht="15.75" customHeight="1">
      <c r="G1040" s="424"/>
      <c r="J1040" s="434"/>
    </row>
    <row r="1041" ht="15.75" customHeight="1">
      <c r="G1041" s="424"/>
      <c r="J1041" s="434"/>
    </row>
    <row r="1042" ht="15.75" customHeight="1">
      <c r="G1042" s="424"/>
      <c r="J1042" s="434"/>
    </row>
    <row r="1043" ht="15.75" customHeight="1">
      <c r="G1043" s="424"/>
      <c r="J1043" s="434"/>
    </row>
  </sheetData>
  <mergeCells count="2">
    <mergeCell ref="G1:I1"/>
    <mergeCell ref="P149:U158"/>
  </mergeCells>
  <printOptions/>
  <pageMargins bottom="0.787401575" footer="0.0" header="0.0" left="0.511811024" right="0.511811024" top="0.78740157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0" ySplit="2.0" topLeftCell="K3" activePane="bottomRight" state="frozen"/>
      <selection activeCell="K1" sqref="K1" pane="topRight"/>
      <selection activeCell="A3" sqref="A3" pane="bottomLeft"/>
      <selection activeCell="K3" sqref="K3" pane="bottomRight"/>
    </sheetView>
  </sheetViews>
  <sheetFormatPr customHeight="1" defaultColWidth="14.43" defaultRowHeight="15.0"/>
  <cols>
    <col customWidth="1" min="1" max="1" width="1.43"/>
    <col customWidth="1" min="2" max="2" width="3.0"/>
    <col customWidth="1" hidden="1" min="3" max="3" width="20.29"/>
    <col customWidth="1" hidden="1" min="4" max="5" width="8.86"/>
    <col customWidth="1" hidden="1" min="6" max="6" width="13.43"/>
    <col customWidth="1" hidden="1" min="7" max="7" width="13.29"/>
    <col customWidth="1" hidden="1" min="8" max="8" width="7.43"/>
    <col customWidth="1" hidden="1" min="9" max="9" width="6.43"/>
    <col customWidth="1" min="10" max="10" width="21.0"/>
    <col customWidth="1" min="11" max="11" width="8.29"/>
    <col customWidth="1" min="12" max="12" width="15.14"/>
    <col customWidth="1" min="13" max="16" width="15.0"/>
    <col customWidth="1" min="17" max="23" width="16.43"/>
    <col customWidth="1" min="24" max="24" width="16.14"/>
    <col customWidth="1" min="25" max="25" width="14.86"/>
    <col customWidth="1" min="26" max="26" width="13.0"/>
    <col customWidth="1" min="27" max="27" width="6.0"/>
    <col customWidth="1" min="28" max="28" width="9.86"/>
    <col customWidth="1" min="29" max="31" width="9.14"/>
  </cols>
  <sheetData>
    <row r="1" ht="15.75" customHeight="1">
      <c r="A1" s="1"/>
      <c r="B1" s="2"/>
      <c r="C1" s="1"/>
      <c r="D1" s="1"/>
      <c r="E1" s="3"/>
      <c r="F1" s="4"/>
      <c r="G1" s="399">
        <v>2025.0</v>
      </c>
      <c r="H1" s="6"/>
      <c r="I1" s="7"/>
      <c r="J1" s="8"/>
      <c r="K1" s="9"/>
      <c r="L1" s="12"/>
      <c r="M1" s="149"/>
      <c r="N1" s="11"/>
      <c r="O1" s="11"/>
      <c r="P1" s="11"/>
      <c r="Q1" s="11"/>
      <c r="R1" s="11"/>
      <c r="S1" s="11"/>
      <c r="T1" s="11"/>
      <c r="U1" s="11"/>
      <c r="V1" s="11"/>
      <c r="W1" s="12"/>
      <c r="X1" s="13"/>
      <c r="Y1" s="14"/>
      <c r="Z1" s="435"/>
      <c r="AA1" s="3"/>
      <c r="AB1" s="3"/>
      <c r="AC1" s="3"/>
      <c r="AD1" s="3"/>
      <c r="AE1" s="3"/>
    </row>
    <row r="2" ht="15.75" customHeight="1">
      <c r="A2" s="1"/>
      <c r="B2" s="2"/>
      <c r="C2" s="16" t="s">
        <v>1</v>
      </c>
      <c r="D2" s="17" t="s">
        <v>2</v>
      </c>
      <c r="E2" s="18" t="s">
        <v>3</v>
      </c>
      <c r="F2" s="400" t="s">
        <v>119</v>
      </c>
      <c r="G2" s="401" t="s">
        <v>5</v>
      </c>
      <c r="H2" s="20" t="s">
        <v>6</v>
      </c>
      <c r="I2" s="20" t="s">
        <v>7</v>
      </c>
      <c r="J2" s="21"/>
      <c r="K2" s="22"/>
      <c r="L2" s="402"/>
      <c r="M2" s="402"/>
      <c r="N2" s="24"/>
      <c r="O2" s="24"/>
      <c r="P2" s="24"/>
      <c r="Q2" s="160"/>
      <c r="R2" s="24"/>
      <c r="S2" s="24"/>
      <c r="T2" s="24"/>
      <c r="U2" s="24"/>
      <c r="V2" s="24"/>
      <c r="W2" s="12"/>
      <c r="X2" s="122">
        <v>2028.0</v>
      </c>
      <c r="Y2" s="346">
        <v>2027.0</v>
      </c>
      <c r="Z2" s="436" t="s">
        <v>128</v>
      </c>
      <c r="AA2" s="3"/>
      <c r="AB2" s="3"/>
      <c r="AC2" s="3"/>
      <c r="AD2" s="3"/>
      <c r="AE2" s="3"/>
    </row>
    <row r="3">
      <c r="A3" s="1"/>
      <c r="B3" s="26">
        <v>1.0</v>
      </c>
      <c r="C3" s="27" t="s">
        <v>8</v>
      </c>
      <c r="D3" s="28"/>
      <c r="E3" s="29"/>
      <c r="F3" s="30"/>
      <c r="G3" s="404">
        <v>3.442912982002714E7</v>
      </c>
      <c r="H3" s="32">
        <v>329237.0</v>
      </c>
      <c r="I3" s="33">
        <v>104.57248067509771</v>
      </c>
      <c r="J3" s="405" t="s">
        <v>9</v>
      </c>
      <c r="K3" s="342">
        <v>7.0</v>
      </c>
      <c r="L3" s="344" t="s">
        <v>10</v>
      </c>
      <c r="M3" s="345" t="s">
        <v>14</v>
      </c>
      <c r="N3" s="344" t="s">
        <v>18</v>
      </c>
      <c r="O3" s="345" t="s">
        <v>22</v>
      </c>
      <c r="P3" s="344" t="s">
        <v>26</v>
      </c>
      <c r="Q3" s="345" t="s">
        <v>30</v>
      </c>
      <c r="R3" s="344" t="s">
        <v>34</v>
      </c>
      <c r="S3" s="345" t="s">
        <v>38</v>
      </c>
      <c r="T3" s="344" t="s">
        <v>42</v>
      </c>
      <c r="U3" s="345" t="s">
        <v>46</v>
      </c>
      <c r="V3" s="344" t="s">
        <v>50</v>
      </c>
      <c r="W3" s="345" t="s">
        <v>54</v>
      </c>
      <c r="X3" s="122">
        <v>2028.0</v>
      </c>
      <c r="Y3" s="346">
        <v>2027.0</v>
      </c>
      <c r="Z3" s="437" t="s">
        <v>60</v>
      </c>
      <c r="AA3" s="3"/>
      <c r="AB3" s="3"/>
      <c r="AC3" s="3"/>
      <c r="AD3" s="3"/>
      <c r="AE3" s="3"/>
    </row>
    <row r="4">
      <c r="A4" s="1"/>
      <c r="B4" s="26"/>
      <c r="C4" s="27"/>
      <c r="D4" s="28"/>
      <c r="E4" s="29"/>
      <c r="F4" s="30"/>
      <c r="G4" s="404"/>
      <c r="H4" s="32"/>
      <c r="I4" s="33"/>
      <c r="J4" s="50" t="s">
        <v>61</v>
      </c>
      <c r="K4" s="347"/>
      <c r="L4" s="348">
        <v>0.08</v>
      </c>
      <c r="M4" s="348">
        <v>0.04</v>
      </c>
      <c r="N4" s="348">
        <v>0.05</v>
      </c>
      <c r="O4" s="348">
        <v>0.06</v>
      </c>
      <c r="P4" s="348">
        <v>0.06</v>
      </c>
      <c r="Q4" s="348">
        <v>0.06</v>
      </c>
      <c r="R4" s="348">
        <v>0.07</v>
      </c>
      <c r="S4" s="348">
        <v>0.08</v>
      </c>
      <c r="T4" s="348">
        <v>0.1</v>
      </c>
      <c r="U4" s="348">
        <v>0.12</v>
      </c>
      <c r="V4" s="348">
        <v>0.14</v>
      </c>
      <c r="W4" s="348">
        <v>0.14</v>
      </c>
      <c r="X4" s="165">
        <f>SUM(L4:W4)</f>
        <v>1</v>
      </c>
      <c r="Y4" s="406">
        <v>1.0</v>
      </c>
      <c r="Z4" s="437"/>
      <c r="AA4" s="3"/>
      <c r="AB4" s="3"/>
      <c r="AC4" s="3"/>
      <c r="AD4" s="3"/>
      <c r="AE4" s="3"/>
    </row>
    <row r="5">
      <c r="A5" s="1"/>
      <c r="B5" s="26"/>
      <c r="C5" s="27"/>
      <c r="D5" s="28"/>
      <c r="E5" s="29"/>
      <c r="F5" s="30"/>
      <c r="G5" s="404"/>
      <c r="H5" s="32"/>
      <c r="I5" s="33"/>
      <c r="J5" s="50" t="s">
        <v>63</v>
      </c>
      <c r="K5" s="347"/>
      <c r="L5" s="66">
        <f t="shared" ref="L5:W5" si="1">($X$5)*L4</f>
        <v>5356000</v>
      </c>
      <c r="M5" s="66">
        <f t="shared" si="1"/>
        <v>2678000</v>
      </c>
      <c r="N5" s="66">
        <f t="shared" si="1"/>
        <v>3347500</v>
      </c>
      <c r="O5" s="66">
        <f t="shared" si="1"/>
        <v>4017000</v>
      </c>
      <c r="P5" s="66">
        <f t="shared" si="1"/>
        <v>4017000</v>
      </c>
      <c r="Q5" s="66">
        <f t="shared" si="1"/>
        <v>4017000</v>
      </c>
      <c r="R5" s="66">
        <f t="shared" si="1"/>
        <v>4686500</v>
      </c>
      <c r="S5" s="66">
        <f t="shared" si="1"/>
        <v>5356000</v>
      </c>
      <c r="T5" s="66">
        <f t="shared" si="1"/>
        <v>6695000</v>
      </c>
      <c r="U5" s="66">
        <f t="shared" si="1"/>
        <v>8034000</v>
      </c>
      <c r="V5" s="66">
        <f t="shared" si="1"/>
        <v>9373000</v>
      </c>
      <c r="W5" s="66">
        <f t="shared" si="1"/>
        <v>9373000</v>
      </c>
      <c r="X5" s="438">
        <v>6.695E7</v>
      </c>
      <c r="Y5" s="350">
        <v>6.5E7</v>
      </c>
      <c r="Z5" s="437">
        <f t="shared" ref="Z5:Z7" si="3">X5/Y5-1</f>
        <v>0.03</v>
      </c>
      <c r="AA5" s="3"/>
      <c r="AB5" s="3"/>
      <c r="AC5" s="3"/>
      <c r="AD5" s="3"/>
      <c r="AE5" s="3"/>
    </row>
    <row r="6">
      <c r="A6" s="1"/>
      <c r="B6" s="26"/>
      <c r="C6" s="27"/>
      <c r="D6" s="28"/>
      <c r="E6" s="29"/>
      <c r="F6" s="30"/>
      <c r="G6" s="404"/>
      <c r="H6" s="32"/>
      <c r="I6" s="33"/>
      <c r="J6" s="50" t="s">
        <v>64</v>
      </c>
      <c r="K6" s="351">
        <v>90.0</v>
      </c>
      <c r="L6" s="81">
        <f t="shared" ref="L6:W6" si="2">L5/$K$6</f>
        <v>59511.11111</v>
      </c>
      <c r="M6" s="81">
        <f t="shared" si="2"/>
        <v>29755.55556</v>
      </c>
      <c r="N6" s="81">
        <f t="shared" si="2"/>
        <v>37194.44444</v>
      </c>
      <c r="O6" s="81">
        <f t="shared" si="2"/>
        <v>44633.33333</v>
      </c>
      <c r="P6" s="81">
        <f t="shared" si="2"/>
        <v>44633.33333</v>
      </c>
      <c r="Q6" s="81">
        <f t="shared" si="2"/>
        <v>44633.33333</v>
      </c>
      <c r="R6" s="81">
        <f t="shared" si="2"/>
        <v>52072.22222</v>
      </c>
      <c r="S6" s="81">
        <f t="shared" si="2"/>
        <v>59511.11111</v>
      </c>
      <c r="T6" s="81">
        <f t="shared" si="2"/>
        <v>74388.88889</v>
      </c>
      <c r="U6" s="81">
        <f t="shared" si="2"/>
        <v>89266.66667</v>
      </c>
      <c r="V6" s="81">
        <f t="shared" si="2"/>
        <v>104144.4444</v>
      </c>
      <c r="W6" s="81">
        <f t="shared" si="2"/>
        <v>104144.4444</v>
      </c>
      <c r="X6" s="352">
        <f t="shared" ref="X6:X7" si="5">SUM(L6:W6)</f>
        <v>743888.8889</v>
      </c>
      <c r="Y6" s="353">
        <v>722222.2222222222</v>
      </c>
      <c r="Z6" s="437">
        <f t="shared" si="3"/>
        <v>0.03</v>
      </c>
      <c r="AA6" s="3"/>
      <c r="AB6" s="3"/>
      <c r="AC6" s="3"/>
      <c r="AD6" s="3"/>
      <c r="AE6" s="3"/>
    </row>
    <row r="7">
      <c r="A7" s="1"/>
      <c r="B7" s="26"/>
      <c r="C7" s="27"/>
      <c r="D7" s="28"/>
      <c r="E7" s="29"/>
      <c r="F7" s="30"/>
      <c r="G7" s="404"/>
      <c r="H7" s="32"/>
      <c r="I7" s="33"/>
      <c r="J7" s="91" t="s">
        <v>66</v>
      </c>
      <c r="K7" s="354">
        <v>0.049</v>
      </c>
      <c r="L7" s="97">
        <f t="shared" ref="L7:W7" si="4">L5*$K$7</f>
        <v>262444</v>
      </c>
      <c r="M7" s="97">
        <f t="shared" si="4"/>
        <v>131222</v>
      </c>
      <c r="N7" s="97">
        <f t="shared" si="4"/>
        <v>164027.5</v>
      </c>
      <c r="O7" s="97">
        <f t="shared" si="4"/>
        <v>196833</v>
      </c>
      <c r="P7" s="97">
        <f t="shared" si="4"/>
        <v>196833</v>
      </c>
      <c r="Q7" s="97">
        <f t="shared" si="4"/>
        <v>196833</v>
      </c>
      <c r="R7" s="97">
        <f t="shared" si="4"/>
        <v>229638.5</v>
      </c>
      <c r="S7" s="97">
        <f t="shared" si="4"/>
        <v>262444</v>
      </c>
      <c r="T7" s="97">
        <f t="shared" si="4"/>
        <v>328055</v>
      </c>
      <c r="U7" s="97">
        <f t="shared" si="4"/>
        <v>393666</v>
      </c>
      <c r="V7" s="97">
        <f t="shared" si="4"/>
        <v>459277</v>
      </c>
      <c r="W7" s="97">
        <f t="shared" si="4"/>
        <v>459277</v>
      </c>
      <c r="X7" s="169">
        <f t="shared" si="5"/>
        <v>3280550</v>
      </c>
      <c r="Y7" s="355">
        <v>3185000.0</v>
      </c>
      <c r="Z7" s="435">
        <f t="shared" si="3"/>
        <v>0.03</v>
      </c>
      <c r="AA7" s="3"/>
      <c r="AB7" s="3"/>
      <c r="AC7" s="3"/>
      <c r="AD7" s="3"/>
      <c r="AE7" s="3"/>
    </row>
    <row r="8">
      <c r="A8" s="114"/>
      <c r="B8" s="114"/>
      <c r="C8" s="114"/>
      <c r="D8" s="114"/>
      <c r="E8" s="114"/>
      <c r="F8" s="114"/>
      <c r="G8" s="114"/>
      <c r="H8" s="114"/>
      <c r="I8" s="114"/>
      <c r="J8" s="114"/>
      <c r="K8" s="114"/>
      <c r="L8" s="114"/>
      <c r="M8" s="114"/>
      <c r="N8" s="114"/>
      <c r="O8" s="114"/>
      <c r="P8" s="114"/>
      <c r="Q8" s="114"/>
      <c r="R8" s="114"/>
      <c r="S8" s="114"/>
      <c r="T8" s="114"/>
      <c r="U8" s="114"/>
      <c r="V8" s="114"/>
      <c r="W8" s="114"/>
      <c r="X8" s="114"/>
      <c r="Y8" s="114"/>
      <c r="Z8" s="435"/>
      <c r="AA8" s="114"/>
      <c r="AB8" s="114"/>
      <c r="AC8" s="114"/>
      <c r="AD8" s="114"/>
      <c r="AE8" s="114"/>
    </row>
    <row r="9">
      <c r="A9" s="1"/>
      <c r="B9" s="105">
        <v>2.0</v>
      </c>
      <c r="C9" s="106" t="s">
        <v>115</v>
      </c>
      <c r="D9" s="107"/>
      <c r="E9" s="108"/>
      <c r="F9" s="109"/>
      <c r="G9" s="409">
        <v>339.51</v>
      </c>
      <c r="H9" s="111">
        <v>31.0</v>
      </c>
      <c r="I9" s="112">
        <v>10.951935483870967</v>
      </c>
      <c r="J9" s="405" t="s">
        <v>67</v>
      </c>
      <c r="K9" s="342"/>
      <c r="L9" s="344" t="s">
        <v>10</v>
      </c>
      <c r="M9" s="345" t="s">
        <v>14</v>
      </c>
      <c r="N9" s="344" t="s">
        <v>18</v>
      </c>
      <c r="O9" s="345" t="s">
        <v>22</v>
      </c>
      <c r="P9" s="344" t="s">
        <v>26</v>
      </c>
      <c r="Q9" s="345" t="s">
        <v>30</v>
      </c>
      <c r="R9" s="344" t="s">
        <v>34</v>
      </c>
      <c r="S9" s="345" t="s">
        <v>38</v>
      </c>
      <c r="T9" s="344" t="s">
        <v>42</v>
      </c>
      <c r="U9" s="345" t="s">
        <v>46</v>
      </c>
      <c r="V9" s="344" t="s">
        <v>50</v>
      </c>
      <c r="W9" s="345" t="s">
        <v>54</v>
      </c>
      <c r="X9" s="122">
        <v>2028.0</v>
      </c>
      <c r="Y9" s="346">
        <v>2027.0</v>
      </c>
      <c r="Z9" s="437" t="s">
        <v>60</v>
      </c>
      <c r="AA9" s="3"/>
      <c r="AB9" s="3"/>
      <c r="AC9" s="3"/>
      <c r="AD9" s="3"/>
      <c r="AE9" s="3"/>
    </row>
    <row r="10">
      <c r="A10" s="1"/>
      <c r="B10" s="105"/>
      <c r="C10" s="106"/>
      <c r="D10" s="107"/>
      <c r="E10" s="108"/>
      <c r="F10" s="109"/>
      <c r="G10" s="409"/>
      <c r="H10" s="111"/>
      <c r="I10" s="112"/>
      <c r="J10" s="50" t="s">
        <v>61</v>
      </c>
      <c r="K10" s="347"/>
      <c r="L10" s="348">
        <v>0.1</v>
      </c>
      <c r="M10" s="348">
        <v>0.08</v>
      </c>
      <c r="N10" s="348">
        <v>0.08</v>
      </c>
      <c r="O10" s="348">
        <v>0.08</v>
      </c>
      <c r="P10" s="348">
        <v>0.06</v>
      </c>
      <c r="Q10" s="348">
        <v>0.06</v>
      </c>
      <c r="R10" s="348">
        <v>0.05</v>
      </c>
      <c r="S10" s="348">
        <v>0.08</v>
      </c>
      <c r="T10" s="348">
        <v>0.09</v>
      </c>
      <c r="U10" s="348">
        <v>0.1</v>
      </c>
      <c r="V10" s="348">
        <v>0.11</v>
      </c>
      <c r="W10" s="348">
        <v>0.11</v>
      </c>
      <c r="X10" s="165">
        <f>SUM(L10:W10)</f>
        <v>1</v>
      </c>
      <c r="Y10" s="406">
        <v>0.9999999999999999</v>
      </c>
      <c r="Z10" s="437"/>
      <c r="AA10" s="3"/>
      <c r="AB10" s="3"/>
      <c r="AC10" s="3"/>
      <c r="AD10" s="3"/>
      <c r="AE10" s="3"/>
    </row>
    <row r="11">
      <c r="A11" s="1"/>
      <c r="B11" s="105"/>
      <c r="C11" s="106"/>
      <c r="D11" s="107"/>
      <c r="E11" s="108"/>
      <c r="F11" s="109"/>
      <c r="G11" s="409"/>
      <c r="H11" s="111"/>
      <c r="I11" s="112"/>
      <c r="J11" s="50" t="s">
        <v>63</v>
      </c>
      <c r="K11" s="347"/>
      <c r="L11" s="66">
        <f t="shared" ref="L11:W11" si="6">($X$11)*L10</f>
        <v>600000</v>
      </c>
      <c r="M11" s="66">
        <f t="shared" si="6"/>
        <v>480000</v>
      </c>
      <c r="N11" s="66">
        <f t="shared" si="6"/>
        <v>480000</v>
      </c>
      <c r="O11" s="66">
        <f t="shared" si="6"/>
        <v>480000</v>
      </c>
      <c r="P11" s="66">
        <f t="shared" si="6"/>
        <v>360000</v>
      </c>
      <c r="Q11" s="66">
        <f t="shared" si="6"/>
        <v>360000</v>
      </c>
      <c r="R11" s="66">
        <f t="shared" si="6"/>
        <v>300000</v>
      </c>
      <c r="S11" s="66">
        <f t="shared" si="6"/>
        <v>480000</v>
      </c>
      <c r="T11" s="66">
        <f t="shared" si="6"/>
        <v>540000</v>
      </c>
      <c r="U11" s="66">
        <f t="shared" si="6"/>
        <v>600000</v>
      </c>
      <c r="V11" s="66">
        <f t="shared" si="6"/>
        <v>660000</v>
      </c>
      <c r="W11" s="66">
        <f t="shared" si="6"/>
        <v>660000</v>
      </c>
      <c r="X11" s="438">
        <v>6000000.0</v>
      </c>
      <c r="Y11" s="350">
        <v>4000000.0</v>
      </c>
      <c r="Z11" s="437">
        <f t="shared" ref="Z11:Z13" si="8">X11/Y11-1</f>
        <v>0.5</v>
      </c>
      <c r="AA11" s="3"/>
      <c r="AB11" s="3"/>
      <c r="AC11" s="3"/>
      <c r="AD11" s="3"/>
      <c r="AE11" s="3"/>
    </row>
    <row r="12">
      <c r="A12" s="1"/>
      <c r="B12" s="105"/>
      <c r="C12" s="106"/>
      <c r="D12" s="107"/>
      <c r="E12" s="108"/>
      <c r="F12" s="109"/>
      <c r="G12" s="409"/>
      <c r="H12" s="111"/>
      <c r="I12" s="112"/>
      <c r="J12" s="50" t="s">
        <v>64</v>
      </c>
      <c r="K12" s="351">
        <v>30.0</v>
      </c>
      <c r="L12" s="81">
        <f t="shared" ref="L12:W12" si="7">L11/$K$12</f>
        <v>20000</v>
      </c>
      <c r="M12" s="81">
        <f t="shared" si="7"/>
        <v>16000</v>
      </c>
      <c r="N12" s="81">
        <f t="shared" si="7"/>
        <v>16000</v>
      </c>
      <c r="O12" s="81">
        <f t="shared" si="7"/>
        <v>16000</v>
      </c>
      <c r="P12" s="81">
        <f t="shared" si="7"/>
        <v>12000</v>
      </c>
      <c r="Q12" s="81">
        <f t="shared" si="7"/>
        <v>12000</v>
      </c>
      <c r="R12" s="81">
        <f t="shared" si="7"/>
        <v>10000</v>
      </c>
      <c r="S12" s="81">
        <f t="shared" si="7"/>
        <v>16000</v>
      </c>
      <c r="T12" s="81">
        <f t="shared" si="7"/>
        <v>18000</v>
      </c>
      <c r="U12" s="81">
        <f t="shared" si="7"/>
        <v>20000</v>
      </c>
      <c r="V12" s="81">
        <f t="shared" si="7"/>
        <v>22000</v>
      </c>
      <c r="W12" s="81">
        <f t="shared" si="7"/>
        <v>22000</v>
      </c>
      <c r="X12" s="352">
        <f t="shared" ref="X12:X13" si="10">SUM(L12:W12)</f>
        <v>200000</v>
      </c>
      <c r="Y12" s="353">
        <v>133333.33333333334</v>
      </c>
      <c r="Z12" s="437">
        <f t="shared" si="8"/>
        <v>0.5</v>
      </c>
      <c r="AA12" s="3"/>
      <c r="AB12" s="3"/>
      <c r="AC12" s="3"/>
      <c r="AD12" s="3"/>
      <c r="AE12" s="3"/>
    </row>
    <row r="13">
      <c r="A13" s="1"/>
      <c r="B13" s="105"/>
      <c r="C13" s="106"/>
      <c r="D13" s="107"/>
      <c r="E13" s="108"/>
      <c r="F13" s="109"/>
      <c r="G13" s="409"/>
      <c r="H13" s="111"/>
      <c r="I13" s="112"/>
      <c r="J13" s="91" t="s">
        <v>66</v>
      </c>
      <c r="K13" s="356">
        <v>1.4</v>
      </c>
      <c r="L13" s="94">
        <f t="shared" ref="L13:W13" si="9">IF(L12=0, 0,
  MIN(L12, 10000) * 1.4 +
  MAX(0, MIN(L12, 25000) - 10000) * 1.25 +
  MAX(0, MIN(L12, 50000) - 25000) * 1.15 +
  MAX(0, MIN(L12, 100000) - 50000) * 0.9 +
  MAX(0, MIN(L12, 150000) - 100000) * 0.8 +
  MAX(0, L12 - 150000) * 0.7
)</f>
        <v>26500</v>
      </c>
      <c r="M13" s="94">
        <f t="shared" si="9"/>
        <v>21500</v>
      </c>
      <c r="N13" s="94">
        <f t="shared" si="9"/>
        <v>21500</v>
      </c>
      <c r="O13" s="94">
        <f t="shared" si="9"/>
        <v>21500</v>
      </c>
      <c r="P13" s="94">
        <f t="shared" si="9"/>
        <v>16500</v>
      </c>
      <c r="Q13" s="94">
        <f t="shared" si="9"/>
        <v>16500</v>
      </c>
      <c r="R13" s="94">
        <f t="shared" si="9"/>
        <v>14000</v>
      </c>
      <c r="S13" s="94">
        <f t="shared" si="9"/>
        <v>21500</v>
      </c>
      <c r="T13" s="94">
        <f t="shared" si="9"/>
        <v>24000</v>
      </c>
      <c r="U13" s="94">
        <f t="shared" si="9"/>
        <v>26500</v>
      </c>
      <c r="V13" s="94">
        <f t="shared" si="9"/>
        <v>29000</v>
      </c>
      <c r="W13" s="94">
        <f t="shared" si="9"/>
        <v>29000</v>
      </c>
      <c r="X13" s="169">
        <f t="shared" si="10"/>
        <v>268000</v>
      </c>
      <c r="Y13" s="355">
        <v>183566.66666666666</v>
      </c>
      <c r="Z13" s="435">
        <f t="shared" si="8"/>
        <v>0.4599600508</v>
      </c>
      <c r="AA13" s="3"/>
      <c r="AB13" s="3"/>
      <c r="AC13" s="3"/>
      <c r="AD13" s="3"/>
      <c r="AE13" s="3"/>
    </row>
    <row r="14">
      <c r="A14" s="1"/>
      <c r="B14" s="105"/>
      <c r="C14" s="106"/>
      <c r="D14" s="107"/>
      <c r="E14" s="108"/>
      <c r="F14" s="109"/>
      <c r="G14" s="409"/>
      <c r="H14" s="111"/>
      <c r="I14" s="112"/>
      <c r="J14" s="407"/>
      <c r="K14" s="135"/>
      <c r="L14" s="136"/>
      <c r="M14" s="136"/>
      <c r="N14" s="136"/>
      <c r="O14" s="136"/>
      <c r="P14" s="136"/>
      <c r="Q14" s="160"/>
      <c r="R14" s="136"/>
      <c r="S14" s="136"/>
      <c r="T14" s="136"/>
      <c r="U14" s="136"/>
      <c r="V14" s="136"/>
      <c r="W14" s="136"/>
      <c r="X14" s="137"/>
      <c r="Y14" s="410"/>
      <c r="Z14" s="435"/>
      <c r="AA14" s="3"/>
      <c r="AB14" s="3"/>
      <c r="AC14" s="3"/>
      <c r="AD14" s="3"/>
      <c r="AE14" s="3"/>
    </row>
    <row r="15">
      <c r="A15" s="1"/>
      <c r="B15" s="105">
        <v>3.0</v>
      </c>
      <c r="C15" s="106" t="s">
        <v>68</v>
      </c>
      <c r="D15" s="107"/>
      <c r="E15" s="108"/>
      <c r="F15" s="109"/>
      <c r="G15" s="409"/>
      <c r="H15" s="111"/>
      <c r="I15" s="112"/>
      <c r="J15" s="405" t="s">
        <v>69</v>
      </c>
      <c r="K15" s="342"/>
      <c r="L15" s="344" t="s">
        <v>10</v>
      </c>
      <c r="M15" s="345" t="s">
        <v>14</v>
      </c>
      <c r="N15" s="344" t="s">
        <v>18</v>
      </c>
      <c r="O15" s="345" t="s">
        <v>22</v>
      </c>
      <c r="P15" s="344" t="s">
        <v>26</v>
      </c>
      <c r="Q15" s="345" t="s">
        <v>30</v>
      </c>
      <c r="R15" s="344" t="s">
        <v>34</v>
      </c>
      <c r="S15" s="345" t="s">
        <v>38</v>
      </c>
      <c r="T15" s="344" t="s">
        <v>42</v>
      </c>
      <c r="U15" s="345" t="s">
        <v>46</v>
      </c>
      <c r="V15" s="344" t="s">
        <v>50</v>
      </c>
      <c r="W15" s="345" t="s">
        <v>54</v>
      </c>
      <c r="X15" s="122">
        <v>2028.0</v>
      </c>
      <c r="Y15" s="346">
        <v>2027.0</v>
      </c>
      <c r="Z15" s="437" t="s">
        <v>60</v>
      </c>
      <c r="AA15" s="3"/>
      <c r="AB15" s="3"/>
      <c r="AC15" s="3"/>
      <c r="AD15" s="3"/>
      <c r="AE15" s="3"/>
    </row>
    <row r="16">
      <c r="A16" s="1"/>
      <c r="B16" s="105"/>
      <c r="C16" s="106"/>
      <c r="D16" s="107"/>
      <c r="E16" s="108"/>
      <c r="F16" s="109"/>
      <c r="G16" s="409"/>
      <c r="H16" s="111"/>
      <c r="I16" s="112"/>
      <c r="J16" s="50" t="s">
        <v>61</v>
      </c>
      <c r="K16" s="347"/>
      <c r="L16" s="348">
        <v>0.09</v>
      </c>
      <c r="M16" s="348">
        <v>0.07</v>
      </c>
      <c r="N16" s="348">
        <v>0.07</v>
      </c>
      <c r="O16" s="348">
        <v>0.08</v>
      </c>
      <c r="P16" s="348">
        <v>0.08</v>
      </c>
      <c r="Q16" s="348">
        <v>0.09</v>
      </c>
      <c r="R16" s="348">
        <v>0.09</v>
      </c>
      <c r="S16" s="348">
        <v>0.08</v>
      </c>
      <c r="T16" s="348">
        <v>0.08</v>
      </c>
      <c r="U16" s="348">
        <v>0.1</v>
      </c>
      <c r="V16" s="348">
        <v>0.1</v>
      </c>
      <c r="W16" s="348">
        <v>0.07</v>
      </c>
      <c r="X16" s="165">
        <f>SUM(L16:W16)</f>
        <v>1</v>
      </c>
      <c r="Y16" s="406">
        <v>0.9999999999999998</v>
      </c>
      <c r="Z16" s="437"/>
      <c r="AA16" s="3"/>
      <c r="AB16" s="3"/>
      <c r="AC16" s="3"/>
      <c r="AD16" s="3"/>
      <c r="AE16" s="3"/>
    </row>
    <row r="17">
      <c r="A17" s="1"/>
      <c r="B17" s="105"/>
      <c r="C17" s="106"/>
      <c r="D17" s="107"/>
      <c r="E17" s="108"/>
      <c r="F17" s="109"/>
      <c r="G17" s="409"/>
      <c r="H17" s="111"/>
      <c r="I17" s="112"/>
      <c r="J17" s="50" t="s">
        <v>63</v>
      </c>
      <c r="K17" s="347"/>
      <c r="L17" s="66">
        <f t="shared" ref="L17:W17" si="11">($X$17)*L16</f>
        <v>810000</v>
      </c>
      <c r="M17" s="66">
        <f t="shared" si="11"/>
        <v>630000</v>
      </c>
      <c r="N17" s="66">
        <f t="shared" si="11"/>
        <v>630000</v>
      </c>
      <c r="O17" s="66">
        <f t="shared" si="11"/>
        <v>720000</v>
      </c>
      <c r="P17" s="66">
        <f t="shared" si="11"/>
        <v>720000</v>
      </c>
      <c r="Q17" s="66">
        <f t="shared" si="11"/>
        <v>810000</v>
      </c>
      <c r="R17" s="66">
        <f t="shared" si="11"/>
        <v>810000</v>
      </c>
      <c r="S17" s="66">
        <f t="shared" si="11"/>
        <v>720000</v>
      </c>
      <c r="T17" s="66">
        <f t="shared" si="11"/>
        <v>720000</v>
      </c>
      <c r="U17" s="66">
        <f t="shared" si="11"/>
        <v>900000</v>
      </c>
      <c r="V17" s="66">
        <f t="shared" si="11"/>
        <v>900000</v>
      </c>
      <c r="W17" s="66">
        <f t="shared" si="11"/>
        <v>630000</v>
      </c>
      <c r="X17" s="166">
        <v>9000000.0</v>
      </c>
      <c r="Y17" s="350">
        <v>6000000.0</v>
      </c>
      <c r="Z17" s="437">
        <f t="shared" ref="Z17:Z19" si="13">X17/Y17-1</f>
        <v>0.5</v>
      </c>
      <c r="AA17" s="3"/>
      <c r="AB17" s="3"/>
      <c r="AC17" s="3"/>
      <c r="AD17" s="3"/>
      <c r="AE17" s="3"/>
    </row>
    <row r="18">
      <c r="A18" s="1"/>
      <c r="B18" s="105"/>
      <c r="C18" s="106"/>
      <c r="D18" s="107"/>
      <c r="E18" s="108"/>
      <c r="F18" s="109"/>
      <c r="G18" s="409"/>
      <c r="H18" s="111"/>
      <c r="I18" s="112"/>
      <c r="J18" s="50" t="s">
        <v>64</v>
      </c>
      <c r="K18" s="351">
        <v>180.0</v>
      </c>
      <c r="L18" s="81">
        <f t="shared" ref="L18:W18" si="12">L17/$K$18</f>
        <v>4500</v>
      </c>
      <c r="M18" s="81">
        <f t="shared" si="12"/>
        <v>3500</v>
      </c>
      <c r="N18" s="81">
        <f t="shared" si="12"/>
        <v>3500</v>
      </c>
      <c r="O18" s="81">
        <f t="shared" si="12"/>
        <v>4000</v>
      </c>
      <c r="P18" s="81">
        <f t="shared" si="12"/>
        <v>4000</v>
      </c>
      <c r="Q18" s="81">
        <f t="shared" si="12"/>
        <v>4500</v>
      </c>
      <c r="R18" s="81">
        <f t="shared" si="12"/>
        <v>4500</v>
      </c>
      <c r="S18" s="81">
        <f t="shared" si="12"/>
        <v>4000</v>
      </c>
      <c r="T18" s="81">
        <f t="shared" si="12"/>
        <v>4000</v>
      </c>
      <c r="U18" s="81">
        <f t="shared" si="12"/>
        <v>5000</v>
      </c>
      <c r="V18" s="81">
        <f t="shared" si="12"/>
        <v>5000</v>
      </c>
      <c r="W18" s="81">
        <f t="shared" si="12"/>
        <v>3500</v>
      </c>
      <c r="X18" s="352">
        <f t="shared" ref="X18:X19" si="15">SUM(L18:W18)</f>
        <v>50000</v>
      </c>
      <c r="Y18" s="353">
        <v>33333.333333333336</v>
      </c>
      <c r="Z18" s="437">
        <f t="shared" si="13"/>
        <v>0.5</v>
      </c>
      <c r="AA18" s="3"/>
      <c r="AB18" s="3"/>
      <c r="AC18" s="3"/>
      <c r="AD18" s="3"/>
      <c r="AE18" s="3"/>
    </row>
    <row r="19">
      <c r="A19" s="1"/>
      <c r="B19" s="105"/>
      <c r="C19" s="106"/>
      <c r="D19" s="107"/>
      <c r="E19" s="108"/>
      <c r="F19" s="109"/>
      <c r="G19" s="409"/>
      <c r="H19" s="111"/>
      <c r="I19" s="112"/>
      <c r="J19" s="91" t="s">
        <v>66</v>
      </c>
      <c r="K19" s="356">
        <v>4.5</v>
      </c>
      <c r="L19" s="97">
        <f t="shared" ref="L19:W19" si="14">$K$19*L18</f>
        <v>20250</v>
      </c>
      <c r="M19" s="97">
        <f t="shared" si="14"/>
        <v>15750</v>
      </c>
      <c r="N19" s="97">
        <f t="shared" si="14"/>
        <v>15750</v>
      </c>
      <c r="O19" s="97">
        <f t="shared" si="14"/>
        <v>18000</v>
      </c>
      <c r="P19" s="97">
        <f t="shared" si="14"/>
        <v>18000</v>
      </c>
      <c r="Q19" s="97">
        <f t="shared" si="14"/>
        <v>20250</v>
      </c>
      <c r="R19" s="97">
        <f t="shared" si="14"/>
        <v>20250</v>
      </c>
      <c r="S19" s="97">
        <f t="shared" si="14"/>
        <v>18000</v>
      </c>
      <c r="T19" s="97">
        <f t="shared" si="14"/>
        <v>18000</v>
      </c>
      <c r="U19" s="97">
        <f t="shared" si="14"/>
        <v>22500</v>
      </c>
      <c r="V19" s="97">
        <f t="shared" si="14"/>
        <v>22500</v>
      </c>
      <c r="W19" s="97">
        <f t="shared" si="14"/>
        <v>15750</v>
      </c>
      <c r="X19" s="169">
        <f t="shared" si="15"/>
        <v>225000</v>
      </c>
      <c r="Y19" s="355">
        <v>150000.0</v>
      </c>
      <c r="Z19" s="435">
        <f t="shared" si="13"/>
        <v>0.5</v>
      </c>
      <c r="AA19" s="3"/>
      <c r="AB19" s="3"/>
      <c r="AC19" s="3"/>
      <c r="AD19" s="3"/>
      <c r="AE19" s="3"/>
    </row>
    <row r="20">
      <c r="A20" s="1"/>
      <c r="B20" s="105"/>
      <c r="C20" s="106"/>
      <c r="D20" s="107"/>
      <c r="E20" s="108"/>
      <c r="F20" s="109"/>
      <c r="G20" s="409"/>
      <c r="H20" s="111"/>
      <c r="I20" s="140"/>
      <c r="J20" s="8"/>
      <c r="K20" s="148"/>
      <c r="L20" s="12"/>
      <c r="M20" s="149"/>
      <c r="N20" s="149"/>
      <c r="O20" s="150"/>
      <c r="P20" s="149"/>
      <c r="Q20" s="160"/>
      <c r="R20" s="149"/>
      <c r="S20" s="12"/>
      <c r="T20" s="12"/>
      <c r="U20" s="12"/>
      <c r="V20" s="12"/>
      <c r="W20" s="12"/>
      <c r="X20" s="13"/>
      <c r="Y20" s="14"/>
      <c r="Z20" s="435"/>
      <c r="AA20" s="3"/>
      <c r="AB20" s="3"/>
      <c r="AC20" s="3"/>
      <c r="AD20" s="3"/>
      <c r="AE20" s="3"/>
    </row>
    <row r="21" ht="15.75" customHeight="1">
      <c r="A21" s="1"/>
      <c r="B21" s="105">
        <v>4.0</v>
      </c>
      <c r="C21" s="106" t="s">
        <v>70</v>
      </c>
      <c r="D21" s="107">
        <f>15000*12*4</f>
        <v>720000</v>
      </c>
      <c r="E21" s="144">
        <v>92.0</v>
      </c>
      <c r="F21" s="109">
        <f>E21*D21</f>
        <v>66240000</v>
      </c>
      <c r="G21" s="409">
        <v>1632825.7999999607</v>
      </c>
      <c r="H21" s="111">
        <v>15759.0</v>
      </c>
      <c r="I21" s="140">
        <v>103.61227235230413</v>
      </c>
      <c r="J21" s="405" t="s">
        <v>71</v>
      </c>
      <c r="K21" s="357"/>
      <c r="L21" s="344" t="s">
        <v>10</v>
      </c>
      <c r="M21" s="345" t="s">
        <v>14</v>
      </c>
      <c r="N21" s="344" t="s">
        <v>18</v>
      </c>
      <c r="O21" s="345" t="s">
        <v>22</v>
      </c>
      <c r="P21" s="344" t="s">
        <v>26</v>
      </c>
      <c r="Q21" s="345" t="s">
        <v>30</v>
      </c>
      <c r="R21" s="344" t="s">
        <v>34</v>
      </c>
      <c r="S21" s="345" t="s">
        <v>38</v>
      </c>
      <c r="T21" s="344" t="s">
        <v>42</v>
      </c>
      <c r="U21" s="345" t="s">
        <v>46</v>
      </c>
      <c r="V21" s="344" t="s">
        <v>50</v>
      </c>
      <c r="W21" s="345" t="s">
        <v>54</v>
      </c>
      <c r="X21" s="122">
        <v>2028.0</v>
      </c>
      <c r="Y21" s="346">
        <v>2027.0</v>
      </c>
      <c r="Z21" s="437"/>
      <c r="AA21" s="3"/>
      <c r="AB21" s="3"/>
      <c r="AC21" s="3"/>
      <c r="AD21" s="3"/>
      <c r="AE21" s="3"/>
    </row>
    <row r="22" ht="15.75" customHeight="1">
      <c r="A22" s="1"/>
      <c r="B22" s="26"/>
      <c r="C22" s="27"/>
      <c r="D22" s="28"/>
      <c r="E22" s="29"/>
      <c r="F22" s="30"/>
      <c r="G22" s="404"/>
      <c r="H22" s="32"/>
      <c r="I22" s="33"/>
      <c r="J22" s="50" t="s">
        <v>61</v>
      </c>
      <c r="K22" s="347"/>
      <c r="L22" s="348">
        <v>0.06</v>
      </c>
      <c r="M22" s="348">
        <v>0.05</v>
      </c>
      <c r="N22" s="348">
        <v>0.06</v>
      </c>
      <c r="O22" s="348">
        <v>0.07</v>
      </c>
      <c r="P22" s="348">
        <v>0.07</v>
      </c>
      <c r="Q22" s="348">
        <v>0.08</v>
      </c>
      <c r="R22" s="348">
        <v>0.08</v>
      </c>
      <c r="S22" s="348">
        <v>0.09</v>
      </c>
      <c r="T22" s="348">
        <v>0.09</v>
      </c>
      <c r="U22" s="348">
        <v>0.11</v>
      </c>
      <c r="V22" s="348">
        <v>0.12</v>
      </c>
      <c r="W22" s="348">
        <v>0.12</v>
      </c>
      <c r="X22" s="165">
        <f>SUM(L22:W22)</f>
        <v>1</v>
      </c>
      <c r="Y22" s="406">
        <v>1.0</v>
      </c>
      <c r="Z22" s="437"/>
      <c r="AA22" s="3"/>
      <c r="AB22" s="3"/>
      <c r="AC22" s="3"/>
      <c r="AD22" s="3"/>
      <c r="AE22" s="3"/>
    </row>
    <row r="23" ht="15.75" customHeight="1">
      <c r="A23" s="1"/>
      <c r="B23" s="105"/>
      <c r="C23" s="106"/>
      <c r="D23" s="107"/>
      <c r="E23" s="144"/>
      <c r="F23" s="109"/>
      <c r="G23" s="404"/>
      <c r="H23" s="32"/>
      <c r="I23" s="145"/>
      <c r="J23" s="50" t="s">
        <v>63</v>
      </c>
      <c r="K23" s="347"/>
      <c r="L23" s="66">
        <f t="shared" ref="L23:W23" si="16">($X$23)*L22</f>
        <v>794880</v>
      </c>
      <c r="M23" s="66">
        <f t="shared" si="16"/>
        <v>662400</v>
      </c>
      <c r="N23" s="66">
        <f t="shared" si="16"/>
        <v>794880</v>
      </c>
      <c r="O23" s="66">
        <f t="shared" si="16"/>
        <v>927360</v>
      </c>
      <c r="P23" s="66">
        <f t="shared" si="16"/>
        <v>927360</v>
      </c>
      <c r="Q23" s="66">
        <f t="shared" si="16"/>
        <v>1059840</v>
      </c>
      <c r="R23" s="66">
        <f t="shared" si="16"/>
        <v>1059840</v>
      </c>
      <c r="S23" s="66">
        <f t="shared" si="16"/>
        <v>1192320</v>
      </c>
      <c r="T23" s="66">
        <f t="shared" si="16"/>
        <v>1192320</v>
      </c>
      <c r="U23" s="66">
        <f t="shared" si="16"/>
        <v>1457280</v>
      </c>
      <c r="V23" s="66">
        <f t="shared" si="16"/>
        <v>1589760</v>
      </c>
      <c r="W23" s="66">
        <f t="shared" si="16"/>
        <v>1589760</v>
      </c>
      <c r="X23" s="166">
        <v>1.3248E7</v>
      </c>
      <c r="Y23" s="350">
        <v>1.0E7</v>
      </c>
      <c r="Z23" s="437">
        <f t="shared" ref="Z23:Z25" si="18">X23/Y23-1</f>
        <v>0.3248</v>
      </c>
      <c r="AA23" s="3"/>
      <c r="AB23" s="3"/>
      <c r="AC23" s="3"/>
      <c r="AD23" s="3"/>
      <c r="AE23" s="3"/>
    </row>
    <row r="24" ht="15.75" customHeight="1">
      <c r="A24" s="1"/>
      <c r="B24" s="105"/>
      <c r="C24" s="106"/>
      <c r="D24" s="107"/>
      <c r="E24" s="144"/>
      <c r="F24" s="109"/>
      <c r="G24" s="409"/>
      <c r="H24" s="111"/>
      <c r="I24" s="140"/>
      <c r="J24" s="50" t="s">
        <v>64</v>
      </c>
      <c r="K24" s="351">
        <v>107.0</v>
      </c>
      <c r="L24" s="81">
        <f t="shared" ref="L24:W24" si="17">L23/$K$24</f>
        <v>7428.785047</v>
      </c>
      <c r="M24" s="81">
        <f t="shared" si="17"/>
        <v>6190.654206</v>
      </c>
      <c r="N24" s="81">
        <f t="shared" si="17"/>
        <v>7428.785047</v>
      </c>
      <c r="O24" s="81">
        <f t="shared" si="17"/>
        <v>8666.915888</v>
      </c>
      <c r="P24" s="81">
        <f t="shared" si="17"/>
        <v>8666.915888</v>
      </c>
      <c r="Q24" s="81">
        <f t="shared" si="17"/>
        <v>9905.046729</v>
      </c>
      <c r="R24" s="81">
        <f t="shared" si="17"/>
        <v>9905.046729</v>
      </c>
      <c r="S24" s="81">
        <f t="shared" si="17"/>
        <v>11143.17757</v>
      </c>
      <c r="T24" s="81">
        <f t="shared" si="17"/>
        <v>11143.17757</v>
      </c>
      <c r="U24" s="81">
        <f t="shared" si="17"/>
        <v>13619.43925</v>
      </c>
      <c r="V24" s="81">
        <f t="shared" si="17"/>
        <v>14857.57009</v>
      </c>
      <c r="W24" s="81">
        <f t="shared" si="17"/>
        <v>14857.57009</v>
      </c>
      <c r="X24" s="352">
        <f t="shared" ref="X24:X25" si="20">SUM(L24:W24)</f>
        <v>123813.0841</v>
      </c>
      <c r="Y24" s="353">
        <v>93457.94392523365</v>
      </c>
      <c r="Z24" s="437">
        <f t="shared" si="18"/>
        <v>0.3248</v>
      </c>
      <c r="AA24" s="3"/>
      <c r="AB24" s="3"/>
      <c r="AC24" s="3"/>
      <c r="AD24" s="3"/>
      <c r="AE24" s="3"/>
    </row>
    <row r="25" ht="15.75" customHeight="1">
      <c r="A25" s="1"/>
      <c r="B25" s="105"/>
      <c r="C25" s="106"/>
      <c r="D25" s="107"/>
      <c r="E25" s="144"/>
      <c r="F25" s="109"/>
      <c r="G25" s="409"/>
      <c r="H25" s="111"/>
      <c r="I25" s="140"/>
      <c r="J25" s="91" t="s">
        <v>66</v>
      </c>
      <c r="K25" s="354">
        <v>0.039</v>
      </c>
      <c r="L25" s="94">
        <f t="shared" ref="L25:W25" si="19">IF(L24=0, 0, (L23/L24) * (
  MIN(L24, 1000) * 0.049 +
  MAX(0, MIN(L24, 2500) - 1000) * 0.039 +
  MAX(0, MIN(L24, 5000) - 2500) * 0.032 +
  MAX(0, L24 - 5000) * 0.029
))</f>
        <v>27599.02</v>
      </c>
      <c r="M25" s="94">
        <f t="shared" si="19"/>
        <v>23757.1</v>
      </c>
      <c r="N25" s="94">
        <f t="shared" si="19"/>
        <v>27599.02</v>
      </c>
      <c r="O25" s="94">
        <f t="shared" si="19"/>
        <v>31440.94</v>
      </c>
      <c r="P25" s="94">
        <f t="shared" si="19"/>
        <v>31440.94</v>
      </c>
      <c r="Q25" s="94">
        <f t="shared" si="19"/>
        <v>35282.86</v>
      </c>
      <c r="R25" s="94">
        <f t="shared" si="19"/>
        <v>35282.86</v>
      </c>
      <c r="S25" s="94">
        <f t="shared" si="19"/>
        <v>39124.78</v>
      </c>
      <c r="T25" s="94">
        <f t="shared" si="19"/>
        <v>39124.78</v>
      </c>
      <c r="U25" s="94">
        <f t="shared" si="19"/>
        <v>46808.62</v>
      </c>
      <c r="V25" s="94">
        <f t="shared" si="19"/>
        <v>50650.54</v>
      </c>
      <c r="W25" s="94">
        <f t="shared" si="19"/>
        <v>50650.54</v>
      </c>
      <c r="X25" s="169">
        <f t="shared" si="20"/>
        <v>438762</v>
      </c>
      <c r="Y25" s="355">
        <v>344465.0</v>
      </c>
      <c r="Z25" s="435">
        <f t="shared" si="18"/>
        <v>0.2737491472</v>
      </c>
      <c r="AA25" s="3"/>
      <c r="AB25" s="3"/>
      <c r="AC25" s="3"/>
      <c r="AD25" s="3"/>
      <c r="AE25" s="3"/>
    </row>
    <row r="26" ht="15.75" customHeight="1">
      <c r="A26" s="1"/>
      <c r="B26" s="105"/>
      <c r="C26" s="106"/>
      <c r="D26" s="107"/>
      <c r="E26" s="144"/>
      <c r="F26" s="109"/>
      <c r="G26" s="409"/>
      <c r="H26" s="111"/>
      <c r="I26" s="112"/>
      <c r="J26" s="8"/>
      <c r="K26" s="148"/>
      <c r="L26" s="12"/>
      <c r="M26" s="149"/>
      <c r="N26" s="149"/>
      <c r="O26" s="149"/>
      <c r="P26" s="149"/>
      <c r="Q26" s="160"/>
      <c r="R26" s="149"/>
      <c r="S26" s="12"/>
      <c r="T26" s="12"/>
      <c r="U26" s="12"/>
      <c r="V26" s="12"/>
      <c r="W26" s="12"/>
      <c r="X26" s="13"/>
      <c r="Y26" s="14"/>
      <c r="Z26" s="435"/>
      <c r="AA26" s="3"/>
      <c r="AB26" s="3"/>
      <c r="AC26" s="3"/>
      <c r="AD26" s="3"/>
      <c r="AE26" s="3"/>
    </row>
    <row r="27" ht="15.75" customHeight="1">
      <c r="A27" s="1"/>
      <c r="B27" s="105">
        <v>5.0</v>
      </c>
      <c r="C27" s="106" t="s">
        <v>72</v>
      </c>
      <c r="D27" s="107">
        <f>28*2*12</f>
        <v>672</v>
      </c>
      <c r="E27" s="144"/>
      <c r="F27" s="109">
        <f>D27*35</f>
        <v>23520</v>
      </c>
      <c r="G27" s="409">
        <v>14.9</v>
      </c>
      <c r="H27" s="111">
        <v>1.0</v>
      </c>
      <c r="I27" s="112">
        <v>14.9</v>
      </c>
      <c r="J27" s="405" t="s">
        <v>73</v>
      </c>
      <c r="K27" s="357"/>
      <c r="L27" s="344" t="s">
        <v>10</v>
      </c>
      <c r="M27" s="345" t="s">
        <v>14</v>
      </c>
      <c r="N27" s="344" t="s">
        <v>18</v>
      </c>
      <c r="O27" s="345" t="s">
        <v>22</v>
      </c>
      <c r="P27" s="344" t="s">
        <v>26</v>
      </c>
      <c r="Q27" s="345" t="s">
        <v>30</v>
      </c>
      <c r="R27" s="344" t="s">
        <v>34</v>
      </c>
      <c r="S27" s="345" t="s">
        <v>38</v>
      </c>
      <c r="T27" s="344" t="s">
        <v>42</v>
      </c>
      <c r="U27" s="345" t="s">
        <v>46</v>
      </c>
      <c r="V27" s="344" t="s">
        <v>50</v>
      </c>
      <c r="W27" s="345" t="s">
        <v>54</v>
      </c>
      <c r="X27" s="122">
        <v>2028.0</v>
      </c>
      <c r="Y27" s="346">
        <v>2027.0</v>
      </c>
      <c r="Z27" s="437"/>
      <c r="AA27" s="3"/>
      <c r="AB27" s="3"/>
      <c r="AC27" s="3"/>
      <c r="AD27" s="3"/>
      <c r="AE27" s="3"/>
    </row>
    <row r="28" ht="15.75" customHeight="1">
      <c r="A28" s="1"/>
      <c r="B28" s="105"/>
      <c r="C28" s="106"/>
      <c r="D28" s="107"/>
      <c r="E28" s="144"/>
      <c r="F28" s="109"/>
      <c r="G28" s="409"/>
      <c r="H28" s="111"/>
      <c r="I28" s="112"/>
      <c r="J28" s="50" t="s">
        <v>61</v>
      </c>
      <c r="K28" s="347"/>
      <c r="L28" s="348">
        <v>0.01</v>
      </c>
      <c r="M28" s="348">
        <v>0.02</v>
      </c>
      <c r="N28" s="348">
        <v>0.03</v>
      </c>
      <c r="O28" s="348">
        <v>0.03</v>
      </c>
      <c r="P28" s="348">
        <v>0.04</v>
      </c>
      <c r="Q28" s="348">
        <v>0.04</v>
      </c>
      <c r="R28" s="348">
        <v>0.06</v>
      </c>
      <c r="S28" s="348">
        <v>0.08</v>
      </c>
      <c r="T28" s="348">
        <v>0.12</v>
      </c>
      <c r="U28" s="348">
        <v>0.15</v>
      </c>
      <c r="V28" s="348">
        <v>0.2</v>
      </c>
      <c r="W28" s="348">
        <v>0.22</v>
      </c>
      <c r="X28" s="165">
        <f>SUM(L28:W28)</f>
        <v>1</v>
      </c>
      <c r="Y28" s="406">
        <v>1.0</v>
      </c>
      <c r="Z28" s="437"/>
      <c r="AA28" s="3"/>
      <c r="AB28" s="3"/>
      <c r="AC28" s="3"/>
      <c r="AD28" s="3"/>
      <c r="AE28" s="3"/>
    </row>
    <row r="29" ht="15.75" customHeight="1">
      <c r="A29" s="1"/>
      <c r="B29" s="105"/>
      <c r="C29" s="106"/>
      <c r="D29" s="107"/>
      <c r="E29" s="144"/>
      <c r="F29" s="109"/>
      <c r="G29" s="409"/>
      <c r="H29" s="111"/>
      <c r="I29" s="112"/>
      <c r="J29" s="50" t="s">
        <v>63</v>
      </c>
      <c r="K29" s="347"/>
      <c r="L29" s="66">
        <f t="shared" ref="L29:W29" si="21">($X$29)*L28</f>
        <v>11000</v>
      </c>
      <c r="M29" s="66">
        <f t="shared" si="21"/>
        <v>22000</v>
      </c>
      <c r="N29" s="66">
        <f t="shared" si="21"/>
        <v>33000</v>
      </c>
      <c r="O29" s="66">
        <f t="shared" si="21"/>
        <v>33000</v>
      </c>
      <c r="P29" s="66">
        <f t="shared" si="21"/>
        <v>44000</v>
      </c>
      <c r="Q29" s="66">
        <f t="shared" si="21"/>
        <v>44000</v>
      </c>
      <c r="R29" s="66">
        <f t="shared" si="21"/>
        <v>66000</v>
      </c>
      <c r="S29" s="66">
        <f t="shared" si="21"/>
        <v>88000</v>
      </c>
      <c r="T29" s="66">
        <f t="shared" si="21"/>
        <v>132000</v>
      </c>
      <c r="U29" s="66">
        <f t="shared" si="21"/>
        <v>165000</v>
      </c>
      <c r="V29" s="66">
        <f t="shared" si="21"/>
        <v>220000</v>
      </c>
      <c r="W29" s="66">
        <f t="shared" si="21"/>
        <v>242000</v>
      </c>
      <c r="X29" s="166">
        <v>1100000.0</v>
      </c>
      <c r="Y29" s="350">
        <v>1000000.0</v>
      </c>
      <c r="Z29" s="437">
        <f t="shared" ref="Z29:Z31" si="23">X29/Y29-1</f>
        <v>0.1</v>
      </c>
      <c r="AA29" s="3"/>
      <c r="AB29" s="3"/>
      <c r="AC29" s="3"/>
      <c r="AD29" s="3"/>
      <c r="AE29" s="3"/>
    </row>
    <row r="30" ht="15.75" customHeight="1">
      <c r="A30" s="1"/>
      <c r="B30" s="105"/>
      <c r="C30" s="106"/>
      <c r="D30" s="107"/>
      <c r="E30" s="144"/>
      <c r="F30" s="109"/>
      <c r="G30" s="409"/>
      <c r="H30" s="111"/>
      <c r="I30" s="112"/>
      <c r="J30" s="50" t="s">
        <v>64</v>
      </c>
      <c r="K30" s="351">
        <v>60.0</v>
      </c>
      <c r="L30" s="81">
        <f t="shared" ref="L30:W30" si="22">L29/$K$30</f>
        <v>183.3333333</v>
      </c>
      <c r="M30" s="81">
        <f t="shared" si="22"/>
        <v>366.6666667</v>
      </c>
      <c r="N30" s="81">
        <f t="shared" si="22"/>
        <v>550</v>
      </c>
      <c r="O30" s="81">
        <f t="shared" si="22"/>
        <v>550</v>
      </c>
      <c r="P30" s="81">
        <f t="shared" si="22"/>
        <v>733.3333333</v>
      </c>
      <c r="Q30" s="81">
        <f t="shared" si="22"/>
        <v>733.3333333</v>
      </c>
      <c r="R30" s="81">
        <f t="shared" si="22"/>
        <v>1100</v>
      </c>
      <c r="S30" s="81">
        <f t="shared" si="22"/>
        <v>1466.666667</v>
      </c>
      <c r="T30" s="81">
        <f t="shared" si="22"/>
        <v>2200</v>
      </c>
      <c r="U30" s="81">
        <f t="shared" si="22"/>
        <v>2750</v>
      </c>
      <c r="V30" s="81">
        <f t="shared" si="22"/>
        <v>3666.666667</v>
      </c>
      <c r="W30" s="81">
        <f t="shared" si="22"/>
        <v>4033.333333</v>
      </c>
      <c r="X30" s="352">
        <f t="shared" ref="X30:X31" si="25">SUM(L30:W30)</f>
        <v>18333.33333</v>
      </c>
      <c r="Y30" s="353">
        <v>16666.666666666668</v>
      </c>
      <c r="Z30" s="437">
        <f t="shared" si="23"/>
        <v>0.1</v>
      </c>
      <c r="AA30" s="3"/>
      <c r="AB30" s="3"/>
      <c r="AC30" s="3"/>
      <c r="AD30" s="3"/>
      <c r="AE30" s="3"/>
    </row>
    <row r="31" ht="15.75" customHeight="1">
      <c r="A31" s="1"/>
      <c r="B31" s="105"/>
      <c r="C31" s="106"/>
      <c r="D31" s="107"/>
      <c r="E31" s="144"/>
      <c r="F31" s="109"/>
      <c r="G31" s="409"/>
      <c r="H31" s="111"/>
      <c r="I31" s="112"/>
      <c r="J31" s="91" t="s">
        <v>66</v>
      </c>
      <c r="K31" s="354">
        <v>0.049</v>
      </c>
      <c r="L31" s="97">
        <f t="shared" ref="L31:W31" si="24">L29*$K$31</f>
        <v>539</v>
      </c>
      <c r="M31" s="97">
        <f t="shared" si="24"/>
        <v>1078</v>
      </c>
      <c r="N31" s="97">
        <f t="shared" si="24"/>
        <v>1617</v>
      </c>
      <c r="O31" s="97">
        <f t="shared" si="24"/>
        <v>1617</v>
      </c>
      <c r="P31" s="97">
        <f t="shared" si="24"/>
        <v>2156</v>
      </c>
      <c r="Q31" s="97">
        <f t="shared" si="24"/>
        <v>2156</v>
      </c>
      <c r="R31" s="97">
        <f t="shared" si="24"/>
        <v>3234</v>
      </c>
      <c r="S31" s="97">
        <f t="shared" si="24"/>
        <v>4312</v>
      </c>
      <c r="T31" s="97">
        <f t="shared" si="24"/>
        <v>6468</v>
      </c>
      <c r="U31" s="97">
        <f t="shared" si="24"/>
        <v>8085</v>
      </c>
      <c r="V31" s="97">
        <f t="shared" si="24"/>
        <v>10780</v>
      </c>
      <c r="W31" s="97">
        <f t="shared" si="24"/>
        <v>11858</v>
      </c>
      <c r="X31" s="169">
        <f t="shared" si="25"/>
        <v>53900</v>
      </c>
      <c r="Y31" s="355">
        <v>49000.0</v>
      </c>
      <c r="Z31" s="435">
        <f t="shared" si="23"/>
        <v>0.1</v>
      </c>
      <c r="AA31" s="3"/>
      <c r="AB31" s="3"/>
      <c r="AC31" s="3"/>
      <c r="AD31" s="3"/>
      <c r="AE31" s="3"/>
    </row>
    <row r="32" ht="15.75" customHeight="1">
      <c r="A32" s="1"/>
      <c r="B32" s="105"/>
      <c r="C32" s="106"/>
      <c r="D32" s="107"/>
      <c r="E32" s="144"/>
      <c r="F32" s="109"/>
      <c r="G32" s="409"/>
      <c r="H32" s="111"/>
      <c r="I32" s="112"/>
      <c r="J32" s="8"/>
      <c r="K32" s="148"/>
      <c r="L32" s="12"/>
      <c r="M32" s="149"/>
      <c r="N32" s="149"/>
      <c r="O32" s="149"/>
      <c r="P32" s="149"/>
      <c r="Q32" s="160"/>
      <c r="R32" s="149"/>
      <c r="S32" s="12"/>
      <c r="T32" s="12"/>
      <c r="U32" s="12"/>
      <c r="V32" s="12"/>
      <c r="W32" s="12"/>
      <c r="X32" s="13"/>
      <c r="Y32" s="14"/>
      <c r="Z32" s="439"/>
      <c r="AA32" s="3"/>
      <c r="AB32" s="3"/>
      <c r="AC32" s="3"/>
      <c r="AD32" s="3"/>
      <c r="AE32" s="3"/>
    </row>
    <row r="33" ht="15.75" customHeight="1">
      <c r="A33" s="1"/>
      <c r="B33" s="105">
        <v>6.0</v>
      </c>
      <c r="C33" s="106" t="s">
        <v>74</v>
      </c>
      <c r="D33" s="107">
        <f>17000*12</f>
        <v>204000</v>
      </c>
      <c r="E33" s="144">
        <v>170.0</v>
      </c>
      <c r="F33" s="109">
        <f>E33*D33</f>
        <v>34680000</v>
      </c>
      <c r="G33" s="409">
        <v>368854.13999999926</v>
      </c>
      <c r="H33" s="111">
        <v>5074.0</v>
      </c>
      <c r="I33" s="112">
        <v>72.69494284588082</v>
      </c>
      <c r="J33" s="405" t="s">
        <v>76</v>
      </c>
      <c r="K33" s="342"/>
      <c r="L33" s="344" t="s">
        <v>10</v>
      </c>
      <c r="M33" s="345" t="s">
        <v>14</v>
      </c>
      <c r="N33" s="344" t="s">
        <v>18</v>
      </c>
      <c r="O33" s="345" t="s">
        <v>22</v>
      </c>
      <c r="P33" s="344" t="s">
        <v>26</v>
      </c>
      <c r="Q33" s="345" t="s">
        <v>30</v>
      </c>
      <c r="R33" s="344" t="s">
        <v>34</v>
      </c>
      <c r="S33" s="345" t="s">
        <v>38</v>
      </c>
      <c r="T33" s="344" t="s">
        <v>42</v>
      </c>
      <c r="U33" s="345" t="s">
        <v>46</v>
      </c>
      <c r="V33" s="344" t="s">
        <v>50</v>
      </c>
      <c r="W33" s="345" t="s">
        <v>54</v>
      </c>
      <c r="X33" s="122">
        <v>2028.0</v>
      </c>
      <c r="Y33" s="346">
        <v>2027.0</v>
      </c>
      <c r="Z33" s="437"/>
      <c r="AA33" s="3"/>
      <c r="AB33" s="3"/>
      <c r="AC33" s="3"/>
      <c r="AD33" s="3"/>
      <c r="AE33" s="3"/>
    </row>
    <row r="34" ht="15.75" customHeight="1">
      <c r="A34" s="1"/>
      <c r="B34" s="105"/>
      <c r="C34" s="106"/>
      <c r="D34" s="107"/>
      <c r="E34" s="144"/>
      <c r="F34" s="109"/>
      <c r="G34" s="409"/>
      <c r="H34" s="111"/>
      <c r="I34" s="112"/>
      <c r="J34" s="50" t="s">
        <v>78</v>
      </c>
      <c r="K34" s="347"/>
      <c r="L34" s="348">
        <v>0.08</v>
      </c>
      <c r="M34" s="348">
        <v>0.06</v>
      </c>
      <c r="N34" s="348">
        <v>0.07</v>
      </c>
      <c r="O34" s="348">
        <v>0.07</v>
      </c>
      <c r="P34" s="348">
        <v>0.08</v>
      </c>
      <c r="Q34" s="348">
        <v>0.08</v>
      </c>
      <c r="R34" s="348">
        <v>0.07</v>
      </c>
      <c r="S34" s="348">
        <v>0.08</v>
      </c>
      <c r="T34" s="348">
        <v>0.08</v>
      </c>
      <c r="U34" s="348">
        <v>0.09</v>
      </c>
      <c r="V34" s="348">
        <v>0.11</v>
      </c>
      <c r="W34" s="348">
        <v>0.13</v>
      </c>
      <c r="X34" s="165">
        <f>SUM(L34:W34)</f>
        <v>1</v>
      </c>
      <c r="Y34" s="406">
        <v>0.9999999999999999</v>
      </c>
      <c r="Z34" s="437"/>
      <c r="AA34" s="3"/>
      <c r="AB34" s="3"/>
      <c r="AC34" s="3"/>
      <c r="AD34" s="3"/>
      <c r="AE34" s="3"/>
    </row>
    <row r="35" ht="15.75" customHeight="1">
      <c r="A35" s="1"/>
      <c r="B35" s="105"/>
      <c r="C35" s="106"/>
      <c r="D35" s="107"/>
      <c r="E35" s="144"/>
      <c r="F35" s="109"/>
      <c r="G35" s="409"/>
      <c r="H35" s="111"/>
      <c r="I35" s="112"/>
      <c r="J35" s="50" t="s">
        <v>63</v>
      </c>
      <c r="K35" s="347"/>
      <c r="L35" s="66">
        <f t="shared" ref="L35:W35" si="26">($X$35)*L34</f>
        <v>554880</v>
      </c>
      <c r="M35" s="66">
        <f t="shared" si="26"/>
        <v>416160</v>
      </c>
      <c r="N35" s="66">
        <f t="shared" si="26"/>
        <v>485520</v>
      </c>
      <c r="O35" s="66">
        <f t="shared" si="26"/>
        <v>485520</v>
      </c>
      <c r="P35" s="66">
        <f t="shared" si="26"/>
        <v>554880</v>
      </c>
      <c r="Q35" s="66">
        <f t="shared" si="26"/>
        <v>554880</v>
      </c>
      <c r="R35" s="66">
        <f t="shared" si="26"/>
        <v>485520</v>
      </c>
      <c r="S35" s="66">
        <f t="shared" si="26"/>
        <v>554880</v>
      </c>
      <c r="T35" s="66">
        <f t="shared" si="26"/>
        <v>554880</v>
      </c>
      <c r="U35" s="66">
        <f t="shared" si="26"/>
        <v>624240</v>
      </c>
      <c r="V35" s="66">
        <f t="shared" si="26"/>
        <v>762960</v>
      </c>
      <c r="W35" s="66">
        <f t="shared" si="26"/>
        <v>901680</v>
      </c>
      <c r="X35" s="166">
        <v>6936000.0</v>
      </c>
      <c r="Y35" s="350">
        <v>2000000.0</v>
      </c>
      <c r="Z35" s="437">
        <f t="shared" ref="Z35:Z37" si="28">X35/Y35-1</f>
        <v>2.468</v>
      </c>
      <c r="AA35" s="3"/>
      <c r="AB35" s="3"/>
      <c r="AC35" s="3"/>
      <c r="AD35" s="3"/>
      <c r="AE35" s="3"/>
    </row>
    <row r="36" ht="15.75" customHeight="1">
      <c r="A36" s="1"/>
      <c r="B36" s="105"/>
      <c r="C36" s="106"/>
      <c r="D36" s="107"/>
      <c r="E36" s="144"/>
      <c r="F36" s="109"/>
      <c r="G36" s="409"/>
      <c r="H36" s="111"/>
      <c r="I36" s="112"/>
      <c r="J36" s="50" t="s">
        <v>64</v>
      </c>
      <c r="K36" s="351">
        <v>72.0</v>
      </c>
      <c r="L36" s="81">
        <f t="shared" ref="L36:W36" si="27">L35/$K$36</f>
        <v>7706.666667</v>
      </c>
      <c r="M36" s="81">
        <f t="shared" si="27"/>
        <v>5780</v>
      </c>
      <c r="N36" s="81">
        <f t="shared" si="27"/>
        <v>6743.333333</v>
      </c>
      <c r="O36" s="81">
        <f t="shared" si="27"/>
        <v>6743.333333</v>
      </c>
      <c r="P36" s="81">
        <f t="shared" si="27"/>
        <v>7706.666667</v>
      </c>
      <c r="Q36" s="81">
        <f t="shared" si="27"/>
        <v>7706.666667</v>
      </c>
      <c r="R36" s="81">
        <f t="shared" si="27"/>
        <v>6743.333333</v>
      </c>
      <c r="S36" s="81">
        <f t="shared" si="27"/>
        <v>7706.666667</v>
      </c>
      <c r="T36" s="81">
        <f t="shared" si="27"/>
        <v>7706.666667</v>
      </c>
      <c r="U36" s="81">
        <f t="shared" si="27"/>
        <v>8670</v>
      </c>
      <c r="V36" s="81">
        <f t="shared" si="27"/>
        <v>10596.66667</v>
      </c>
      <c r="W36" s="81">
        <f t="shared" si="27"/>
        <v>12523.33333</v>
      </c>
      <c r="X36" s="352">
        <f t="shared" ref="X36:X37" si="30">SUM(L36:W36)</f>
        <v>96333.33333</v>
      </c>
      <c r="Y36" s="353">
        <v>27777.77777777778</v>
      </c>
      <c r="Z36" s="437">
        <f t="shared" si="28"/>
        <v>2.468</v>
      </c>
      <c r="AA36" s="3"/>
      <c r="AB36" s="3"/>
      <c r="AC36" s="3"/>
      <c r="AD36" s="3"/>
      <c r="AE36" s="3"/>
    </row>
    <row r="37" ht="15.75" customHeight="1">
      <c r="A37" s="1"/>
      <c r="B37" s="105"/>
      <c r="C37" s="106"/>
      <c r="D37" s="107"/>
      <c r="E37" s="144"/>
      <c r="F37" s="109"/>
      <c r="G37" s="409"/>
      <c r="H37" s="111"/>
      <c r="I37" s="112"/>
      <c r="J37" s="91" t="s">
        <v>66</v>
      </c>
      <c r="K37" s="354">
        <v>0.04</v>
      </c>
      <c r="L37" s="94">
        <f t="shared" ref="L37:W37" si="29">MIN(L35, 500000) * 0.04 +
 MAX(0, MIN(L35, 1000000) - 500000) * 0.035 +
 MAX(0, L35 - 1000000) * 0.03</f>
        <v>21920.8</v>
      </c>
      <c r="M37" s="94">
        <f t="shared" si="29"/>
        <v>16646.4</v>
      </c>
      <c r="N37" s="94">
        <f t="shared" si="29"/>
        <v>19420.8</v>
      </c>
      <c r="O37" s="94">
        <f t="shared" si="29"/>
        <v>19420.8</v>
      </c>
      <c r="P37" s="94">
        <f t="shared" si="29"/>
        <v>21920.8</v>
      </c>
      <c r="Q37" s="94">
        <f t="shared" si="29"/>
        <v>21920.8</v>
      </c>
      <c r="R37" s="94">
        <f t="shared" si="29"/>
        <v>19420.8</v>
      </c>
      <c r="S37" s="94">
        <f t="shared" si="29"/>
        <v>21920.8</v>
      </c>
      <c r="T37" s="94">
        <f t="shared" si="29"/>
        <v>21920.8</v>
      </c>
      <c r="U37" s="94">
        <f t="shared" si="29"/>
        <v>24348.4</v>
      </c>
      <c r="V37" s="94">
        <f t="shared" si="29"/>
        <v>29203.6</v>
      </c>
      <c r="W37" s="94">
        <f t="shared" si="29"/>
        <v>34058.8</v>
      </c>
      <c r="X37" s="169">
        <f t="shared" si="30"/>
        <v>272123.6</v>
      </c>
      <c r="Y37" s="355">
        <v>80000.0</v>
      </c>
      <c r="Z37" s="435">
        <f t="shared" si="28"/>
        <v>2.401545</v>
      </c>
      <c r="AA37" s="3"/>
      <c r="AB37" s="3"/>
      <c r="AC37" s="3"/>
      <c r="AD37" s="3"/>
      <c r="AE37" s="3"/>
    </row>
    <row r="38" ht="15.75" customHeight="1">
      <c r="A38" s="1"/>
      <c r="B38" s="105"/>
      <c r="C38" s="106"/>
      <c r="D38" s="107"/>
      <c r="E38" s="144"/>
      <c r="F38" s="109"/>
      <c r="G38" s="409"/>
      <c r="H38" s="111"/>
      <c r="I38" s="112"/>
      <c r="J38" s="407"/>
      <c r="K38" s="113"/>
      <c r="L38" s="136"/>
      <c r="M38" s="136"/>
      <c r="N38" s="136"/>
      <c r="O38" s="149">
        <f t="shared" ref="O38:P38" si="31">O41/7000</f>
        <v>80</v>
      </c>
      <c r="P38" s="149">
        <f t="shared" si="31"/>
        <v>91.42857143</v>
      </c>
      <c r="Q38" s="160"/>
      <c r="R38" s="149">
        <f t="shared" ref="R38:W38" si="32">R41/7000</f>
        <v>114.2857143</v>
      </c>
      <c r="S38" s="149">
        <f t="shared" si="32"/>
        <v>91.42857143</v>
      </c>
      <c r="T38" s="149">
        <f t="shared" si="32"/>
        <v>91.42857143</v>
      </c>
      <c r="U38" s="149">
        <f t="shared" si="32"/>
        <v>114.2857143</v>
      </c>
      <c r="V38" s="149">
        <f t="shared" si="32"/>
        <v>114.2857143</v>
      </c>
      <c r="W38" s="149">
        <f t="shared" si="32"/>
        <v>114.2857143</v>
      </c>
      <c r="X38" s="137"/>
      <c r="Y38" s="410"/>
      <c r="Z38" s="440"/>
      <c r="AA38" s="3"/>
      <c r="AB38" s="3"/>
      <c r="AC38" s="3"/>
      <c r="AD38" s="3"/>
      <c r="AE38" s="3"/>
    </row>
    <row r="39" ht="15.75" customHeight="1">
      <c r="A39" s="1"/>
      <c r="B39" s="105">
        <v>7.0</v>
      </c>
      <c r="C39" s="106" t="s">
        <v>77</v>
      </c>
      <c r="D39" s="107"/>
      <c r="E39" s="144"/>
      <c r="F39" s="109"/>
      <c r="G39" s="409"/>
      <c r="H39" s="111"/>
      <c r="I39" s="112"/>
      <c r="J39" s="405" t="s">
        <v>79</v>
      </c>
      <c r="K39" s="342"/>
      <c r="L39" s="344" t="s">
        <v>10</v>
      </c>
      <c r="M39" s="345" t="s">
        <v>14</v>
      </c>
      <c r="N39" s="344" t="s">
        <v>18</v>
      </c>
      <c r="O39" s="345" t="s">
        <v>22</v>
      </c>
      <c r="P39" s="344" t="s">
        <v>26</v>
      </c>
      <c r="Q39" s="345" t="s">
        <v>30</v>
      </c>
      <c r="R39" s="344" t="s">
        <v>34</v>
      </c>
      <c r="S39" s="345" t="s">
        <v>38</v>
      </c>
      <c r="T39" s="344" t="s">
        <v>42</v>
      </c>
      <c r="U39" s="345" t="s">
        <v>46</v>
      </c>
      <c r="V39" s="344" t="s">
        <v>50</v>
      </c>
      <c r="W39" s="345" t="s">
        <v>54</v>
      </c>
      <c r="X39" s="122">
        <v>2028.0</v>
      </c>
      <c r="Y39" s="346">
        <v>2027.0</v>
      </c>
      <c r="Z39" s="437"/>
      <c r="AA39" s="3"/>
      <c r="AB39" s="3"/>
      <c r="AC39" s="3"/>
      <c r="AD39" s="3"/>
      <c r="AE39" s="3"/>
    </row>
    <row r="40" ht="15.75" customHeight="1">
      <c r="A40" s="1"/>
      <c r="B40" s="105"/>
      <c r="C40" s="106"/>
      <c r="D40" s="107"/>
      <c r="E40" s="144"/>
      <c r="F40" s="109"/>
      <c r="G40" s="409"/>
      <c r="H40" s="111"/>
      <c r="I40" s="112"/>
      <c r="J40" s="50" t="s">
        <v>61</v>
      </c>
      <c r="K40" s="347"/>
      <c r="L40" s="348">
        <v>0.07</v>
      </c>
      <c r="M40" s="348">
        <v>0.05</v>
      </c>
      <c r="N40" s="348">
        <v>0.07</v>
      </c>
      <c r="O40" s="348">
        <v>0.07</v>
      </c>
      <c r="P40" s="348">
        <v>0.08</v>
      </c>
      <c r="Q40" s="348">
        <v>0.1</v>
      </c>
      <c r="R40" s="348">
        <v>0.1</v>
      </c>
      <c r="S40" s="348">
        <v>0.08</v>
      </c>
      <c r="T40" s="348">
        <v>0.08</v>
      </c>
      <c r="U40" s="348">
        <v>0.1</v>
      </c>
      <c r="V40" s="348">
        <v>0.1</v>
      </c>
      <c r="W40" s="348">
        <v>0.1</v>
      </c>
      <c r="X40" s="165">
        <f>SUM(L40:W40)</f>
        <v>1</v>
      </c>
      <c r="Y40" s="406">
        <v>0.9999999999999999</v>
      </c>
      <c r="Z40" s="437"/>
      <c r="AA40" s="3"/>
      <c r="AB40" s="3"/>
      <c r="AC40" s="3"/>
      <c r="AD40" s="3"/>
      <c r="AE40" s="3"/>
    </row>
    <row r="41" ht="15.75" customHeight="1">
      <c r="A41" s="1"/>
      <c r="B41" s="105"/>
      <c r="C41" s="106"/>
      <c r="D41" s="107"/>
      <c r="E41" s="144"/>
      <c r="F41" s="109"/>
      <c r="G41" s="409"/>
      <c r="H41" s="111"/>
      <c r="I41" s="112"/>
      <c r="J41" s="50" t="s">
        <v>63</v>
      </c>
      <c r="K41" s="347"/>
      <c r="L41" s="66">
        <f t="shared" ref="L41:W41" si="33">($X$41)*L40</f>
        <v>560000</v>
      </c>
      <c r="M41" s="66">
        <f t="shared" si="33"/>
        <v>400000</v>
      </c>
      <c r="N41" s="66">
        <f t="shared" si="33"/>
        <v>560000</v>
      </c>
      <c r="O41" s="66">
        <f t="shared" si="33"/>
        <v>560000</v>
      </c>
      <c r="P41" s="66">
        <f t="shared" si="33"/>
        <v>640000</v>
      </c>
      <c r="Q41" s="66">
        <f t="shared" si="33"/>
        <v>800000</v>
      </c>
      <c r="R41" s="66">
        <f t="shared" si="33"/>
        <v>800000</v>
      </c>
      <c r="S41" s="66">
        <f t="shared" si="33"/>
        <v>640000</v>
      </c>
      <c r="T41" s="66">
        <f t="shared" si="33"/>
        <v>640000</v>
      </c>
      <c r="U41" s="66">
        <f t="shared" si="33"/>
        <v>800000</v>
      </c>
      <c r="V41" s="66">
        <f t="shared" si="33"/>
        <v>800000</v>
      </c>
      <c r="W41" s="66">
        <f t="shared" si="33"/>
        <v>800000</v>
      </c>
      <c r="X41" s="166">
        <v>8000000.0</v>
      </c>
      <c r="Y41" s="350">
        <v>8000000.0</v>
      </c>
      <c r="Z41" s="437">
        <f t="shared" ref="Z41:Z43" si="35">X41/Y41-1</f>
        <v>0</v>
      </c>
      <c r="AA41" s="3"/>
      <c r="AB41" s="3"/>
      <c r="AC41" s="3"/>
      <c r="AD41" s="3"/>
      <c r="AE41" s="3"/>
    </row>
    <row r="42" ht="15.75" customHeight="1">
      <c r="A42" s="1"/>
      <c r="B42" s="105"/>
      <c r="C42" s="106"/>
      <c r="D42" s="107"/>
      <c r="E42" s="144"/>
      <c r="F42" s="109"/>
      <c r="G42" s="409"/>
      <c r="H42" s="111"/>
      <c r="I42" s="112"/>
      <c r="J42" s="50" t="s">
        <v>64</v>
      </c>
      <c r="K42" s="351">
        <v>105.0</v>
      </c>
      <c r="L42" s="81">
        <f t="shared" ref="L42:W42" si="34">L41/$K$42</f>
        <v>5333.333333</v>
      </c>
      <c r="M42" s="81">
        <f t="shared" si="34"/>
        <v>3809.52381</v>
      </c>
      <c r="N42" s="81">
        <f t="shared" si="34"/>
        <v>5333.333333</v>
      </c>
      <c r="O42" s="81">
        <f t="shared" si="34"/>
        <v>5333.333333</v>
      </c>
      <c r="P42" s="81">
        <f t="shared" si="34"/>
        <v>6095.238095</v>
      </c>
      <c r="Q42" s="81">
        <f t="shared" si="34"/>
        <v>7619.047619</v>
      </c>
      <c r="R42" s="81">
        <f t="shared" si="34"/>
        <v>7619.047619</v>
      </c>
      <c r="S42" s="81">
        <f t="shared" si="34"/>
        <v>6095.238095</v>
      </c>
      <c r="T42" s="81">
        <f t="shared" si="34"/>
        <v>6095.238095</v>
      </c>
      <c r="U42" s="81">
        <f t="shared" si="34"/>
        <v>7619.047619</v>
      </c>
      <c r="V42" s="81">
        <f t="shared" si="34"/>
        <v>7619.047619</v>
      </c>
      <c r="W42" s="81">
        <f t="shared" si="34"/>
        <v>7619.047619</v>
      </c>
      <c r="X42" s="352">
        <f>SUM(L42:W42)</f>
        <v>76190.47619</v>
      </c>
      <c r="Y42" s="353">
        <v>76190.47619047618</v>
      </c>
      <c r="Z42" s="437">
        <f t="shared" si="35"/>
        <v>0</v>
      </c>
      <c r="AA42" s="3"/>
      <c r="AB42" s="3"/>
      <c r="AC42" s="3"/>
      <c r="AD42" s="3"/>
      <c r="AE42" s="3"/>
    </row>
    <row r="43" ht="15.75" customHeight="1">
      <c r="A43" s="1"/>
      <c r="B43" s="105"/>
      <c r="C43" s="106"/>
      <c r="D43" s="107"/>
      <c r="E43" s="144"/>
      <c r="F43" s="109"/>
      <c r="G43" s="409"/>
      <c r="H43" s="111"/>
      <c r="I43" s="112"/>
      <c r="J43" s="91" t="s">
        <v>66</v>
      </c>
      <c r="K43" s="354">
        <v>0.03</v>
      </c>
      <c r="L43" s="94">
        <f t="shared" ref="L43:W43" si="36">MIN(L41, 500000) * 0.03 + MAX(0, MIN(L41, 1000000) - 500000) * 0.025 + MAX(0, MIN(L41, 2000000) - 1000000) * 0.0225 + MAX(0, MIN(L41, 3000000) - 2000000) * 0.02 + MAX(0, MIN(L41, 5000000) - 3000000) * 0.0175 + MAX(0, L41 - 5000000) * 0.015</f>
        <v>16500</v>
      </c>
      <c r="M43" s="94">
        <f t="shared" si="36"/>
        <v>12000</v>
      </c>
      <c r="N43" s="94">
        <f t="shared" si="36"/>
        <v>16500</v>
      </c>
      <c r="O43" s="94">
        <f t="shared" si="36"/>
        <v>16500</v>
      </c>
      <c r="P43" s="94">
        <f t="shared" si="36"/>
        <v>18500</v>
      </c>
      <c r="Q43" s="94">
        <f t="shared" si="36"/>
        <v>22500</v>
      </c>
      <c r="R43" s="94">
        <f t="shared" si="36"/>
        <v>22500</v>
      </c>
      <c r="S43" s="94">
        <f t="shared" si="36"/>
        <v>18500</v>
      </c>
      <c r="T43" s="94">
        <f t="shared" si="36"/>
        <v>18500</v>
      </c>
      <c r="U43" s="94">
        <f t="shared" si="36"/>
        <v>22500</v>
      </c>
      <c r="V43" s="94">
        <f t="shared" si="36"/>
        <v>22500</v>
      </c>
      <c r="W43" s="94">
        <f t="shared" si="36"/>
        <v>22500</v>
      </c>
      <c r="X43" s="169">
        <f>X41*$K$43</f>
        <v>240000</v>
      </c>
      <c r="Y43" s="355">
        <v>240000.0</v>
      </c>
      <c r="Z43" s="435">
        <f t="shared" si="35"/>
        <v>0</v>
      </c>
      <c r="AA43" s="3"/>
      <c r="AB43" s="3"/>
      <c r="AC43" s="3"/>
      <c r="AD43" s="3"/>
      <c r="AE43" s="3"/>
    </row>
    <row r="44" ht="15.75" customHeight="1">
      <c r="A44" s="1"/>
      <c r="B44" s="105"/>
      <c r="C44" s="106"/>
      <c r="D44" s="107"/>
      <c r="E44" s="144"/>
      <c r="F44" s="109"/>
      <c r="G44" s="409"/>
      <c r="H44" s="111"/>
      <c r="I44" s="112"/>
      <c r="J44" s="8"/>
      <c r="K44" s="148"/>
      <c r="L44" s="172">
        <f>L47/4600</f>
        <v>1043.478261</v>
      </c>
      <c r="M44" s="149">
        <f>M47/2890</f>
        <v>1162.629758</v>
      </c>
      <c r="N44" s="149">
        <f>N47/3000</f>
        <v>1280</v>
      </c>
      <c r="O44" s="149">
        <f>O47/10000</f>
        <v>384</v>
      </c>
      <c r="P44" s="149">
        <f>P47/15000</f>
        <v>224</v>
      </c>
      <c r="Q44" s="160"/>
      <c r="R44" s="149">
        <f t="shared" ref="R44:U44" si="37">R47/15000</f>
        <v>192</v>
      </c>
      <c r="S44" s="149">
        <f t="shared" si="37"/>
        <v>256</v>
      </c>
      <c r="T44" s="149">
        <f t="shared" si="37"/>
        <v>288</v>
      </c>
      <c r="U44" s="149">
        <f t="shared" si="37"/>
        <v>320</v>
      </c>
      <c r="V44" s="149">
        <f>V47/25000</f>
        <v>192</v>
      </c>
      <c r="W44" s="149">
        <f>W47/15000</f>
        <v>352</v>
      </c>
      <c r="X44" s="13"/>
      <c r="Y44" s="14"/>
      <c r="Z44" s="440"/>
      <c r="AA44" s="157"/>
      <c r="AB44" s="3"/>
      <c r="AC44" s="3"/>
      <c r="AD44" s="3"/>
      <c r="AE44" s="3"/>
    </row>
    <row r="45" ht="15.75" customHeight="1">
      <c r="A45" s="1"/>
      <c r="B45" s="105">
        <v>8.0</v>
      </c>
      <c r="C45" s="412" t="s">
        <v>80</v>
      </c>
      <c r="D45" s="107">
        <v>3000000.0</v>
      </c>
      <c r="E45" s="144">
        <v>80.0</v>
      </c>
      <c r="F45" s="109">
        <f>E45*D45</f>
        <v>240000000</v>
      </c>
      <c r="G45" s="409">
        <v>294165.12000000407</v>
      </c>
      <c r="H45" s="111">
        <v>3683.0</v>
      </c>
      <c r="I45" s="140">
        <v>79.87106163453817</v>
      </c>
      <c r="J45" s="413" t="s">
        <v>81</v>
      </c>
      <c r="K45" s="342"/>
      <c r="L45" s="344" t="s">
        <v>10</v>
      </c>
      <c r="M45" s="345" t="s">
        <v>14</v>
      </c>
      <c r="N45" s="344" t="s">
        <v>18</v>
      </c>
      <c r="O45" s="345" t="s">
        <v>22</v>
      </c>
      <c r="P45" s="344" t="s">
        <v>26</v>
      </c>
      <c r="Q45" s="345" t="s">
        <v>30</v>
      </c>
      <c r="R45" s="344" t="s">
        <v>34</v>
      </c>
      <c r="S45" s="345" t="s">
        <v>38</v>
      </c>
      <c r="T45" s="344" t="s">
        <v>42</v>
      </c>
      <c r="U45" s="345" t="s">
        <v>46</v>
      </c>
      <c r="V45" s="344" t="s">
        <v>50</v>
      </c>
      <c r="W45" s="345" t="s">
        <v>54</v>
      </c>
      <c r="X45" s="122">
        <v>2028.0</v>
      </c>
      <c r="Y45" s="346">
        <v>2027.0</v>
      </c>
      <c r="Z45" s="437"/>
      <c r="AA45" s="3"/>
      <c r="AB45" s="3"/>
      <c r="AC45" s="3"/>
      <c r="AD45" s="3"/>
      <c r="AE45" s="3"/>
    </row>
    <row r="46" ht="15.75" customHeight="1">
      <c r="A46" s="1"/>
      <c r="B46" s="105"/>
      <c r="C46" s="106"/>
      <c r="D46" s="107"/>
      <c r="E46" s="144"/>
      <c r="F46" s="109"/>
      <c r="G46" s="409"/>
      <c r="H46" s="111"/>
      <c r="I46" s="140"/>
      <c r="J46" s="50" t="s">
        <v>61</v>
      </c>
      <c r="K46" s="347"/>
      <c r="L46" s="348">
        <v>0.1</v>
      </c>
      <c r="M46" s="348">
        <v>0.07</v>
      </c>
      <c r="N46" s="348">
        <v>0.08</v>
      </c>
      <c r="O46" s="348">
        <v>0.08</v>
      </c>
      <c r="P46" s="348">
        <v>0.07</v>
      </c>
      <c r="Q46" s="348">
        <v>0.06</v>
      </c>
      <c r="R46" s="348">
        <v>0.06</v>
      </c>
      <c r="S46" s="348">
        <v>0.08</v>
      </c>
      <c r="T46" s="348">
        <v>0.09</v>
      </c>
      <c r="U46" s="348">
        <v>0.1</v>
      </c>
      <c r="V46" s="348">
        <v>0.1</v>
      </c>
      <c r="W46" s="348">
        <v>0.11</v>
      </c>
      <c r="X46" s="165">
        <f>SUM(L46:W46)</f>
        <v>1</v>
      </c>
      <c r="Y46" s="406">
        <v>0.9999999999999999</v>
      </c>
      <c r="Z46" s="437"/>
      <c r="AA46" s="3"/>
      <c r="AB46" s="3"/>
      <c r="AC46" s="3"/>
      <c r="AD46" s="3"/>
      <c r="AE46" s="3"/>
    </row>
    <row r="47" ht="15.75" customHeight="1">
      <c r="A47" s="1"/>
      <c r="B47" s="105"/>
      <c r="C47" s="106"/>
      <c r="D47" s="107"/>
      <c r="E47" s="144"/>
      <c r="F47" s="109"/>
      <c r="G47" s="409"/>
      <c r="H47" s="111"/>
      <c r="I47" s="140"/>
      <c r="J47" s="50" t="s">
        <v>63</v>
      </c>
      <c r="K47" s="347"/>
      <c r="L47" s="66">
        <f t="shared" ref="L47:W47" si="38">($X$47)*L46</f>
        <v>4800000</v>
      </c>
      <c r="M47" s="66">
        <f t="shared" si="38"/>
        <v>3360000</v>
      </c>
      <c r="N47" s="66">
        <f t="shared" si="38"/>
        <v>3840000</v>
      </c>
      <c r="O47" s="66">
        <f t="shared" si="38"/>
        <v>3840000</v>
      </c>
      <c r="P47" s="66">
        <f t="shared" si="38"/>
        <v>3360000</v>
      </c>
      <c r="Q47" s="66">
        <f t="shared" si="38"/>
        <v>2880000</v>
      </c>
      <c r="R47" s="66">
        <f t="shared" si="38"/>
        <v>2880000</v>
      </c>
      <c r="S47" s="66">
        <f t="shared" si="38"/>
        <v>3840000</v>
      </c>
      <c r="T47" s="66">
        <f t="shared" si="38"/>
        <v>4320000</v>
      </c>
      <c r="U47" s="66">
        <f t="shared" si="38"/>
        <v>4800000</v>
      </c>
      <c r="V47" s="66">
        <f t="shared" si="38"/>
        <v>4800000</v>
      </c>
      <c r="W47" s="66">
        <f t="shared" si="38"/>
        <v>5280000</v>
      </c>
      <c r="X47" s="166">
        <v>4.8E7</v>
      </c>
      <c r="Y47" s="350">
        <v>7200000.0</v>
      </c>
      <c r="Z47" s="437">
        <f t="shared" ref="Z47:Z49" si="40">X47/Y47-1</f>
        <v>5.666666667</v>
      </c>
      <c r="AA47" s="3"/>
      <c r="AB47" s="3"/>
      <c r="AC47" s="3"/>
      <c r="AD47" s="3"/>
      <c r="AE47" s="3"/>
    </row>
    <row r="48" ht="15.75" customHeight="1">
      <c r="A48" s="1"/>
      <c r="B48" s="105"/>
      <c r="C48" s="106"/>
      <c r="D48" s="107"/>
      <c r="E48" s="144"/>
      <c r="F48" s="109"/>
      <c r="G48" s="409"/>
      <c r="H48" s="111"/>
      <c r="I48" s="140"/>
      <c r="J48" s="50" t="s">
        <v>64</v>
      </c>
      <c r="K48" s="351">
        <v>92.0</v>
      </c>
      <c r="L48" s="81">
        <f t="shared" ref="L48:X48" si="39">L47/$K$48</f>
        <v>52173.91304</v>
      </c>
      <c r="M48" s="81">
        <f t="shared" si="39"/>
        <v>36521.73913</v>
      </c>
      <c r="N48" s="81">
        <f t="shared" si="39"/>
        <v>41739.13043</v>
      </c>
      <c r="O48" s="81">
        <f t="shared" si="39"/>
        <v>41739.13043</v>
      </c>
      <c r="P48" s="81">
        <f t="shared" si="39"/>
        <v>36521.73913</v>
      </c>
      <c r="Q48" s="81">
        <f t="shared" si="39"/>
        <v>31304.34783</v>
      </c>
      <c r="R48" s="81">
        <f t="shared" si="39"/>
        <v>31304.34783</v>
      </c>
      <c r="S48" s="81">
        <f t="shared" si="39"/>
        <v>41739.13043</v>
      </c>
      <c r="T48" s="81">
        <f t="shared" si="39"/>
        <v>46956.52174</v>
      </c>
      <c r="U48" s="81">
        <f t="shared" si="39"/>
        <v>52173.91304</v>
      </c>
      <c r="V48" s="81">
        <f t="shared" si="39"/>
        <v>52173.91304</v>
      </c>
      <c r="W48" s="81">
        <f t="shared" si="39"/>
        <v>57391.30435</v>
      </c>
      <c r="X48" s="352">
        <f t="shared" si="39"/>
        <v>521739.1304</v>
      </c>
      <c r="Y48" s="353">
        <v>78260.86956521739</v>
      </c>
      <c r="Z48" s="437">
        <f t="shared" si="40"/>
        <v>5.666666667</v>
      </c>
      <c r="AA48" s="3"/>
      <c r="AB48" s="3"/>
      <c r="AC48" s="3"/>
      <c r="AD48" s="3"/>
      <c r="AE48" s="3"/>
    </row>
    <row r="49" ht="15.75" customHeight="1">
      <c r="A49" s="1"/>
      <c r="B49" s="105"/>
      <c r="C49" s="106"/>
      <c r="D49" s="107"/>
      <c r="E49" s="144"/>
      <c r="F49" s="109"/>
      <c r="G49" s="409"/>
      <c r="H49" s="111"/>
      <c r="I49" s="171">
        <v>0.0325</v>
      </c>
      <c r="J49" s="91" t="s">
        <v>66</v>
      </c>
      <c r="K49" s="354">
        <v>0.0325</v>
      </c>
      <c r="L49" s="94">
        <f t="shared" ref="L49:W49" si="41">IF(L48=0, 0, (MIN(L48, 10000) * 0.0325 + MAX(0, MIN(L48, 25000) - 10000) * 0.03 + MAX(0, MIN(L48, 50000) - 25000) * 0.0275 + MAX(0, L48 - 50000) * 0.025) * (L47 / L48))</f>
        <v>139550</v>
      </c>
      <c r="M49" s="94">
        <f t="shared" si="41"/>
        <v>100450</v>
      </c>
      <c r="N49" s="94">
        <f t="shared" si="41"/>
        <v>113650</v>
      </c>
      <c r="O49" s="94">
        <f t="shared" si="41"/>
        <v>113650</v>
      </c>
      <c r="P49" s="94">
        <f t="shared" si="41"/>
        <v>100450</v>
      </c>
      <c r="Q49" s="94">
        <f t="shared" si="41"/>
        <v>87250</v>
      </c>
      <c r="R49" s="94">
        <f t="shared" si="41"/>
        <v>87250</v>
      </c>
      <c r="S49" s="94">
        <f t="shared" si="41"/>
        <v>113650</v>
      </c>
      <c r="T49" s="94">
        <f t="shared" si="41"/>
        <v>126850</v>
      </c>
      <c r="U49" s="94">
        <f t="shared" si="41"/>
        <v>139550</v>
      </c>
      <c r="V49" s="94">
        <f t="shared" si="41"/>
        <v>139550</v>
      </c>
      <c r="W49" s="94">
        <f t="shared" si="41"/>
        <v>151550</v>
      </c>
      <c r="X49" s="169">
        <f>SUM(L49:W49)</f>
        <v>1413400</v>
      </c>
      <c r="Y49" s="355">
        <v>234000.0</v>
      </c>
      <c r="Z49" s="435">
        <f t="shared" si="40"/>
        <v>5.04017094</v>
      </c>
      <c r="AA49" s="3"/>
      <c r="AB49" s="3"/>
      <c r="AC49" s="3"/>
      <c r="AD49" s="3"/>
      <c r="AE49" s="3"/>
    </row>
    <row r="50" ht="15.75" customHeight="1">
      <c r="A50" s="1"/>
      <c r="B50" s="105"/>
      <c r="C50" s="106"/>
      <c r="D50" s="107"/>
      <c r="E50" s="144"/>
      <c r="F50" s="109"/>
      <c r="G50" s="409"/>
      <c r="H50" s="111"/>
      <c r="I50" s="173"/>
      <c r="J50" s="407"/>
      <c r="K50" s="175"/>
      <c r="L50" s="136"/>
      <c r="M50" s="136"/>
      <c r="N50" s="136"/>
      <c r="O50" s="136"/>
      <c r="P50" s="136"/>
      <c r="Q50" s="160"/>
      <c r="R50" s="136"/>
      <c r="S50" s="136"/>
      <c r="T50" s="136"/>
      <c r="U50" s="136"/>
      <c r="V50" s="136"/>
      <c r="W50" s="136"/>
      <c r="X50" s="137"/>
      <c r="Y50" s="410"/>
      <c r="Z50" s="440"/>
      <c r="AA50" s="3"/>
      <c r="AB50" s="3"/>
      <c r="AC50" s="3"/>
      <c r="AD50" s="3"/>
      <c r="AE50" s="3"/>
    </row>
    <row r="51" ht="15.75" customHeight="1">
      <c r="A51" s="1"/>
      <c r="B51" s="105">
        <v>9.0</v>
      </c>
      <c r="C51" s="412" t="s">
        <v>82</v>
      </c>
      <c r="D51" s="107">
        <v>7200000.0</v>
      </c>
      <c r="E51" s="144">
        <v>30.0</v>
      </c>
      <c r="F51" s="109">
        <f>E51*D51</f>
        <v>216000000</v>
      </c>
      <c r="G51" s="409">
        <v>1580724.5999999477</v>
      </c>
      <c r="H51" s="111">
        <v>66014.0</v>
      </c>
      <c r="I51" s="140">
        <v>23.945293422606532</v>
      </c>
      <c r="J51" s="414" t="s">
        <v>83</v>
      </c>
      <c r="K51" s="342"/>
      <c r="L51" s="344" t="s">
        <v>10</v>
      </c>
      <c r="M51" s="345" t="s">
        <v>14</v>
      </c>
      <c r="N51" s="344" t="s">
        <v>18</v>
      </c>
      <c r="O51" s="345" t="s">
        <v>22</v>
      </c>
      <c r="P51" s="344" t="s">
        <v>26</v>
      </c>
      <c r="Q51" s="345" t="s">
        <v>30</v>
      </c>
      <c r="R51" s="344" t="s">
        <v>34</v>
      </c>
      <c r="S51" s="345" t="s">
        <v>38</v>
      </c>
      <c r="T51" s="344" t="s">
        <v>42</v>
      </c>
      <c r="U51" s="345" t="s">
        <v>46</v>
      </c>
      <c r="V51" s="344" t="s">
        <v>50</v>
      </c>
      <c r="W51" s="345" t="s">
        <v>54</v>
      </c>
      <c r="X51" s="122">
        <v>2028.0</v>
      </c>
      <c r="Y51" s="346">
        <v>2027.0</v>
      </c>
      <c r="Z51" s="437"/>
      <c r="AA51" s="3"/>
      <c r="AB51" s="3"/>
      <c r="AC51" s="3"/>
      <c r="AD51" s="3"/>
      <c r="AE51" s="3"/>
    </row>
    <row r="52" ht="15.75" customHeight="1">
      <c r="A52" s="1"/>
      <c r="B52" s="105"/>
      <c r="C52" s="106"/>
      <c r="D52" s="107"/>
      <c r="E52" s="144"/>
      <c r="F52" s="109"/>
      <c r="G52" s="409"/>
      <c r="H52" s="111"/>
      <c r="I52" s="140"/>
      <c r="J52" s="50" t="s">
        <v>61</v>
      </c>
      <c r="K52" s="347"/>
      <c r="L52" s="348">
        <v>0.1</v>
      </c>
      <c r="M52" s="348">
        <v>0.07</v>
      </c>
      <c r="N52" s="348">
        <v>0.08</v>
      </c>
      <c r="O52" s="348">
        <v>0.08</v>
      </c>
      <c r="P52" s="348">
        <v>0.07</v>
      </c>
      <c r="Q52" s="348">
        <v>0.06</v>
      </c>
      <c r="R52" s="348">
        <v>0.06</v>
      </c>
      <c r="S52" s="348">
        <v>0.08</v>
      </c>
      <c r="T52" s="348">
        <v>0.09</v>
      </c>
      <c r="U52" s="348">
        <v>0.1</v>
      </c>
      <c r="V52" s="348">
        <v>0.1</v>
      </c>
      <c r="W52" s="348">
        <v>0.11</v>
      </c>
      <c r="X52" s="165">
        <f>SUM(L52:W52)</f>
        <v>1</v>
      </c>
      <c r="Y52" s="406">
        <v>0.9999999999999999</v>
      </c>
      <c r="Z52" s="437"/>
      <c r="AA52" s="3"/>
      <c r="AB52" s="3"/>
      <c r="AC52" s="3"/>
      <c r="AD52" s="3"/>
      <c r="AE52" s="3"/>
    </row>
    <row r="53" ht="15.75" customHeight="1">
      <c r="A53" s="1"/>
      <c r="B53" s="105"/>
      <c r="C53" s="106"/>
      <c r="D53" s="107"/>
      <c r="E53" s="144"/>
      <c r="F53" s="109"/>
      <c r="G53" s="409"/>
      <c r="H53" s="111"/>
      <c r="I53" s="140"/>
      <c r="J53" s="50" t="s">
        <v>63</v>
      </c>
      <c r="K53" s="347"/>
      <c r="L53" s="66">
        <f t="shared" ref="L53:W53" si="42">($X$53)*L52</f>
        <v>4320000</v>
      </c>
      <c r="M53" s="66">
        <f t="shared" si="42"/>
        <v>3024000</v>
      </c>
      <c r="N53" s="66">
        <f t="shared" si="42"/>
        <v>3456000</v>
      </c>
      <c r="O53" s="66">
        <f t="shared" si="42"/>
        <v>3456000</v>
      </c>
      <c r="P53" s="66">
        <f t="shared" si="42"/>
        <v>3024000</v>
      </c>
      <c r="Q53" s="66">
        <f t="shared" si="42"/>
        <v>2592000</v>
      </c>
      <c r="R53" s="66">
        <f t="shared" si="42"/>
        <v>2592000</v>
      </c>
      <c r="S53" s="66">
        <f t="shared" si="42"/>
        <v>3456000</v>
      </c>
      <c r="T53" s="66">
        <f t="shared" si="42"/>
        <v>3888000</v>
      </c>
      <c r="U53" s="66">
        <f t="shared" si="42"/>
        <v>4320000</v>
      </c>
      <c r="V53" s="66">
        <f t="shared" si="42"/>
        <v>4320000</v>
      </c>
      <c r="W53" s="66">
        <f t="shared" si="42"/>
        <v>4752000</v>
      </c>
      <c r="X53" s="166">
        <v>4.32E7</v>
      </c>
      <c r="Y53" s="350">
        <v>2.0E7</v>
      </c>
      <c r="Z53" s="437">
        <f t="shared" ref="Z53:Z55" si="44">X53/Y53-1</f>
        <v>1.16</v>
      </c>
      <c r="AA53" s="3"/>
      <c r="AB53" s="3"/>
      <c r="AC53" s="3"/>
      <c r="AD53" s="3"/>
      <c r="AE53" s="3"/>
    </row>
    <row r="54" ht="15.75" customHeight="1">
      <c r="A54" s="1"/>
      <c r="B54" s="105"/>
      <c r="C54" s="106"/>
      <c r="D54" s="107"/>
      <c r="E54" s="144"/>
      <c r="F54" s="109"/>
      <c r="G54" s="409"/>
      <c r="H54" s="111"/>
      <c r="I54" s="140"/>
      <c r="J54" s="50" t="s">
        <v>64</v>
      </c>
      <c r="K54" s="351">
        <v>30.0</v>
      </c>
      <c r="L54" s="81">
        <f t="shared" ref="L54:W54" si="43">L53/$K$54</f>
        <v>144000</v>
      </c>
      <c r="M54" s="81">
        <f t="shared" si="43"/>
        <v>100800</v>
      </c>
      <c r="N54" s="81">
        <f t="shared" si="43"/>
        <v>115200</v>
      </c>
      <c r="O54" s="81">
        <f t="shared" si="43"/>
        <v>115200</v>
      </c>
      <c r="P54" s="81">
        <f t="shared" si="43"/>
        <v>100800</v>
      </c>
      <c r="Q54" s="81">
        <f t="shared" si="43"/>
        <v>86400</v>
      </c>
      <c r="R54" s="81">
        <f t="shared" si="43"/>
        <v>86400</v>
      </c>
      <c r="S54" s="81">
        <f t="shared" si="43"/>
        <v>115200</v>
      </c>
      <c r="T54" s="81">
        <f t="shared" si="43"/>
        <v>129600</v>
      </c>
      <c r="U54" s="81">
        <f t="shared" si="43"/>
        <v>144000</v>
      </c>
      <c r="V54" s="81">
        <f t="shared" si="43"/>
        <v>144000</v>
      </c>
      <c r="W54" s="81">
        <f t="shared" si="43"/>
        <v>158400</v>
      </c>
      <c r="X54" s="352">
        <f t="shared" ref="X54:X55" si="46">SUM(L54:W54)</f>
        <v>1440000</v>
      </c>
      <c r="Y54" s="353">
        <v>666666.6666666666</v>
      </c>
      <c r="Z54" s="437">
        <f t="shared" si="44"/>
        <v>1.16</v>
      </c>
      <c r="AA54" s="3"/>
      <c r="AB54" s="3"/>
      <c r="AC54" s="3"/>
      <c r="AD54" s="3"/>
      <c r="AE54" s="3"/>
    </row>
    <row r="55" ht="15.75" customHeight="1">
      <c r="A55" s="1"/>
      <c r="B55" s="105"/>
      <c r="C55" s="106"/>
      <c r="D55" s="107"/>
      <c r="E55" s="144"/>
      <c r="F55" s="109"/>
      <c r="G55" s="409"/>
      <c r="H55" s="111"/>
      <c r="I55" s="112"/>
      <c r="J55" s="91" t="s">
        <v>66</v>
      </c>
      <c r="K55" s="354">
        <v>0.04</v>
      </c>
      <c r="L55" s="94">
        <f t="shared" ref="L55:W55" si="45">IF(L53&gt;=1000000,$K$55*L53,0)</f>
        <v>172800</v>
      </c>
      <c r="M55" s="94">
        <f t="shared" si="45"/>
        <v>120960</v>
      </c>
      <c r="N55" s="94">
        <f t="shared" si="45"/>
        <v>138240</v>
      </c>
      <c r="O55" s="94">
        <f t="shared" si="45"/>
        <v>138240</v>
      </c>
      <c r="P55" s="94">
        <f t="shared" si="45"/>
        <v>120960</v>
      </c>
      <c r="Q55" s="94">
        <f t="shared" si="45"/>
        <v>103680</v>
      </c>
      <c r="R55" s="94">
        <f t="shared" si="45"/>
        <v>103680</v>
      </c>
      <c r="S55" s="94">
        <f t="shared" si="45"/>
        <v>138240</v>
      </c>
      <c r="T55" s="94">
        <f t="shared" si="45"/>
        <v>155520</v>
      </c>
      <c r="U55" s="94">
        <f t="shared" si="45"/>
        <v>172800</v>
      </c>
      <c r="V55" s="94">
        <f t="shared" si="45"/>
        <v>172800</v>
      </c>
      <c r="W55" s="94">
        <f t="shared" si="45"/>
        <v>190080</v>
      </c>
      <c r="X55" s="169">
        <f t="shared" si="46"/>
        <v>1728000</v>
      </c>
      <c r="Y55" s="355">
        <v>800000.0</v>
      </c>
      <c r="Z55" s="435">
        <f t="shared" si="44"/>
        <v>1.16</v>
      </c>
      <c r="AA55" s="3"/>
      <c r="AB55" s="3"/>
      <c r="AC55" s="3"/>
      <c r="AD55" s="3"/>
      <c r="AE55" s="3"/>
    </row>
    <row r="56" ht="15.75" customHeight="1">
      <c r="A56" s="1"/>
      <c r="B56" s="105"/>
      <c r="C56" s="106"/>
      <c r="D56" s="107"/>
      <c r="E56" s="144"/>
      <c r="F56" s="109"/>
      <c r="G56" s="409"/>
      <c r="H56" s="111"/>
      <c r="I56" s="112"/>
      <c r="J56" s="407"/>
      <c r="K56" s="113"/>
      <c r="L56" s="149"/>
      <c r="M56" s="149"/>
      <c r="N56" s="149"/>
      <c r="O56" s="149"/>
      <c r="P56" s="149"/>
      <c r="Q56" s="160"/>
      <c r="R56" s="149"/>
      <c r="S56" s="149"/>
      <c r="T56" s="149"/>
      <c r="U56" s="149"/>
      <c r="V56" s="149"/>
      <c r="W56" s="149"/>
      <c r="X56" s="176"/>
      <c r="Y56" s="416"/>
      <c r="Z56" s="440"/>
      <c r="AA56" s="3"/>
      <c r="AB56" s="3"/>
      <c r="AC56" s="3"/>
      <c r="AD56" s="3"/>
      <c r="AE56" s="3"/>
    </row>
    <row r="57" ht="15.75" customHeight="1">
      <c r="A57" s="1"/>
      <c r="B57" s="105">
        <v>10.0</v>
      </c>
      <c r="C57" s="412" t="s">
        <v>84</v>
      </c>
      <c r="D57" s="107">
        <f>3000*12*8</f>
        <v>288000</v>
      </c>
      <c r="E57" s="144">
        <v>100.0</v>
      </c>
      <c r="F57" s="109">
        <f>E57*D57</f>
        <v>28800000</v>
      </c>
      <c r="G57" s="409">
        <v>195455.89999999918</v>
      </c>
      <c r="H57" s="111">
        <v>1727.0</v>
      </c>
      <c r="I57" s="112">
        <v>113.17654892877775</v>
      </c>
      <c r="J57" s="405" t="s">
        <v>85</v>
      </c>
      <c r="K57" s="342"/>
      <c r="L57" s="344" t="s">
        <v>10</v>
      </c>
      <c r="M57" s="345" t="s">
        <v>14</v>
      </c>
      <c r="N57" s="344" t="s">
        <v>18</v>
      </c>
      <c r="O57" s="345" t="s">
        <v>22</v>
      </c>
      <c r="P57" s="344" t="s">
        <v>26</v>
      </c>
      <c r="Q57" s="345" t="s">
        <v>30</v>
      </c>
      <c r="R57" s="344" t="s">
        <v>34</v>
      </c>
      <c r="S57" s="345" t="s">
        <v>38</v>
      </c>
      <c r="T57" s="344" t="s">
        <v>42</v>
      </c>
      <c r="U57" s="345" t="s">
        <v>46</v>
      </c>
      <c r="V57" s="344" t="s">
        <v>50</v>
      </c>
      <c r="W57" s="345" t="s">
        <v>54</v>
      </c>
      <c r="X57" s="122">
        <v>2028.0</v>
      </c>
      <c r="Y57" s="346">
        <v>2027.0</v>
      </c>
      <c r="Z57" s="437"/>
      <c r="AA57" s="3"/>
      <c r="AB57" s="3"/>
      <c r="AC57" s="3"/>
      <c r="AD57" s="3"/>
      <c r="AE57" s="3"/>
    </row>
    <row r="58" ht="15.75" customHeight="1">
      <c r="A58" s="1"/>
      <c r="B58" s="105"/>
      <c r="C58" s="106"/>
      <c r="D58" s="107"/>
      <c r="E58" s="144"/>
      <c r="F58" s="109"/>
      <c r="G58" s="409"/>
      <c r="H58" s="111"/>
      <c r="I58" s="112"/>
      <c r="J58" s="50" t="s">
        <v>61</v>
      </c>
      <c r="K58" s="347"/>
      <c r="L58" s="348">
        <v>0.08</v>
      </c>
      <c r="M58" s="348">
        <v>0.06</v>
      </c>
      <c r="N58" s="348">
        <v>0.07</v>
      </c>
      <c r="O58" s="348">
        <v>0.07</v>
      </c>
      <c r="P58" s="348">
        <v>0.08</v>
      </c>
      <c r="Q58" s="348">
        <v>0.08</v>
      </c>
      <c r="R58" s="348">
        <v>0.08</v>
      </c>
      <c r="S58" s="348">
        <v>0.08</v>
      </c>
      <c r="T58" s="348">
        <v>0.09</v>
      </c>
      <c r="U58" s="348">
        <v>0.1</v>
      </c>
      <c r="V58" s="348">
        <v>0.11</v>
      </c>
      <c r="W58" s="348">
        <v>0.1</v>
      </c>
      <c r="X58" s="165">
        <f>SUM(L58:W58)</f>
        <v>1</v>
      </c>
      <c r="Y58" s="406">
        <v>0.9999999999999999</v>
      </c>
      <c r="Z58" s="437"/>
      <c r="AA58" s="3"/>
      <c r="AB58" s="3"/>
      <c r="AC58" s="3"/>
      <c r="AD58" s="3"/>
      <c r="AE58" s="3"/>
    </row>
    <row r="59" ht="15.75" customHeight="1">
      <c r="A59" s="1"/>
      <c r="B59" s="105"/>
      <c r="C59" s="106"/>
      <c r="D59" s="107"/>
      <c r="E59" s="144"/>
      <c r="F59" s="109"/>
      <c r="G59" s="409"/>
      <c r="H59" s="111"/>
      <c r="I59" s="112"/>
      <c r="J59" s="50" t="s">
        <v>63</v>
      </c>
      <c r="K59" s="347"/>
      <c r="L59" s="66">
        <f t="shared" ref="L59:W59" si="47">($X$59)*L58</f>
        <v>460800</v>
      </c>
      <c r="M59" s="66">
        <f t="shared" si="47"/>
        <v>345600</v>
      </c>
      <c r="N59" s="66">
        <f t="shared" si="47"/>
        <v>403200</v>
      </c>
      <c r="O59" s="66">
        <f t="shared" si="47"/>
        <v>403200</v>
      </c>
      <c r="P59" s="66">
        <f t="shared" si="47"/>
        <v>460800</v>
      </c>
      <c r="Q59" s="66">
        <f t="shared" si="47"/>
        <v>460800</v>
      </c>
      <c r="R59" s="66">
        <f t="shared" si="47"/>
        <v>460800</v>
      </c>
      <c r="S59" s="66">
        <f t="shared" si="47"/>
        <v>460800</v>
      </c>
      <c r="T59" s="66">
        <f t="shared" si="47"/>
        <v>518400</v>
      </c>
      <c r="U59" s="66">
        <f t="shared" si="47"/>
        <v>576000</v>
      </c>
      <c r="V59" s="66">
        <f t="shared" si="47"/>
        <v>633600</v>
      </c>
      <c r="W59" s="66">
        <f t="shared" si="47"/>
        <v>576000</v>
      </c>
      <c r="X59" s="166">
        <v>5760000.0</v>
      </c>
      <c r="Y59" s="350">
        <v>2100000.0</v>
      </c>
      <c r="Z59" s="437">
        <f t="shared" ref="Z59:Z61" si="49">X59/Y59-1</f>
        <v>1.742857143</v>
      </c>
      <c r="AA59" s="3"/>
      <c r="AB59" s="3"/>
      <c r="AC59" s="3"/>
      <c r="AD59" s="3"/>
      <c r="AE59" s="3"/>
    </row>
    <row r="60" ht="15.75" customHeight="1">
      <c r="A60" s="1"/>
      <c r="B60" s="105"/>
      <c r="C60" s="106"/>
      <c r="D60" s="107"/>
      <c r="E60" s="144"/>
      <c r="F60" s="109"/>
      <c r="G60" s="409"/>
      <c r="H60" s="111"/>
      <c r="I60" s="112"/>
      <c r="J60" s="50" t="s">
        <v>64</v>
      </c>
      <c r="K60" s="351">
        <v>114.0</v>
      </c>
      <c r="L60" s="81">
        <f t="shared" ref="L60:W60" si="48">L59/$K$60</f>
        <v>4042.105263</v>
      </c>
      <c r="M60" s="81">
        <f t="shared" si="48"/>
        <v>3031.578947</v>
      </c>
      <c r="N60" s="81">
        <f t="shared" si="48"/>
        <v>3536.842105</v>
      </c>
      <c r="O60" s="81">
        <f t="shared" si="48"/>
        <v>3536.842105</v>
      </c>
      <c r="P60" s="81">
        <f t="shared" si="48"/>
        <v>4042.105263</v>
      </c>
      <c r="Q60" s="81">
        <f t="shared" si="48"/>
        <v>4042.105263</v>
      </c>
      <c r="R60" s="81">
        <f t="shared" si="48"/>
        <v>4042.105263</v>
      </c>
      <c r="S60" s="81">
        <f t="shared" si="48"/>
        <v>4042.105263</v>
      </c>
      <c r="T60" s="81">
        <f t="shared" si="48"/>
        <v>4547.368421</v>
      </c>
      <c r="U60" s="81">
        <f t="shared" si="48"/>
        <v>5052.631579</v>
      </c>
      <c r="V60" s="81">
        <f t="shared" si="48"/>
        <v>5557.894737</v>
      </c>
      <c r="W60" s="81">
        <f t="shared" si="48"/>
        <v>5052.631579</v>
      </c>
      <c r="X60" s="352">
        <f t="shared" ref="X60:X61" si="51">SUM(L60:W60)</f>
        <v>50526.31579</v>
      </c>
      <c r="Y60" s="353">
        <v>18421.052631578947</v>
      </c>
      <c r="Z60" s="437">
        <f t="shared" si="49"/>
        <v>1.742857143</v>
      </c>
      <c r="AA60" s="3"/>
      <c r="AB60" s="3"/>
      <c r="AC60" s="3"/>
      <c r="AD60" s="3"/>
      <c r="AE60" s="3"/>
    </row>
    <row r="61" ht="15.75" customHeight="1">
      <c r="A61" s="1"/>
      <c r="B61" s="105"/>
      <c r="C61" s="106"/>
      <c r="D61" s="107"/>
      <c r="E61" s="144"/>
      <c r="F61" s="109"/>
      <c r="G61" s="409"/>
      <c r="H61" s="111"/>
      <c r="I61" s="112"/>
      <c r="J61" s="91" t="s">
        <v>66</v>
      </c>
      <c r="K61" s="354">
        <v>0.039</v>
      </c>
      <c r="L61" s="94">
        <f t="shared" ref="L61:W61" si="50">L59*$K$61</f>
        <v>17971.2</v>
      </c>
      <c r="M61" s="94">
        <f t="shared" si="50"/>
        <v>13478.4</v>
      </c>
      <c r="N61" s="94">
        <f t="shared" si="50"/>
        <v>15724.8</v>
      </c>
      <c r="O61" s="94">
        <f t="shared" si="50"/>
        <v>15724.8</v>
      </c>
      <c r="P61" s="94">
        <f t="shared" si="50"/>
        <v>17971.2</v>
      </c>
      <c r="Q61" s="94">
        <f t="shared" si="50"/>
        <v>17971.2</v>
      </c>
      <c r="R61" s="94">
        <f t="shared" si="50"/>
        <v>17971.2</v>
      </c>
      <c r="S61" s="94">
        <f t="shared" si="50"/>
        <v>17971.2</v>
      </c>
      <c r="T61" s="94">
        <f t="shared" si="50"/>
        <v>20217.6</v>
      </c>
      <c r="U61" s="94">
        <f t="shared" si="50"/>
        <v>22464</v>
      </c>
      <c r="V61" s="94">
        <f t="shared" si="50"/>
        <v>24710.4</v>
      </c>
      <c r="W61" s="94">
        <f t="shared" si="50"/>
        <v>22464</v>
      </c>
      <c r="X61" s="169">
        <f t="shared" si="51"/>
        <v>224640</v>
      </c>
      <c r="Y61" s="355">
        <v>81900.0</v>
      </c>
      <c r="Z61" s="435">
        <f t="shared" si="49"/>
        <v>1.742857143</v>
      </c>
      <c r="AA61" s="3"/>
      <c r="AB61" s="3"/>
      <c r="AC61" s="3"/>
      <c r="AD61" s="3"/>
      <c r="AE61" s="3"/>
    </row>
    <row r="62" ht="15.75" customHeight="1">
      <c r="A62" s="1"/>
      <c r="B62" s="105"/>
      <c r="C62" s="106"/>
      <c r="D62" s="107"/>
      <c r="E62" s="144"/>
      <c r="F62" s="109"/>
      <c r="G62" s="409"/>
      <c r="H62" s="111"/>
      <c r="I62" s="112"/>
      <c r="J62" s="8"/>
      <c r="K62" s="148"/>
      <c r="L62" s="136"/>
      <c r="M62" s="136"/>
      <c r="N62" s="136"/>
      <c r="O62" s="136"/>
      <c r="P62" s="136"/>
      <c r="Q62" s="160"/>
      <c r="R62" s="136"/>
      <c r="S62" s="136"/>
      <c r="T62" s="136"/>
      <c r="U62" s="136"/>
      <c r="V62" s="136"/>
      <c r="W62" s="136"/>
      <c r="X62" s="137"/>
      <c r="Y62" s="410"/>
      <c r="Z62" s="440"/>
      <c r="AA62" s="3"/>
      <c r="AB62" s="3"/>
      <c r="AC62" s="3"/>
      <c r="AD62" s="3"/>
      <c r="AE62" s="3"/>
    </row>
    <row r="63" ht="15.75" customHeight="1">
      <c r="A63" s="1"/>
      <c r="B63" s="105">
        <v>11.0</v>
      </c>
      <c r="C63" s="412" t="s">
        <v>86</v>
      </c>
      <c r="D63" s="107">
        <f>80000*12</f>
        <v>960000</v>
      </c>
      <c r="E63" s="144">
        <v>60.0</v>
      </c>
      <c r="F63" s="109">
        <f>E63*D63</f>
        <v>57600000</v>
      </c>
      <c r="G63" s="409">
        <v>409141.4900000167</v>
      </c>
      <c r="H63" s="111">
        <v>13480.0</v>
      </c>
      <c r="I63" s="112">
        <v>30.351742581603613</v>
      </c>
      <c r="J63" s="405" t="s">
        <v>87</v>
      </c>
      <c r="K63" s="342"/>
      <c r="L63" s="344" t="s">
        <v>10</v>
      </c>
      <c r="M63" s="345" t="s">
        <v>14</v>
      </c>
      <c r="N63" s="344" t="s">
        <v>18</v>
      </c>
      <c r="O63" s="345" t="s">
        <v>22</v>
      </c>
      <c r="P63" s="344" t="s">
        <v>26</v>
      </c>
      <c r="Q63" s="345" t="s">
        <v>30</v>
      </c>
      <c r="R63" s="344" t="s">
        <v>34</v>
      </c>
      <c r="S63" s="345" t="s">
        <v>38</v>
      </c>
      <c r="T63" s="344" t="s">
        <v>42</v>
      </c>
      <c r="U63" s="345" t="s">
        <v>46</v>
      </c>
      <c r="V63" s="344" t="s">
        <v>50</v>
      </c>
      <c r="W63" s="345" t="s">
        <v>54</v>
      </c>
      <c r="X63" s="122">
        <v>2028.0</v>
      </c>
      <c r="Y63" s="346">
        <v>2027.0</v>
      </c>
      <c r="Z63" s="437"/>
      <c r="AA63" s="3"/>
      <c r="AB63" s="3"/>
      <c r="AC63" s="3"/>
      <c r="AD63" s="3"/>
      <c r="AE63" s="3"/>
    </row>
    <row r="64" ht="15.75" customHeight="1">
      <c r="A64" s="1"/>
      <c r="B64" s="105"/>
      <c r="C64" s="106"/>
      <c r="D64" s="107"/>
      <c r="E64" s="144"/>
      <c r="F64" s="109"/>
      <c r="G64" s="409"/>
      <c r="H64" s="111"/>
      <c r="I64" s="112"/>
      <c r="J64" s="50" t="s">
        <v>61</v>
      </c>
      <c r="K64" s="347"/>
      <c r="L64" s="348">
        <v>0.1</v>
      </c>
      <c r="M64" s="348">
        <v>0.07</v>
      </c>
      <c r="N64" s="348">
        <v>0.08</v>
      </c>
      <c r="O64" s="348">
        <v>0.08</v>
      </c>
      <c r="P64" s="348">
        <v>0.07</v>
      </c>
      <c r="Q64" s="348">
        <v>0.06</v>
      </c>
      <c r="R64" s="348">
        <v>0.06</v>
      </c>
      <c r="S64" s="348">
        <v>0.08</v>
      </c>
      <c r="T64" s="348">
        <v>0.09</v>
      </c>
      <c r="U64" s="348">
        <v>0.1</v>
      </c>
      <c r="V64" s="348">
        <v>0.1</v>
      </c>
      <c r="W64" s="348">
        <v>0.11</v>
      </c>
      <c r="X64" s="165">
        <f>SUM(L64:W64)</f>
        <v>1</v>
      </c>
      <c r="Y64" s="406">
        <v>0.9999999999999999</v>
      </c>
      <c r="Z64" s="437"/>
      <c r="AA64" s="3"/>
      <c r="AB64" s="3"/>
      <c r="AC64" s="3"/>
      <c r="AD64" s="3"/>
      <c r="AE64" s="3"/>
    </row>
    <row r="65" ht="15.75" customHeight="1">
      <c r="A65" s="1"/>
      <c r="B65" s="105"/>
      <c r="C65" s="106"/>
      <c r="D65" s="107"/>
      <c r="E65" s="144"/>
      <c r="F65" s="109"/>
      <c r="G65" s="409"/>
      <c r="H65" s="111"/>
      <c r="I65" s="112"/>
      <c r="J65" s="50" t="s">
        <v>63</v>
      </c>
      <c r="K65" s="347"/>
      <c r="L65" s="66">
        <f t="shared" ref="L65:W65" si="52">($X$65)*L64</f>
        <v>1152000</v>
      </c>
      <c r="M65" s="66">
        <f t="shared" si="52"/>
        <v>806400</v>
      </c>
      <c r="N65" s="66">
        <f t="shared" si="52"/>
        <v>921600</v>
      </c>
      <c r="O65" s="66">
        <f t="shared" si="52"/>
        <v>921600</v>
      </c>
      <c r="P65" s="66">
        <f t="shared" si="52"/>
        <v>806400</v>
      </c>
      <c r="Q65" s="66">
        <f t="shared" si="52"/>
        <v>691200</v>
      </c>
      <c r="R65" s="66">
        <f t="shared" si="52"/>
        <v>691200</v>
      </c>
      <c r="S65" s="66">
        <f t="shared" si="52"/>
        <v>921600</v>
      </c>
      <c r="T65" s="66">
        <f t="shared" si="52"/>
        <v>1036800</v>
      </c>
      <c r="U65" s="66">
        <f t="shared" si="52"/>
        <v>1152000</v>
      </c>
      <c r="V65" s="66">
        <f t="shared" si="52"/>
        <v>1152000</v>
      </c>
      <c r="W65" s="66">
        <f t="shared" si="52"/>
        <v>1267200</v>
      </c>
      <c r="X65" s="166">
        <v>1.152E7</v>
      </c>
      <c r="Y65" s="350">
        <v>3600000.0</v>
      </c>
      <c r="Z65" s="437">
        <f t="shared" ref="Z65:Z67" si="54">X65/Y65-1</f>
        <v>2.2</v>
      </c>
      <c r="AA65" s="3"/>
      <c r="AB65" s="3"/>
      <c r="AC65" s="3"/>
      <c r="AD65" s="3"/>
      <c r="AE65" s="3"/>
    </row>
    <row r="66" ht="15.75" customHeight="1">
      <c r="A66" s="1"/>
      <c r="B66" s="105"/>
      <c r="C66" s="106"/>
      <c r="D66" s="107"/>
      <c r="E66" s="144"/>
      <c r="F66" s="109"/>
      <c r="G66" s="409"/>
      <c r="H66" s="111"/>
      <c r="I66" s="112"/>
      <c r="J66" s="50" t="s">
        <v>64</v>
      </c>
      <c r="K66" s="417">
        <v>40.0</v>
      </c>
      <c r="L66" s="81">
        <f t="shared" ref="L66:W66" si="53">L65/$K$66</f>
        <v>28800</v>
      </c>
      <c r="M66" s="81">
        <f t="shared" si="53"/>
        <v>20160</v>
      </c>
      <c r="N66" s="81">
        <f t="shared" si="53"/>
        <v>23040</v>
      </c>
      <c r="O66" s="81">
        <f t="shared" si="53"/>
        <v>23040</v>
      </c>
      <c r="P66" s="81">
        <f t="shared" si="53"/>
        <v>20160</v>
      </c>
      <c r="Q66" s="81">
        <f t="shared" si="53"/>
        <v>17280</v>
      </c>
      <c r="R66" s="81">
        <f t="shared" si="53"/>
        <v>17280</v>
      </c>
      <c r="S66" s="81">
        <f t="shared" si="53"/>
        <v>23040</v>
      </c>
      <c r="T66" s="81">
        <f t="shared" si="53"/>
        <v>25920</v>
      </c>
      <c r="U66" s="81">
        <f t="shared" si="53"/>
        <v>28800</v>
      </c>
      <c r="V66" s="81">
        <f t="shared" si="53"/>
        <v>28800</v>
      </c>
      <c r="W66" s="81">
        <f t="shared" si="53"/>
        <v>31680</v>
      </c>
      <c r="X66" s="352">
        <f t="shared" ref="X66:X67" si="56">SUM(L66:W66)</f>
        <v>288000</v>
      </c>
      <c r="Y66" s="353">
        <v>90000.0</v>
      </c>
      <c r="Z66" s="437">
        <f t="shared" si="54"/>
        <v>2.2</v>
      </c>
      <c r="AA66" s="3"/>
      <c r="AB66" s="3"/>
      <c r="AC66" s="3"/>
      <c r="AD66" s="3"/>
      <c r="AE66" s="3"/>
    </row>
    <row r="67" ht="15.75" customHeight="1">
      <c r="A67" s="1"/>
      <c r="B67" s="105"/>
      <c r="C67" s="106"/>
      <c r="D67" s="107"/>
      <c r="E67" s="144"/>
      <c r="F67" s="109"/>
      <c r="G67" s="409"/>
      <c r="H67" s="111"/>
      <c r="I67" s="112"/>
      <c r="J67" s="91" t="s">
        <v>66</v>
      </c>
      <c r="K67" s="354">
        <v>0.03</v>
      </c>
      <c r="L67" s="94">
        <f t="shared" ref="L67:W67" si="55">MIN(L65, 650000) * 0.03 +
 MAX(0, MIN(L65, 2500000) - 650000) * 0.025 +
 MAX(0, MIN(L65, 4500000) - 2500000) * 0.0225 +
 MAX(0, MIN(L65, 7500000) - 4500000) * 0.02 +
 MAX(0, MIN(L65, 11500000) - 7500000) * 0.015 +
 MAX(0, L65 - 11500000) * 0.01</f>
        <v>32050</v>
      </c>
      <c r="M67" s="94">
        <f t="shared" si="55"/>
        <v>23410</v>
      </c>
      <c r="N67" s="94">
        <f t="shared" si="55"/>
        <v>26290</v>
      </c>
      <c r="O67" s="94">
        <f t="shared" si="55"/>
        <v>26290</v>
      </c>
      <c r="P67" s="94">
        <f t="shared" si="55"/>
        <v>23410</v>
      </c>
      <c r="Q67" s="94">
        <f t="shared" si="55"/>
        <v>20530</v>
      </c>
      <c r="R67" s="94">
        <f t="shared" si="55"/>
        <v>20530</v>
      </c>
      <c r="S67" s="94">
        <f t="shared" si="55"/>
        <v>26290</v>
      </c>
      <c r="T67" s="94">
        <f t="shared" si="55"/>
        <v>29170</v>
      </c>
      <c r="U67" s="94">
        <f t="shared" si="55"/>
        <v>32050</v>
      </c>
      <c r="V67" s="94">
        <f t="shared" si="55"/>
        <v>32050</v>
      </c>
      <c r="W67" s="94">
        <f t="shared" si="55"/>
        <v>34930</v>
      </c>
      <c r="X67" s="169">
        <f t="shared" si="56"/>
        <v>327000</v>
      </c>
      <c r="Y67" s="355">
        <v>108000.0</v>
      </c>
      <c r="Z67" s="435">
        <f t="shared" si="54"/>
        <v>2.027777778</v>
      </c>
      <c r="AA67" s="3"/>
      <c r="AB67" s="3"/>
      <c r="AC67" s="3"/>
      <c r="AD67" s="3"/>
      <c r="AE67" s="3"/>
    </row>
    <row r="68" ht="15.75" customHeight="1">
      <c r="A68" s="1"/>
      <c r="B68" s="105"/>
      <c r="C68" s="106"/>
      <c r="D68" s="107"/>
      <c r="E68" s="144"/>
      <c r="F68" s="109"/>
      <c r="G68" s="409"/>
      <c r="H68" s="111"/>
      <c r="I68" s="112"/>
      <c r="J68" s="8"/>
      <c r="K68" s="148"/>
      <c r="L68" s="136"/>
      <c r="M68" s="136"/>
      <c r="N68" s="136"/>
      <c r="O68" s="136"/>
      <c r="P68" s="136"/>
      <c r="Q68" s="160"/>
      <c r="R68" s="136"/>
      <c r="S68" s="136"/>
      <c r="T68" s="136"/>
      <c r="U68" s="136"/>
      <c r="V68" s="136"/>
      <c r="W68" s="136"/>
      <c r="X68" s="137"/>
      <c r="Y68" s="410"/>
      <c r="Z68" s="440"/>
      <c r="AA68" s="3"/>
      <c r="AB68" s="3"/>
      <c r="AC68" s="3"/>
      <c r="AD68" s="3"/>
      <c r="AE68" s="3"/>
    </row>
    <row r="69" ht="15.75" customHeight="1">
      <c r="A69" s="1"/>
      <c r="B69" s="105">
        <v>12.0</v>
      </c>
      <c r="C69" s="412" t="s">
        <v>88</v>
      </c>
      <c r="D69" s="107"/>
      <c r="E69" s="144"/>
      <c r="F69" s="109"/>
      <c r="G69" s="418">
        <v>1.776575282001109E7</v>
      </c>
      <c r="H69" s="179">
        <v>181714.0</v>
      </c>
      <c r="I69" s="180">
        <v>97.76766138003175</v>
      </c>
      <c r="J69" s="419" t="s">
        <v>89</v>
      </c>
      <c r="K69" s="342"/>
      <c r="L69" s="344" t="s">
        <v>10</v>
      </c>
      <c r="M69" s="345" t="s">
        <v>14</v>
      </c>
      <c r="N69" s="344" t="s">
        <v>18</v>
      </c>
      <c r="O69" s="345" t="s">
        <v>22</v>
      </c>
      <c r="P69" s="344" t="s">
        <v>26</v>
      </c>
      <c r="Q69" s="345" t="s">
        <v>30</v>
      </c>
      <c r="R69" s="344" t="s">
        <v>34</v>
      </c>
      <c r="S69" s="345" t="s">
        <v>38</v>
      </c>
      <c r="T69" s="344" t="s">
        <v>42</v>
      </c>
      <c r="U69" s="345" t="s">
        <v>46</v>
      </c>
      <c r="V69" s="344" t="s">
        <v>50</v>
      </c>
      <c r="W69" s="345" t="s">
        <v>54</v>
      </c>
      <c r="X69" s="122">
        <v>2028.0</v>
      </c>
      <c r="Y69" s="346">
        <v>2027.0</v>
      </c>
      <c r="Z69" s="437"/>
      <c r="AA69" s="3"/>
      <c r="AB69" s="3"/>
      <c r="AC69" s="3"/>
      <c r="AD69" s="3"/>
      <c r="AE69" s="3"/>
    </row>
    <row r="70" ht="15.75" customHeight="1">
      <c r="A70" s="1"/>
      <c r="B70" s="105"/>
      <c r="C70" s="106"/>
      <c r="D70" s="107"/>
      <c r="E70" s="144"/>
      <c r="F70" s="109"/>
      <c r="G70" s="409"/>
      <c r="H70" s="111"/>
      <c r="I70" s="112"/>
      <c r="J70" s="50" t="s">
        <v>61</v>
      </c>
      <c r="K70" s="347"/>
      <c r="L70" s="348">
        <v>0.08</v>
      </c>
      <c r="M70" s="348">
        <v>0.06</v>
      </c>
      <c r="N70" s="348">
        <v>0.07</v>
      </c>
      <c r="O70" s="348">
        <v>0.07</v>
      </c>
      <c r="P70" s="348">
        <v>0.08</v>
      </c>
      <c r="Q70" s="348">
        <v>0.08</v>
      </c>
      <c r="R70" s="348">
        <v>0.08</v>
      </c>
      <c r="S70" s="348">
        <v>0.08</v>
      </c>
      <c r="T70" s="348">
        <v>0.09</v>
      </c>
      <c r="U70" s="348">
        <v>0.1</v>
      </c>
      <c r="V70" s="348">
        <v>0.11</v>
      </c>
      <c r="W70" s="348">
        <v>0.1</v>
      </c>
      <c r="X70" s="165">
        <f>SUM(L70:W70)</f>
        <v>1</v>
      </c>
      <c r="Y70" s="406">
        <v>0.9999999999999999</v>
      </c>
      <c r="Z70" s="437"/>
      <c r="AA70" s="3"/>
      <c r="AB70" s="3"/>
      <c r="AC70" s="3"/>
      <c r="AD70" s="3"/>
      <c r="AE70" s="3"/>
    </row>
    <row r="71" ht="15.75" customHeight="1">
      <c r="A71" s="1"/>
      <c r="B71" s="105"/>
      <c r="C71" s="106"/>
      <c r="D71" s="107"/>
      <c r="E71" s="144"/>
      <c r="F71" s="109"/>
      <c r="G71" s="409"/>
      <c r="H71" s="111"/>
      <c r="I71" s="112"/>
      <c r="J71" s="50" t="s">
        <v>63</v>
      </c>
      <c r="K71" s="347"/>
      <c r="L71" s="66">
        <f t="shared" ref="L71:W71" si="57">($X$71)*L70</f>
        <v>3840000</v>
      </c>
      <c r="M71" s="66">
        <f t="shared" si="57"/>
        <v>2880000</v>
      </c>
      <c r="N71" s="66">
        <f t="shared" si="57"/>
        <v>3360000</v>
      </c>
      <c r="O71" s="66">
        <f t="shared" si="57"/>
        <v>3360000</v>
      </c>
      <c r="P71" s="66">
        <f t="shared" si="57"/>
        <v>3840000</v>
      </c>
      <c r="Q71" s="66">
        <f t="shared" si="57"/>
        <v>3840000</v>
      </c>
      <c r="R71" s="66">
        <f t="shared" si="57"/>
        <v>3840000</v>
      </c>
      <c r="S71" s="66">
        <f t="shared" si="57"/>
        <v>3840000</v>
      </c>
      <c r="T71" s="66">
        <f t="shared" si="57"/>
        <v>4320000</v>
      </c>
      <c r="U71" s="66">
        <f t="shared" si="57"/>
        <v>4800000</v>
      </c>
      <c r="V71" s="66">
        <f t="shared" si="57"/>
        <v>5280000</v>
      </c>
      <c r="W71" s="66">
        <f t="shared" si="57"/>
        <v>4800000</v>
      </c>
      <c r="X71" s="166">
        <v>4.8E7</v>
      </c>
      <c r="Y71" s="350">
        <v>3.0E7</v>
      </c>
      <c r="Z71" s="437">
        <f t="shared" ref="Z71:Z73" si="59">X71/Y71-1</f>
        <v>0.6</v>
      </c>
      <c r="AA71" s="3"/>
      <c r="AB71" s="3"/>
      <c r="AC71" s="3"/>
      <c r="AD71" s="3"/>
      <c r="AE71" s="3"/>
    </row>
    <row r="72" ht="15.75" customHeight="1">
      <c r="A72" s="1"/>
      <c r="B72" s="105"/>
      <c r="C72" s="106"/>
      <c r="D72" s="107"/>
      <c r="E72" s="144"/>
      <c r="F72" s="109"/>
      <c r="G72" s="409"/>
      <c r="H72" s="111"/>
      <c r="I72" s="112"/>
      <c r="J72" s="50" t="s">
        <v>64</v>
      </c>
      <c r="K72" s="351">
        <v>100.0</v>
      </c>
      <c r="L72" s="81">
        <f t="shared" ref="L72:W72" si="58">L71/$K$72</f>
        <v>38400</v>
      </c>
      <c r="M72" s="81">
        <f t="shared" si="58"/>
        <v>28800</v>
      </c>
      <c r="N72" s="81">
        <f t="shared" si="58"/>
        <v>33600</v>
      </c>
      <c r="O72" s="81">
        <f t="shared" si="58"/>
        <v>33600</v>
      </c>
      <c r="P72" s="81">
        <f t="shared" si="58"/>
        <v>38400</v>
      </c>
      <c r="Q72" s="81">
        <f t="shared" si="58"/>
        <v>38400</v>
      </c>
      <c r="R72" s="81">
        <f t="shared" si="58"/>
        <v>38400</v>
      </c>
      <c r="S72" s="81">
        <f t="shared" si="58"/>
        <v>38400</v>
      </c>
      <c r="T72" s="81">
        <f t="shared" si="58"/>
        <v>43200</v>
      </c>
      <c r="U72" s="81">
        <f t="shared" si="58"/>
        <v>48000</v>
      </c>
      <c r="V72" s="81">
        <f t="shared" si="58"/>
        <v>52800</v>
      </c>
      <c r="W72" s="81">
        <f t="shared" si="58"/>
        <v>48000</v>
      </c>
      <c r="X72" s="352">
        <f t="shared" ref="X72:X73" si="61">SUM(L72:W72)</f>
        <v>480000</v>
      </c>
      <c r="Y72" s="353">
        <v>300000.0</v>
      </c>
      <c r="Z72" s="437">
        <f t="shared" si="59"/>
        <v>0.6</v>
      </c>
      <c r="AA72" s="3"/>
      <c r="AB72" s="3"/>
      <c r="AC72" s="3"/>
      <c r="AD72" s="3"/>
      <c r="AE72" s="3"/>
    </row>
    <row r="73" ht="15.75" customHeight="1">
      <c r="A73" s="1"/>
      <c r="B73" s="105"/>
      <c r="C73" s="106"/>
      <c r="D73" s="107"/>
      <c r="E73" s="144"/>
      <c r="F73" s="109"/>
      <c r="G73" s="409"/>
      <c r="H73" s="111"/>
      <c r="I73" s="112"/>
      <c r="J73" s="91" t="s">
        <v>66</v>
      </c>
      <c r="K73" s="354">
        <v>0.06</v>
      </c>
      <c r="L73" s="94">
        <f t="shared" ref="L73:W73" si="60">IF(L71*$K$73&lt;100000,0,L71*$K$73)</f>
        <v>230400</v>
      </c>
      <c r="M73" s="94">
        <f t="shared" si="60"/>
        <v>172800</v>
      </c>
      <c r="N73" s="94">
        <f t="shared" si="60"/>
        <v>201600</v>
      </c>
      <c r="O73" s="94">
        <f t="shared" si="60"/>
        <v>201600</v>
      </c>
      <c r="P73" s="94">
        <f t="shared" si="60"/>
        <v>230400</v>
      </c>
      <c r="Q73" s="94">
        <f t="shared" si="60"/>
        <v>230400</v>
      </c>
      <c r="R73" s="94">
        <f t="shared" si="60"/>
        <v>230400</v>
      </c>
      <c r="S73" s="94">
        <f t="shared" si="60"/>
        <v>230400</v>
      </c>
      <c r="T73" s="94">
        <f t="shared" si="60"/>
        <v>259200</v>
      </c>
      <c r="U73" s="94">
        <f t="shared" si="60"/>
        <v>288000</v>
      </c>
      <c r="V73" s="94">
        <f t="shared" si="60"/>
        <v>316800</v>
      </c>
      <c r="W73" s="94">
        <f t="shared" si="60"/>
        <v>288000</v>
      </c>
      <c r="X73" s="169">
        <f t="shared" si="61"/>
        <v>2880000</v>
      </c>
      <c r="Y73" s="355">
        <v>1800000.0</v>
      </c>
      <c r="Z73" s="435">
        <f t="shared" si="59"/>
        <v>0.6</v>
      </c>
      <c r="AA73" s="3"/>
      <c r="AB73" s="3"/>
      <c r="AC73" s="3"/>
      <c r="AD73" s="3"/>
      <c r="AE73" s="3"/>
    </row>
    <row r="74" ht="15.75" customHeight="1">
      <c r="A74" s="1"/>
      <c r="B74" s="105"/>
      <c r="C74" s="106"/>
      <c r="D74" s="107"/>
      <c r="E74" s="144"/>
      <c r="F74" s="109"/>
      <c r="G74" s="409"/>
      <c r="H74" s="111"/>
      <c r="I74" s="112"/>
      <c r="J74" s="420"/>
      <c r="K74" s="188"/>
      <c r="L74" s="3"/>
      <c r="M74" s="3"/>
      <c r="N74" s="3"/>
      <c r="O74" s="3"/>
      <c r="P74" s="3"/>
      <c r="Q74" s="160"/>
      <c r="R74" s="3"/>
      <c r="S74" s="3"/>
      <c r="T74" s="3"/>
      <c r="U74" s="3"/>
      <c r="V74" s="3"/>
      <c r="W74" s="3"/>
      <c r="X74" s="3"/>
      <c r="Y74" s="3"/>
      <c r="Z74" s="440"/>
      <c r="AA74" s="3"/>
      <c r="AB74" s="3"/>
      <c r="AC74" s="3"/>
      <c r="AD74" s="3"/>
      <c r="AE74" s="3"/>
    </row>
    <row r="75" ht="15.75" customHeight="1">
      <c r="A75" s="1"/>
      <c r="B75" s="105">
        <v>13.0</v>
      </c>
      <c r="C75" s="412" t="s">
        <v>93</v>
      </c>
      <c r="D75" s="182"/>
      <c r="E75" s="183"/>
      <c r="F75" s="184"/>
      <c r="G75" s="421">
        <v>12323.000000000002</v>
      </c>
      <c r="H75" s="185">
        <v>52.0</v>
      </c>
      <c r="I75" s="186">
        <v>236.98076923076925</v>
      </c>
      <c r="J75" s="405" t="s">
        <v>93</v>
      </c>
      <c r="K75" s="342"/>
      <c r="L75" s="344" t="s">
        <v>10</v>
      </c>
      <c r="M75" s="345" t="s">
        <v>14</v>
      </c>
      <c r="N75" s="344" t="s">
        <v>18</v>
      </c>
      <c r="O75" s="345" t="s">
        <v>22</v>
      </c>
      <c r="P75" s="344" t="s">
        <v>26</v>
      </c>
      <c r="Q75" s="345" t="s">
        <v>30</v>
      </c>
      <c r="R75" s="344" t="s">
        <v>34</v>
      </c>
      <c r="S75" s="345" t="s">
        <v>38</v>
      </c>
      <c r="T75" s="344" t="s">
        <v>42</v>
      </c>
      <c r="U75" s="345" t="s">
        <v>46</v>
      </c>
      <c r="V75" s="344" t="s">
        <v>50</v>
      </c>
      <c r="W75" s="345" t="s">
        <v>54</v>
      </c>
      <c r="X75" s="122">
        <v>2028.0</v>
      </c>
      <c r="Y75" s="346">
        <v>2027.0</v>
      </c>
      <c r="Z75" s="437"/>
      <c r="AA75" s="3"/>
      <c r="AB75" s="3"/>
      <c r="AC75" s="3"/>
      <c r="AD75" s="3"/>
      <c r="AE75" s="3"/>
    </row>
    <row r="76" ht="15.75" customHeight="1">
      <c r="A76" s="1"/>
      <c r="B76" s="105"/>
      <c r="C76" s="106"/>
      <c r="D76" s="107"/>
      <c r="E76" s="144"/>
      <c r="F76" s="109"/>
      <c r="G76" s="409"/>
      <c r="H76" s="111"/>
      <c r="I76" s="112"/>
      <c r="J76" s="50" t="s">
        <v>61</v>
      </c>
      <c r="K76" s="347"/>
      <c r="L76" s="348">
        <v>0.07</v>
      </c>
      <c r="M76" s="348">
        <v>0.06</v>
      </c>
      <c r="N76" s="348">
        <v>0.07</v>
      </c>
      <c r="O76" s="348">
        <v>0.07</v>
      </c>
      <c r="P76" s="348">
        <v>0.08</v>
      </c>
      <c r="Q76" s="348">
        <v>0.06</v>
      </c>
      <c r="R76" s="348">
        <v>0.06</v>
      </c>
      <c r="S76" s="348">
        <v>0.07</v>
      </c>
      <c r="T76" s="348">
        <v>0.08</v>
      </c>
      <c r="U76" s="348">
        <v>0.09</v>
      </c>
      <c r="V76" s="348">
        <v>0.11</v>
      </c>
      <c r="W76" s="348">
        <v>0.18</v>
      </c>
      <c r="X76" s="165">
        <f>SUM(L76:W76)</f>
        <v>1</v>
      </c>
      <c r="Y76" s="406">
        <v>1.0</v>
      </c>
      <c r="Z76" s="437"/>
      <c r="AA76" s="3"/>
      <c r="AB76" s="3"/>
      <c r="AC76" s="3"/>
      <c r="AD76" s="3"/>
      <c r="AE76" s="3"/>
    </row>
    <row r="77" ht="15.75" customHeight="1">
      <c r="A77" s="1"/>
      <c r="B77" s="105"/>
      <c r="C77" s="106"/>
      <c r="D77" s="107"/>
      <c r="E77" s="144"/>
      <c r="F77" s="109"/>
      <c r="G77" s="409"/>
      <c r="H77" s="111"/>
      <c r="I77" s="112"/>
      <c r="J77" s="50" t="s">
        <v>63</v>
      </c>
      <c r="K77" s="347"/>
      <c r="L77" s="66">
        <f t="shared" ref="L77:W77" si="62">($X$77)*L76</f>
        <v>5574.53568</v>
      </c>
      <c r="M77" s="66">
        <f t="shared" si="62"/>
        <v>4778.17344</v>
      </c>
      <c r="N77" s="66">
        <f t="shared" si="62"/>
        <v>5574.53568</v>
      </c>
      <c r="O77" s="66">
        <f t="shared" si="62"/>
        <v>5574.53568</v>
      </c>
      <c r="P77" s="66">
        <f t="shared" si="62"/>
        <v>6370.89792</v>
      </c>
      <c r="Q77" s="66">
        <f t="shared" si="62"/>
        <v>4778.17344</v>
      </c>
      <c r="R77" s="66">
        <f t="shared" si="62"/>
        <v>4778.17344</v>
      </c>
      <c r="S77" s="66">
        <f t="shared" si="62"/>
        <v>5574.53568</v>
      </c>
      <c r="T77" s="66">
        <f t="shared" si="62"/>
        <v>6370.89792</v>
      </c>
      <c r="U77" s="66">
        <f t="shared" si="62"/>
        <v>7167.26016</v>
      </c>
      <c r="V77" s="66">
        <f t="shared" si="62"/>
        <v>8759.98464</v>
      </c>
      <c r="W77" s="66">
        <f t="shared" si="62"/>
        <v>14334.52032</v>
      </c>
      <c r="X77" s="166">
        <v>79636.224</v>
      </c>
      <c r="Y77" s="350">
        <v>40000.0</v>
      </c>
      <c r="Z77" s="437">
        <f t="shared" ref="Z77:Z79" si="64">X77/Y77-1</f>
        <v>0.9909056</v>
      </c>
      <c r="AA77" s="3"/>
      <c r="AB77" s="3"/>
      <c r="AC77" s="3"/>
      <c r="AD77" s="3"/>
      <c r="AE77" s="3"/>
    </row>
    <row r="78" ht="15.75" customHeight="1">
      <c r="A78" s="1"/>
      <c r="B78" s="105"/>
      <c r="C78" s="106"/>
      <c r="D78" s="107"/>
      <c r="E78" s="144"/>
      <c r="F78" s="109"/>
      <c r="G78" s="409"/>
      <c r="H78" s="111"/>
      <c r="I78" s="112"/>
      <c r="J78" s="50" t="s">
        <v>64</v>
      </c>
      <c r="K78" s="351">
        <v>115.0</v>
      </c>
      <c r="L78" s="81">
        <f t="shared" ref="L78:W78" si="63">L77/$K$78</f>
        <v>48.4742233</v>
      </c>
      <c r="M78" s="81">
        <f t="shared" si="63"/>
        <v>41.54933426</v>
      </c>
      <c r="N78" s="81">
        <f t="shared" si="63"/>
        <v>48.4742233</v>
      </c>
      <c r="O78" s="81">
        <f t="shared" si="63"/>
        <v>48.4742233</v>
      </c>
      <c r="P78" s="81">
        <f t="shared" si="63"/>
        <v>55.39911235</v>
      </c>
      <c r="Q78" s="81">
        <f t="shared" si="63"/>
        <v>41.54933426</v>
      </c>
      <c r="R78" s="81">
        <f t="shared" si="63"/>
        <v>41.54933426</v>
      </c>
      <c r="S78" s="81">
        <f t="shared" si="63"/>
        <v>48.4742233</v>
      </c>
      <c r="T78" s="81">
        <f t="shared" si="63"/>
        <v>55.39911235</v>
      </c>
      <c r="U78" s="81">
        <f t="shared" si="63"/>
        <v>62.32400139</v>
      </c>
      <c r="V78" s="81">
        <f t="shared" si="63"/>
        <v>76.17377948</v>
      </c>
      <c r="W78" s="81">
        <f t="shared" si="63"/>
        <v>124.6480028</v>
      </c>
      <c r="X78" s="352">
        <f t="shared" ref="X78:X79" si="66">SUM(L78:W78)</f>
        <v>692.4889043</v>
      </c>
      <c r="Y78" s="353">
        <v>347.8260869565218</v>
      </c>
      <c r="Z78" s="437">
        <f t="shared" si="64"/>
        <v>0.9909056</v>
      </c>
      <c r="AA78" s="3"/>
      <c r="AB78" s="3"/>
      <c r="AC78" s="3"/>
      <c r="AD78" s="3"/>
      <c r="AE78" s="3"/>
    </row>
    <row r="79" ht="15.75" customHeight="1">
      <c r="A79" s="1"/>
      <c r="B79" s="105"/>
      <c r="C79" s="106"/>
      <c r="D79" s="107"/>
      <c r="E79" s="144"/>
      <c r="F79" s="109"/>
      <c r="G79" s="409"/>
      <c r="H79" s="111"/>
      <c r="I79" s="112"/>
      <c r="J79" s="91" t="s">
        <v>66</v>
      </c>
      <c r="K79" s="360">
        <v>199.0</v>
      </c>
      <c r="L79" s="94">
        <f t="shared" ref="L79:W79" si="65">K79*1</f>
        <v>199</v>
      </c>
      <c r="M79" s="94">
        <f t="shared" si="65"/>
        <v>199</v>
      </c>
      <c r="N79" s="94">
        <f t="shared" si="65"/>
        <v>199</v>
      </c>
      <c r="O79" s="94">
        <f t="shared" si="65"/>
        <v>199</v>
      </c>
      <c r="P79" s="94">
        <f t="shared" si="65"/>
        <v>199</v>
      </c>
      <c r="Q79" s="94">
        <f t="shared" si="65"/>
        <v>199</v>
      </c>
      <c r="R79" s="94">
        <f t="shared" si="65"/>
        <v>199</v>
      </c>
      <c r="S79" s="94">
        <f t="shared" si="65"/>
        <v>199</v>
      </c>
      <c r="T79" s="94">
        <f t="shared" si="65"/>
        <v>199</v>
      </c>
      <c r="U79" s="94">
        <f t="shared" si="65"/>
        <v>199</v>
      </c>
      <c r="V79" s="94">
        <f t="shared" si="65"/>
        <v>199</v>
      </c>
      <c r="W79" s="94">
        <f t="shared" si="65"/>
        <v>199</v>
      </c>
      <c r="X79" s="169">
        <f t="shared" si="66"/>
        <v>2388</v>
      </c>
      <c r="Y79" s="355">
        <v>2388.0</v>
      </c>
      <c r="Z79" s="435">
        <f t="shared" si="64"/>
        <v>0</v>
      </c>
      <c r="AA79" s="3"/>
      <c r="AB79" s="3"/>
      <c r="AC79" s="3"/>
      <c r="AD79" s="3"/>
      <c r="AE79" s="3"/>
    </row>
    <row r="80" ht="15.75" customHeight="1">
      <c r="A80" s="1"/>
      <c r="B80" s="105"/>
      <c r="C80" s="106"/>
      <c r="D80" s="107"/>
      <c r="E80" s="144"/>
      <c r="F80" s="109"/>
      <c r="G80" s="409"/>
      <c r="H80" s="111"/>
      <c r="I80" s="112"/>
      <c r="J80" s="8"/>
      <c r="K80" s="9"/>
      <c r="L80" s="172"/>
      <c r="M80" s="172"/>
      <c r="N80" s="172"/>
      <c r="O80" s="172"/>
      <c r="P80" s="172"/>
      <c r="Q80" s="160"/>
      <c r="R80" s="172">
        <v>15.0</v>
      </c>
      <c r="S80" s="172">
        <v>25.0</v>
      </c>
      <c r="T80" s="172"/>
      <c r="U80" s="172"/>
      <c r="V80" s="172"/>
      <c r="W80" s="172"/>
      <c r="X80" s="172"/>
      <c r="Y80" s="172"/>
      <c r="Z80" s="439"/>
      <c r="AA80" s="136"/>
      <c r="AB80" s="136"/>
      <c r="AC80" s="3"/>
      <c r="AD80" s="3"/>
      <c r="AE80" s="3"/>
    </row>
    <row r="81" ht="15.75" customHeight="1">
      <c r="A81" s="1"/>
      <c r="B81" s="105">
        <v>14.0</v>
      </c>
      <c r="C81" s="412" t="s">
        <v>94</v>
      </c>
      <c r="D81" s="182">
        <f>200000*12</f>
        <v>2400000</v>
      </c>
      <c r="E81" s="183">
        <v>50.0</v>
      </c>
      <c r="F81" s="184">
        <f>E81*D81</f>
        <v>120000000</v>
      </c>
      <c r="G81" s="421" t="s">
        <v>60</v>
      </c>
      <c r="H81" s="185" t="s">
        <v>60</v>
      </c>
      <c r="I81" s="186" t="s">
        <v>60</v>
      </c>
      <c r="J81" s="405" t="s">
        <v>95</v>
      </c>
      <c r="K81" s="342"/>
      <c r="L81" s="344" t="s">
        <v>10</v>
      </c>
      <c r="M81" s="345" t="s">
        <v>14</v>
      </c>
      <c r="N81" s="344" t="s">
        <v>18</v>
      </c>
      <c r="O81" s="345" t="s">
        <v>22</v>
      </c>
      <c r="P81" s="344" t="s">
        <v>26</v>
      </c>
      <c r="Q81" s="345" t="s">
        <v>30</v>
      </c>
      <c r="R81" s="344" t="s">
        <v>34</v>
      </c>
      <c r="S81" s="345" t="s">
        <v>38</v>
      </c>
      <c r="T81" s="344" t="s">
        <v>42</v>
      </c>
      <c r="U81" s="345" t="s">
        <v>46</v>
      </c>
      <c r="V81" s="344" t="s">
        <v>50</v>
      </c>
      <c r="W81" s="345" t="s">
        <v>54</v>
      </c>
      <c r="X81" s="122">
        <v>2028.0</v>
      </c>
      <c r="Y81" s="346">
        <v>2027.0</v>
      </c>
      <c r="Z81" s="437"/>
      <c r="AA81" s="3"/>
      <c r="AB81" s="3"/>
      <c r="AC81" s="3"/>
      <c r="AD81" s="3"/>
      <c r="AE81" s="3"/>
    </row>
    <row r="82" ht="15.75" customHeight="1">
      <c r="A82" s="1"/>
      <c r="B82" s="105"/>
      <c r="C82" s="106"/>
      <c r="D82" s="107"/>
      <c r="E82" s="144"/>
      <c r="F82" s="109"/>
      <c r="G82" s="409"/>
      <c r="H82" s="111"/>
      <c r="I82" s="112"/>
      <c r="J82" s="50" t="s">
        <v>61</v>
      </c>
      <c r="K82" s="347"/>
      <c r="L82" s="348">
        <v>0.02</v>
      </c>
      <c r="M82" s="348">
        <v>0.02</v>
      </c>
      <c r="N82" s="348">
        <v>0.04</v>
      </c>
      <c r="O82" s="348">
        <v>0.05</v>
      </c>
      <c r="P82" s="348">
        <v>0.06</v>
      </c>
      <c r="Q82" s="348">
        <v>0.07</v>
      </c>
      <c r="R82" s="348">
        <v>0.08</v>
      </c>
      <c r="S82" s="348">
        <v>0.09</v>
      </c>
      <c r="T82" s="348">
        <v>0.12</v>
      </c>
      <c r="U82" s="348">
        <v>0.14</v>
      </c>
      <c r="V82" s="348">
        <v>0.15</v>
      </c>
      <c r="W82" s="348">
        <v>0.16</v>
      </c>
      <c r="X82" s="165">
        <f>SUM(L82:W82)</f>
        <v>1</v>
      </c>
      <c r="Y82" s="406">
        <v>1.0</v>
      </c>
      <c r="Z82" s="437"/>
      <c r="AA82" s="3"/>
      <c r="AB82" s="3"/>
      <c r="AC82" s="3"/>
      <c r="AD82" s="3"/>
      <c r="AE82" s="3"/>
    </row>
    <row r="83" ht="15.75" customHeight="1">
      <c r="A83" s="1"/>
      <c r="B83" s="105"/>
      <c r="C83" s="106"/>
      <c r="D83" s="107"/>
      <c r="E83" s="144"/>
      <c r="F83" s="109"/>
      <c r="G83" s="409"/>
      <c r="H83" s="111"/>
      <c r="I83" s="112"/>
      <c r="J83" s="50" t="s">
        <v>63</v>
      </c>
      <c r="K83" s="347"/>
      <c r="L83" s="66">
        <f t="shared" ref="L83:W83" si="67">($X$83)*L82</f>
        <v>480000</v>
      </c>
      <c r="M83" s="66">
        <f t="shared" si="67"/>
        <v>480000</v>
      </c>
      <c r="N83" s="66">
        <f t="shared" si="67"/>
        <v>960000</v>
      </c>
      <c r="O83" s="66">
        <f t="shared" si="67"/>
        <v>1200000</v>
      </c>
      <c r="P83" s="66">
        <f t="shared" si="67"/>
        <v>1440000</v>
      </c>
      <c r="Q83" s="66">
        <f t="shared" si="67"/>
        <v>1680000</v>
      </c>
      <c r="R83" s="66">
        <f t="shared" si="67"/>
        <v>1920000</v>
      </c>
      <c r="S83" s="66">
        <f t="shared" si="67"/>
        <v>2160000</v>
      </c>
      <c r="T83" s="66">
        <f t="shared" si="67"/>
        <v>2880000</v>
      </c>
      <c r="U83" s="66">
        <f t="shared" si="67"/>
        <v>3360000</v>
      </c>
      <c r="V83" s="66">
        <f t="shared" si="67"/>
        <v>3600000</v>
      </c>
      <c r="W83" s="66">
        <f t="shared" si="67"/>
        <v>3840000</v>
      </c>
      <c r="X83" s="166">
        <v>2.4E7</v>
      </c>
      <c r="Y83" s="350">
        <v>6000000.0</v>
      </c>
      <c r="Z83" s="437">
        <f t="shared" ref="Z83:Z85" si="69">X83/Y83-1</f>
        <v>3</v>
      </c>
      <c r="AA83" s="3"/>
      <c r="AB83" s="3"/>
      <c r="AC83" s="3"/>
      <c r="AD83" s="3"/>
      <c r="AE83" s="3"/>
    </row>
    <row r="84" ht="15.75" customHeight="1">
      <c r="A84" s="1"/>
      <c r="B84" s="105"/>
      <c r="C84" s="106"/>
      <c r="D84" s="107"/>
      <c r="E84" s="144"/>
      <c r="F84" s="109"/>
      <c r="G84" s="409"/>
      <c r="H84" s="111"/>
      <c r="I84" s="112"/>
      <c r="J84" s="50" t="s">
        <v>64</v>
      </c>
      <c r="K84" s="351">
        <v>50.0</v>
      </c>
      <c r="L84" s="81">
        <f t="shared" ref="L84:W84" si="68">L83/$K$84</f>
        <v>9600</v>
      </c>
      <c r="M84" s="81">
        <f t="shared" si="68"/>
        <v>9600</v>
      </c>
      <c r="N84" s="81">
        <f t="shared" si="68"/>
        <v>19200</v>
      </c>
      <c r="O84" s="81">
        <f t="shared" si="68"/>
        <v>24000</v>
      </c>
      <c r="P84" s="81">
        <f t="shared" si="68"/>
        <v>28800</v>
      </c>
      <c r="Q84" s="81">
        <f t="shared" si="68"/>
        <v>33600</v>
      </c>
      <c r="R84" s="81">
        <f t="shared" si="68"/>
        <v>38400</v>
      </c>
      <c r="S84" s="81">
        <f t="shared" si="68"/>
        <v>43200</v>
      </c>
      <c r="T84" s="81">
        <f t="shared" si="68"/>
        <v>57600</v>
      </c>
      <c r="U84" s="81">
        <f t="shared" si="68"/>
        <v>67200</v>
      </c>
      <c r="V84" s="81">
        <f t="shared" si="68"/>
        <v>72000</v>
      </c>
      <c r="W84" s="81">
        <f t="shared" si="68"/>
        <v>76800</v>
      </c>
      <c r="X84" s="352">
        <f t="shared" ref="X84:X85" si="71">SUM(L84:W84)</f>
        <v>480000</v>
      </c>
      <c r="Y84" s="353">
        <v>120000.0</v>
      </c>
      <c r="Z84" s="437">
        <f t="shared" si="69"/>
        <v>3</v>
      </c>
      <c r="AA84" s="3"/>
      <c r="AB84" s="3"/>
      <c r="AC84" s="3"/>
      <c r="AD84" s="3"/>
      <c r="AE84" s="3"/>
    </row>
    <row r="85" ht="15.75" customHeight="1">
      <c r="A85" s="1"/>
      <c r="B85" s="105"/>
      <c r="C85" s="106"/>
      <c r="D85" s="107"/>
      <c r="E85" s="144"/>
      <c r="F85" s="109"/>
      <c r="G85" s="409"/>
      <c r="H85" s="111"/>
      <c r="I85" s="112"/>
      <c r="J85" s="91" t="s">
        <v>66</v>
      </c>
      <c r="K85" s="354">
        <v>0.02</v>
      </c>
      <c r="L85" s="94">
        <f t="shared" ref="L85:W85" si="70">IF(L84=0, 0, (L83/L84) * (
  MIN(L84, 50000) * 0.02 +
  MAX(0, MIN(L84, 100000) - 50000) * 0.015 +
  MAX(0, L84 - 100000) * 0.01
))</f>
        <v>9600</v>
      </c>
      <c r="M85" s="94">
        <f t="shared" si="70"/>
        <v>9600</v>
      </c>
      <c r="N85" s="94">
        <f t="shared" si="70"/>
        <v>19200</v>
      </c>
      <c r="O85" s="94">
        <f t="shared" si="70"/>
        <v>24000</v>
      </c>
      <c r="P85" s="94">
        <f t="shared" si="70"/>
        <v>28800</v>
      </c>
      <c r="Q85" s="94">
        <f t="shared" si="70"/>
        <v>33600</v>
      </c>
      <c r="R85" s="94">
        <f t="shared" si="70"/>
        <v>38400</v>
      </c>
      <c r="S85" s="94">
        <f t="shared" si="70"/>
        <v>43200</v>
      </c>
      <c r="T85" s="94">
        <f t="shared" si="70"/>
        <v>55700</v>
      </c>
      <c r="U85" s="94">
        <f t="shared" si="70"/>
        <v>62900</v>
      </c>
      <c r="V85" s="94">
        <f t="shared" si="70"/>
        <v>66500</v>
      </c>
      <c r="W85" s="94">
        <f t="shared" si="70"/>
        <v>70100</v>
      </c>
      <c r="X85" s="169">
        <f t="shared" si="71"/>
        <v>461600</v>
      </c>
      <c r="Y85" s="355">
        <v>120000.0</v>
      </c>
      <c r="Z85" s="435">
        <f t="shared" si="69"/>
        <v>2.846666667</v>
      </c>
      <c r="AA85" s="3"/>
      <c r="AB85" s="3"/>
      <c r="AC85" s="3"/>
      <c r="AD85" s="3"/>
      <c r="AE85" s="3"/>
    </row>
    <row r="86" ht="15.75" customHeight="1">
      <c r="A86" s="1"/>
      <c r="B86" s="105"/>
      <c r="C86" s="106"/>
      <c r="D86" s="107"/>
      <c r="E86" s="144"/>
      <c r="F86" s="109"/>
      <c r="G86" s="409"/>
      <c r="H86" s="111"/>
      <c r="I86" s="112"/>
      <c r="J86" s="8"/>
      <c r="K86" s="9"/>
      <c r="L86" s="136"/>
      <c r="M86" s="136"/>
      <c r="N86" s="136"/>
      <c r="O86" s="136"/>
      <c r="P86" s="136"/>
      <c r="Q86" s="160"/>
      <c r="R86" s="136"/>
      <c r="S86" s="136"/>
      <c r="T86" s="136"/>
      <c r="U86" s="136"/>
      <c r="V86" s="136"/>
      <c r="W86" s="136"/>
      <c r="X86" s="136"/>
      <c r="Y86" s="136"/>
      <c r="Z86" s="440"/>
      <c r="AA86" s="136"/>
      <c r="AB86" s="136"/>
      <c r="AC86" s="136"/>
      <c r="AD86" s="136"/>
      <c r="AE86" s="136"/>
    </row>
    <row r="87" ht="15.75" customHeight="1">
      <c r="A87" s="1"/>
      <c r="B87" s="105">
        <v>15.0</v>
      </c>
      <c r="C87" s="412" t="s">
        <v>96</v>
      </c>
      <c r="D87" s="107">
        <f>3500*4*12</f>
        <v>168000</v>
      </c>
      <c r="E87" s="144">
        <v>40.0</v>
      </c>
      <c r="F87" s="109">
        <f>E87*D87</f>
        <v>6720000</v>
      </c>
      <c r="G87" s="409">
        <v>9704.999999999982</v>
      </c>
      <c r="H87" s="111">
        <v>519.0</v>
      </c>
      <c r="I87" s="112">
        <v>18.699421965317885</v>
      </c>
      <c r="J87" s="414" t="s">
        <v>97</v>
      </c>
      <c r="K87" s="342"/>
      <c r="L87" s="344" t="s">
        <v>10</v>
      </c>
      <c r="M87" s="345" t="s">
        <v>14</v>
      </c>
      <c r="N87" s="344" t="s">
        <v>18</v>
      </c>
      <c r="O87" s="345" t="s">
        <v>22</v>
      </c>
      <c r="P87" s="344" t="s">
        <v>26</v>
      </c>
      <c r="Q87" s="345" t="s">
        <v>30</v>
      </c>
      <c r="R87" s="344" t="s">
        <v>34</v>
      </c>
      <c r="S87" s="345" t="s">
        <v>38</v>
      </c>
      <c r="T87" s="344" t="s">
        <v>42</v>
      </c>
      <c r="U87" s="345" t="s">
        <v>46</v>
      </c>
      <c r="V87" s="344" t="s">
        <v>50</v>
      </c>
      <c r="W87" s="345" t="s">
        <v>54</v>
      </c>
      <c r="X87" s="122">
        <v>2028.0</v>
      </c>
      <c r="Y87" s="346">
        <v>2027.0</v>
      </c>
      <c r="Z87" s="437"/>
      <c r="AA87" s="3"/>
      <c r="AB87" s="3"/>
      <c r="AC87" s="3"/>
      <c r="AD87" s="3"/>
      <c r="AE87" s="3"/>
    </row>
    <row r="88" ht="15.75" customHeight="1">
      <c r="A88" s="1"/>
      <c r="B88" s="105"/>
      <c r="C88" s="106"/>
      <c r="D88" s="107"/>
      <c r="E88" s="144"/>
      <c r="F88" s="109"/>
      <c r="G88" s="409"/>
      <c r="H88" s="111"/>
      <c r="I88" s="112"/>
      <c r="J88" s="50" t="s">
        <v>61</v>
      </c>
      <c r="K88" s="347"/>
      <c r="L88" s="348">
        <v>0.08</v>
      </c>
      <c r="M88" s="348">
        <v>0.06</v>
      </c>
      <c r="N88" s="348">
        <v>0.07</v>
      </c>
      <c r="O88" s="348">
        <v>0.07</v>
      </c>
      <c r="P88" s="348">
        <v>0.08</v>
      </c>
      <c r="Q88" s="348">
        <v>0.08</v>
      </c>
      <c r="R88" s="348">
        <v>0.08</v>
      </c>
      <c r="S88" s="348">
        <v>0.08</v>
      </c>
      <c r="T88" s="348">
        <v>0.09</v>
      </c>
      <c r="U88" s="348">
        <v>0.1</v>
      </c>
      <c r="V88" s="348">
        <v>0.11</v>
      </c>
      <c r="W88" s="348">
        <v>0.1</v>
      </c>
      <c r="X88" s="165">
        <f>SUM(L88:W88)</f>
        <v>1</v>
      </c>
      <c r="Y88" s="406">
        <v>0.9999999999999999</v>
      </c>
      <c r="Z88" s="437"/>
      <c r="AA88" s="3"/>
      <c r="AB88" s="3"/>
      <c r="AC88" s="3"/>
      <c r="AD88" s="3"/>
      <c r="AE88" s="3"/>
    </row>
    <row r="89" ht="15.75" customHeight="1">
      <c r="A89" s="1"/>
      <c r="B89" s="105"/>
      <c r="C89" s="106"/>
      <c r="D89" s="107"/>
      <c r="E89" s="144"/>
      <c r="F89" s="109"/>
      <c r="G89" s="409"/>
      <c r="H89" s="111"/>
      <c r="I89" s="112"/>
      <c r="J89" s="50" t="s">
        <v>63</v>
      </c>
      <c r="K89" s="347"/>
      <c r="L89" s="66">
        <f t="shared" ref="L89:W89" si="72">($X$89)*L88</f>
        <v>107520</v>
      </c>
      <c r="M89" s="66">
        <f t="shared" si="72"/>
        <v>80640</v>
      </c>
      <c r="N89" s="66">
        <f t="shared" si="72"/>
        <v>94080</v>
      </c>
      <c r="O89" s="66">
        <f t="shared" si="72"/>
        <v>94080</v>
      </c>
      <c r="P89" s="66">
        <f t="shared" si="72"/>
        <v>107520</v>
      </c>
      <c r="Q89" s="66">
        <f t="shared" si="72"/>
        <v>107520</v>
      </c>
      <c r="R89" s="66">
        <f t="shared" si="72"/>
        <v>107520</v>
      </c>
      <c r="S89" s="66">
        <f t="shared" si="72"/>
        <v>107520</v>
      </c>
      <c r="T89" s="66">
        <f t="shared" si="72"/>
        <v>120960</v>
      </c>
      <c r="U89" s="66">
        <f t="shared" si="72"/>
        <v>134400</v>
      </c>
      <c r="V89" s="66">
        <f t="shared" si="72"/>
        <v>147840</v>
      </c>
      <c r="W89" s="66">
        <f t="shared" si="72"/>
        <v>134400</v>
      </c>
      <c r="X89" s="166">
        <v>1344000.0</v>
      </c>
      <c r="Y89" s="350">
        <v>165000.0</v>
      </c>
      <c r="Z89" s="437">
        <f t="shared" ref="Z89:Z91" si="74">X89/Y89-1</f>
        <v>7.145454545</v>
      </c>
      <c r="AA89" s="3"/>
      <c r="AB89" s="3"/>
      <c r="AC89" s="3"/>
      <c r="AD89" s="3"/>
      <c r="AE89" s="3"/>
    </row>
    <row r="90" ht="15.75" customHeight="1">
      <c r="A90" s="1"/>
      <c r="B90" s="105"/>
      <c r="C90" s="106"/>
      <c r="D90" s="107"/>
      <c r="E90" s="144"/>
      <c r="F90" s="109"/>
      <c r="G90" s="409"/>
      <c r="H90" s="111"/>
      <c r="I90" s="112"/>
      <c r="J90" s="50" t="s">
        <v>64</v>
      </c>
      <c r="K90" s="351">
        <v>30.0</v>
      </c>
      <c r="L90" s="81">
        <f t="shared" ref="L90:W90" si="73">L89/$K$90</f>
        <v>3584</v>
      </c>
      <c r="M90" s="81">
        <f t="shared" si="73"/>
        <v>2688</v>
      </c>
      <c r="N90" s="81">
        <f t="shared" si="73"/>
        <v>3136</v>
      </c>
      <c r="O90" s="81">
        <f t="shared" si="73"/>
        <v>3136</v>
      </c>
      <c r="P90" s="81">
        <f t="shared" si="73"/>
        <v>3584</v>
      </c>
      <c r="Q90" s="81">
        <f t="shared" si="73"/>
        <v>3584</v>
      </c>
      <c r="R90" s="81">
        <f t="shared" si="73"/>
        <v>3584</v>
      </c>
      <c r="S90" s="81">
        <f t="shared" si="73"/>
        <v>3584</v>
      </c>
      <c r="T90" s="81">
        <f t="shared" si="73"/>
        <v>4032</v>
      </c>
      <c r="U90" s="81">
        <f t="shared" si="73"/>
        <v>4480</v>
      </c>
      <c r="V90" s="81">
        <f t="shared" si="73"/>
        <v>4928</v>
      </c>
      <c r="W90" s="81">
        <f t="shared" si="73"/>
        <v>4480</v>
      </c>
      <c r="X90" s="352">
        <f t="shared" ref="X90:X91" si="76">SUM(L90:W90)</f>
        <v>44800</v>
      </c>
      <c r="Y90" s="353">
        <v>5500.0</v>
      </c>
      <c r="Z90" s="437">
        <f t="shared" si="74"/>
        <v>7.145454545</v>
      </c>
      <c r="AA90" s="3"/>
      <c r="AB90" s="3"/>
      <c r="AC90" s="3"/>
      <c r="AD90" s="3"/>
      <c r="AE90" s="3"/>
    </row>
    <row r="91" ht="15.75" customHeight="1">
      <c r="A91" s="1"/>
      <c r="B91" s="105"/>
      <c r="C91" s="106"/>
      <c r="D91" s="107"/>
      <c r="E91" s="144"/>
      <c r="F91" s="109"/>
      <c r="G91" s="409"/>
      <c r="H91" s="111"/>
      <c r="I91" s="112"/>
      <c r="J91" s="91" t="s">
        <v>66</v>
      </c>
      <c r="K91" s="354">
        <v>0.049</v>
      </c>
      <c r="L91" s="94">
        <f t="shared" ref="L91:W91" si="75">L89*$K$91</f>
        <v>5268.48</v>
      </c>
      <c r="M91" s="94">
        <f t="shared" si="75"/>
        <v>3951.36</v>
      </c>
      <c r="N91" s="94">
        <f t="shared" si="75"/>
        <v>4609.92</v>
      </c>
      <c r="O91" s="94">
        <f t="shared" si="75"/>
        <v>4609.92</v>
      </c>
      <c r="P91" s="94">
        <f t="shared" si="75"/>
        <v>5268.48</v>
      </c>
      <c r="Q91" s="94">
        <f t="shared" si="75"/>
        <v>5268.48</v>
      </c>
      <c r="R91" s="94">
        <f t="shared" si="75"/>
        <v>5268.48</v>
      </c>
      <c r="S91" s="94">
        <f t="shared" si="75"/>
        <v>5268.48</v>
      </c>
      <c r="T91" s="94">
        <f t="shared" si="75"/>
        <v>5927.04</v>
      </c>
      <c r="U91" s="94">
        <f t="shared" si="75"/>
        <v>6585.6</v>
      </c>
      <c r="V91" s="94">
        <f t="shared" si="75"/>
        <v>7244.16</v>
      </c>
      <c r="W91" s="94">
        <f t="shared" si="75"/>
        <v>6585.6</v>
      </c>
      <c r="X91" s="169">
        <f t="shared" si="76"/>
        <v>65856</v>
      </c>
      <c r="Y91" s="355">
        <v>8085.000000000001</v>
      </c>
      <c r="Z91" s="435">
        <f t="shared" si="74"/>
        <v>7.145454545</v>
      </c>
      <c r="AA91" s="3"/>
      <c r="AB91" s="3"/>
      <c r="AC91" s="3"/>
      <c r="AD91" s="3"/>
      <c r="AE91" s="3"/>
    </row>
    <row r="92" ht="15.75" customHeight="1">
      <c r="A92" s="1"/>
      <c r="B92" s="105"/>
      <c r="C92" s="106"/>
      <c r="D92" s="107"/>
      <c r="E92" s="144"/>
      <c r="F92" s="109"/>
      <c r="G92" s="409"/>
      <c r="H92" s="111"/>
      <c r="I92" s="112"/>
      <c r="J92" s="8"/>
      <c r="K92" s="9"/>
      <c r="L92" s="136"/>
      <c r="M92" s="136"/>
      <c r="N92" s="136"/>
      <c r="O92" s="136"/>
      <c r="P92" s="136"/>
      <c r="Q92" s="160"/>
      <c r="R92" s="136"/>
      <c r="S92" s="136"/>
      <c r="T92" s="136"/>
      <c r="U92" s="136"/>
      <c r="V92" s="136"/>
      <c r="W92" s="136"/>
      <c r="X92" s="136"/>
      <c r="Y92" s="136"/>
      <c r="Z92" s="440"/>
      <c r="AA92" s="3"/>
      <c r="AB92" s="3"/>
      <c r="AC92" s="3"/>
      <c r="AD92" s="3"/>
      <c r="AE92" s="3"/>
    </row>
    <row r="93" ht="15.75" customHeight="1">
      <c r="A93" s="1"/>
      <c r="B93" s="422">
        <v>16.0</v>
      </c>
      <c r="C93" s="106" t="s">
        <v>98</v>
      </c>
      <c r="D93" s="107">
        <f>15000*12</f>
        <v>180000</v>
      </c>
      <c r="E93" s="144">
        <v>32.0</v>
      </c>
      <c r="F93" s="109">
        <f>E93*D93</f>
        <v>5760000</v>
      </c>
      <c r="G93" s="423">
        <v>356599.2800000031</v>
      </c>
      <c r="H93" s="191">
        <v>11282.0</v>
      </c>
      <c r="I93" s="192">
        <v>31.607807126396306</v>
      </c>
      <c r="J93" s="414" t="s">
        <v>99</v>
      </c>
      <c r="K93" s="342"/>
      <c r="L93" s="344" t="s">
        <v>10</v>
      </c>
      <c r="M93" s="345" t="s">
        <v>14</v>
      </c>
      <c r="N93" s="344" t="s">
        <v>18</v>
      </c>
      <c r="O93" s="345" t="s">
        <v>22</v>
      </c>
      <c r="P93" s="344" t="s">
        <v>26</v>
      </c>
      <c r="Q93" s="345" t="s">
        <v>30</v>
      </c>
      <c r="R93" s="344" t="s">
        <v>34</v>
      </c>
      <c r="S93" s="345" t="s">
        <v>38</v>
      </c>
      <c r="T93" s="344" t="s">
        <v>42</v>
      </c>
      <c r="U93" s="345" t="s">
        <v>46</v>
      </c>
      <c r="V93" s="344" t="s">
        <v>50</v>
      </c>
      <c r="W93" s="345" t="s">
        <v>54</v>
      </c>
      <c r="X93" s="122">
        <v>2028.0</v>
      </c>
      <c r="Y93" s="346">
        <v>2027.0</v>
      </c>
      <c r="Z93" s="437"/>
      <c r="AA93" s="3"/>
      <c r="AB93" s="3"/>
      <c r="AC93" s="3"/>
      <c r="AD93" s="3"/>
      <c r="AE93" s="3"/>
    </row>
    <row r="94" ht="15.75" customHeight="1">
      <c r="A94" s="1"/>
      <c r="B94" s="105"/>
      <c r="C94" s="106"/>
      <c r="D94" s="107"/>
      <c r="E94" s="144"/>
      <c r="F94" s="109"/>
      <c r="G94" s="409"/>
      <c r="H94" s="111"/>
      <c r="I94" s="112"/>
      <c r="J94" s="50" t="s">
        <v>61</v>
      </c>
      <c r="K94" s="347"/>
      <c r="L94" s="348">
        <v>0.09</v>
      </c>
      <c r="M94" s="348">
        <v>0.06</v>
      </c>
      <c r="N94" s="348">
        <v>0.07</v>
      </c>
      <c r="O94" s="348">
        <v>0.07</v>
      </c>
      <c r="P94" s="348">
        <v>0.08</v>
      </c>
      <c r="Q94" s="348">
        <v>0.08</v>
      </c>
      <c r="R94" s="348">
        <v>0.08</v>
      </c>
      <c r="S94" s="348">
        <v>0.08</v>
      </c>
      <c r="T94" s="348">
        <v>0.09</v>
      </c>
      <c r="U94" s="348">
        <v>0.09</v>
      </c>
      <c r="V94" s="348">
        <v>0.1</v>
      </c>
      <c r="W94" s="348">
        <v>0.11</v>
      </c>
      <c r="X94" s="165">
        <f>SUM(L94:W94)</f>
        <v>1</v>
      </c>
      <c r="Y94" s="406">
        <v>0.9999999999999999</v>
      </c>
      <c r="Z94" s="437"/>
      <c r="AA94" s="3"/>
      <c r="AB94" s="3"/>
      <c r="AC94" s="3"/>
      <c r="AD94" s="3"/>
      <c r="AE94" s="3"/>
    </row>
    <row r="95" ht="15.75" customHeight="1">
      <c r="A95" s="1"/>
      <c r="B95" s="105"/>
      <c r="C95" s="106"/>
      <c r="D95" s="107"/>
      <c r="E95" s="144"/>
      <c r="F95" s="109"/>
      <c r="G95" s="409"/>
      <c r="H95" s="111"/>
      <c r="I95" s="112"/>
      <c r="J95" s="50" t="s">
        <v>63</v>
      </c>
      <c r="K95" s="347"/>
      <c r="L95" s="66">
        <f t="shared" ref="L95:W95" si="77">L94*$X$95</f>
        <v>103680</v>
      </c>
      <c r="M95" s="66">
        <f t="shared" si="77"/>
        <v>69120</v>
      </c>
      <c r="N95" s="66">
        <f t="shared" si="77"/>
        <v>80640</v>
      </c>
      <c r="O95" s="66">
        <f t="shared" si="77"/>
        <v>80640</v>
      </c>
      <c r="P95" s="66">
        <f t="shared" si="77"/>
        <v>92160</v>
      </c>
      <c r="Q95" s="66">
        <f t="shared" si="77"/>
        <v>92160</v>
      </c>
      <c r="R95" s="66">
        <f t="shared" si="77"/>
        <v>92160</v>
      </c>
      <c r="S95" s="66">
        <f t="shared" si="77"/>
        <v>92160</v>
      </c>
      <c r="T95" s="66">
        <f t="shared" si="77"/>
        <v>103680</v>
      </c>
      <c r="U95" s="66">
        <f t="shared" si="77"/>
        <v>103680</v>
      </c>
      <c r="V95" s="66">
        <f t="shared" si="77"/>
        <v>115200</v>
      </c>
      <c r="W95" s="66">
        <f t="shared" si="77"/>
        <v>126720</v>
      </c>
      <c r="X95" s="166">
        <v>1152000.0</v>
      </c>
      <c r="Y95" s="350">
        <v>750000.0</v>
      </c>
      <c r="Z95" s="437">
        <f t="shared" ref="Z95:Z97" si="79">X95/Y95-1</f>
        <v>0.536</v>
      </c>
      <c r="AA95" s="3"/>
      <c r="AB95" s="3"/>
      <c r="AC95" s="3"/>
      <c r="AD95" s="3"/>
      <c r="AE95" s="3"/>
    </row>
    <row r="96" ht="15.75" customHeight="1">
      <c r="A96" s="1"/>
      <c r="B96" s="105"/>
      <c r="C96" s="106"/>
      <c r="D96" s="107"/>
      <c r="E96" s="144"/>
      <c r="F96" s="109"/>
      <c r="G96" s="409"/>
      <c r="H96" s="111"/>
      <c r="I96" s="112"/>
      <c r="J96" s="50" t="s">
        <v>64</v>
      </c>
      <c r="K96" s="351">
        <v>30.0</v>
      </c>
      <c r="L96" s="81">
        <f t="shared" ref="L96:W96" si="78">L95/$K$96</f>
        <v>3456</v>
      </c>
      <c r="M96" s="81">
        <f t="shared" si="78"/>
        <v>2304</v>
      </c>
      <c r="N96" s="81">
        <f t="shared" si="78"/>
        <v>2688</v>
      </c>
      <c r="O96" s="81">
        <f t="shared" si="78"/>
        <v>2688</v>
      </c>
      <c r="P96" s="81">
        <f t="shared" si="78"/>
        <v>3072</v>
      </c>
      <c r="Q96" s="81">
        <f t="shared" si="78"/>
        <v>3072</v>
      </c>
      <c r="R96" s="81">
        <f t="shared" si="78"/>
        <v>3072</v>
      </c>
      <c r="S96" s="81">
        <f t="shared" si="78"/>
        <v>3072</v>
      </c>
      <c r="T96" s="81">
        <f t="shared" si="78"/>
        <v>3456</v>
      </c>
      <c r="U96" s="81">
        <f t="shared" si="78"/>
        <v>3456</v>
      </c>
      <c r="V96" s="81">
        <f t="shared" si="78"/>
        <v>3840</v>
      </c>
      <c r="W96" s="81">
        <f t="shared" si="78"/>
        <v>4224</v>
      </c>
      <c r="X96" s="352">
        <f t="shared" ref="X96:X97" si="81">SUM(L96:W96)</f>
        <v>38400</v>
      </c>
      <c r="Y96" s="353">
        <v>25000.0</v>
      </c>
      <c r="Z96" s="437">
        <f t="shared" si="79"/>
        <v>0.536</v>
      </c>
      <c r="AA96" s="3"/>
      <c r="AB96" s="3"/>
      <c r="AC96" s="3"/>
      <c r="AD96" s="3"/>
      <c r="AE96" s="3"/>
    </row>
    <row r="97" ht="15.75" customHeight="1">
      <c r="A97" s="1"/>
      <c r="B97" s="105"/>
      <c r="C97" s="106"/>
      <c r="D97" s="107"/>
      <c r="E97" s="144"/>
      <c r="F97" s="109"/>
      <c r="G97" s="409"/>
      <c r="H97" s="111"/>
      <c r="I97" s="112"/>
      <c r="J97" s="91" t="s">
        <v>66</v>
      </c>
      <c r="K97" s="361">
        <v>0.04</v>
      </c>
      <c r="L97" s="94">
        <f t="shared" ref="L97:W97" si="80">L95*$K$97</f>
        <v>4147.2</v>
      </c>
      <c r="M97" s="94">
        <f t="shared" si="80"/>
        <v>2764.8</v>
      </c>
      <c r="N97" s="94">
        <f t="shared" si="80"/>
        <v>3225.6</v>
      </c>
      <c r="O97" s="94">
        <f t="shared" si="80"/>
        <v>3225.6</v>
      </c>
      <c r="P97" s="94">
        <f t="shared" si="80"/>
        <v>3686.4</v>
      </c>
      <c r="Q97" s="94">
        <f t="shared" si="80"/>
        <v>3686.4</v>
      </c>
      <c r="R97" s="94">
        <f t="shared" si="80"/>
        <v>3686.4</v>
      </c>
      <c r="S97" s="94">
        <f t="shared" si="80"/>
        <v>3686.4</v>
      </c>
      <c r="T97" s="94">
        <f t="shared" si="80"/>
        <v>4147.2</v>
      </c>
      <c r="U97" s="94">
        <f t="shared" si="80"/>
        <v>4147.2</v>
      </c>
      <c r="V97" s="94">
        <f t="shared" si="80"/>
        <v>4608</v>
      </c>
      <c r="W97" s="94">
        <f t="shared" si="80"/>
        <v>5068.8</v>
      </c>
      <c r="X97" s="169">
        <f t="shared" si="81"/>
        <v>46080</v>
      </c>
      <c r="Y97" s="355">
        <v>30000.0</v>
      </c>
      <c r="Z97" s="435">
        <f t="shared" si="79"/>
        <v>0.536</v>
      </c>
      <c r="AA97" s="3"/>
      <c r="AB97" s="3"/>
      <c r="AC97" s="3"/>
      <c r="AD97" s="3"/>
      <c r="AE97" s="3"/>
    </row>
    <row r="98" ht="15.75" customHeight="1">
      <c r="G98" s="424"/>
      <c r="J98" s="425"/>
      <c r="K98" s="188"/>
      <c r="L98" s="15"/>
      <c r="M98" s="15"/>
      <c r="N98" s="15"/>
      <c r="O98" s="15"/>
      <c r="P98" s="15"/>
      <c r="Q98" s="160"/>
      <c r="R98" s="15"/>
      <c r="S98" s="15"/>
      <c r="T98" s="15"/>
      <c r="U98" s="15"/>
      <c r="V98" s="15"/>
      <c r="W98" s="15"/>
      <c r="X98" s="14"/>
      <c r="Y98" s="14"/>
      <c r="Z98" s="440"/>
      <c r="AA98" s="3"/>
      <c r="AB98" s="3"/>
      <c r="AC98" s="3"/>
      <c r="AD98" s="3"/>
      <c r="AE98" s="3"/>
    </row>
    <row r="99" ht="15.75" customHeight="1">
      <c r="A99" s="1"/>
      <c r="B99" s="422">
        <v>17.0</v>
      </c>
      <c r="C99" s="106" t="str">
        <f>J99</f>
        <v>OUTBACK (180)</v>
      </c>
      <c r="D99" s="107"/>
      <c r="E99" s="144"/>
      <c r="F99" s="109"/>
      <c r="G99" s="423"/>
      <c r="H99" s="191"/>
      <c r="I99" s="192"/>
      <c r="J99" s="405" t="s">
        <v>100</v>
      </c>
      <c r="K99" s="342"/>
      <c r="L99" s="344" t="s">
        <v>10</v>
      </c>
      <c r="M99" s="345" t="s">
        <v>14</v>
      </c>
      <c r="N99" s="344" t="s">
        <v>18</v>
      </c>
      <c r="O99" s="345" t="s">
        <v>22</v>
      </c>
      <c r="P99" s="344" t="s">
        <v>26</v>
      </c>
      <c r="Q99" s="345" t="s">
        <v>30</v>
      </c>
      <c r="R99" s="344" t="s">
        <v>34</v>
      </c>
      <c r="S99" s="345" t="s">
        <v>38</v>
      </c>
      <c r="T99" s="344" t="s">
        <v>42</v>
      </c>
      <c r="U99" s="345" t="s">
        <v>46</v>
      </c>
      <c r="V99" s="344" t="s">
        <v>50</v>
      </c>
      <c r="W99" s="345" t="s">
        <v>54</v>
      </c>
      <c r="X99" s="122">
        <v>2028.0</v>
      </c>
      <c r="Y99" s="346">
        <v>2027.0</v>
      </c>
      <c r="Z99" s="437"/>
      <c r="AA99" s="3"/>
      <c r="AB99" s="3"/>
      <c r="AC99" s="3"/>
      <c r="AD99" s="3"/>
      <c r="AE99" s="3"/>
    </row>
    <row r="100" ht="15.75" customHeight="1">
      <c r="A100" s="1"/>
      <c r="B100" s="105"/>
      <c r="C100" s="106"/>
      <c r="D100" s="107"/>
      <c r="E100" s="144"/>
      <c r="F100" s="109"/>
      <c r="G100" s="409"/>
      <c r="H100" s="111"/>
      <c r="I100" s="112"/>
      <c r="J100" s="50" t="s">
        <v>61</v>
      </c>
      <c r="K100" s="347"/>
      <c r="L100" s="348">
        <v>0.06</v>
      </c>
      <c r="M100" s="348">
        <v>0.05</v>
      </c>
      <c r="N100" s="348">
        <v>0.07</v>
      </c>
      <c r="O100" s="348">
        <v>0.07</v>
      </c>
      <c r="P100" s="348">
        <v>0.07</v>
      </c>
      <c r="Q100" s="348">
        <v>0.06</v>
      </c>
      <c r="R100" s="348">
        <v>0.06</v>
      </c>
      <c r="S100" s="348">
        <v>0.08</v>
      </c>
      <c r="T100" s="348">
        <v>0.1</v>
      </c>
      <c r="U100" s="348">
        <v>0.12</v>
      </c>
      <c r="V100" s="348">
        <v>0.12</v>
      </c>
      <c r="W100" s="348">
        <v>0.14</v>
      </c>
      <c r="X100" s="165">
        <f>SUM(L100:W100)</f>
        <v>1</v>
      </c>
      <c r="Y100" s="406">
        <v>1.0</v>
      </c>
      <c r="Z100" s="437"/>
      <c r="AA100" s="3"/>
      <c r="AB100" s="3"/>
      <c r="AC100" s="3"/>
      <c r="AD100" s="3"/>
      <c r="AE100" s="3"/>
    </row>
    <row r="101" ht="15.75" customHeight="1">
      <c r="A101" s="1"/>
      <c r="B101" s="105"/>
      <c r="C101" s="106"/>
      <c r="D101" s="107"/>
      <c r="E101" s="144"/>
      <c r="F101" s="109"/>
      <c r="G101" s="409"/>
      <c r="H101" s="111"/>
      <c r="I101" s="112"/>
      <c r="J101" s="50" t="s">
        <v>63</v>
      </c>
      <c r="K101" s="347"/>
      <c r="L101" s="66">
        <f t="shared" ref="L101:W101" si="82">($X$101*L100)</f>
        <v>7200000</v>
      </c>
      <c r="M101" s="66">
        <f t="shared" si="82"/>
        <v>6000000</v>
      </c>
      <c r="N101" s="66">
        <f t="shared" si="82"/>
        <v>8400000</v>
      </c>
      <c r="O101" s="66">
        <f t="shared" si="82"/>
        <v>8400000</v>
      </c>
      <c r="P101" s="66">
        <f t="shared" si="82"/>
        <v>8400000</v>
      </c>
      <c r="Q101" s="66">
        <f t="shared" si="82"/>
        <v>7200000</v>
      </c>
      <c r="R101" s="66">
        <f t="shared" si="82"/>
        <v>7200000</v>
      </c>
      <c r="S101" s="66">
        <f t="shared" si="82"/>
        <v>9600000</v>
      </c>
      <c r="T101" s="66">
        <f t="shared" si="82"/>
        <v>12000000</v>
      </c>
      <c r="U101" s="66">
        <f t="shared" si="82"/>
        <v>14400000</v>
      </c>
      <c r="V101" s="66">
        <f t="shared" si="82"/>
        <v>14400000</v>
      </c>
      <c r="W101" s="66">
        <f t="shared" si="82"/>
        <v>16800000</v>
      </c>
      <c r="X101" s="166">
        <v>1.2E8</v>
      </c>
      <c r="Y101" s="350">
        <v>6.0E7</v>
      </c>
      <c r="Z101" s="437">
        <f t="shared" ref="Z101:Z103" si="84">X101/Y101-1</f>
        <v>1</v>
      </c>
      <c r="AA101" s="3"/>
      <c r="AB101" s="3"/>
      <c r="AC101" s="3"/>
      <c r="AD101" s="3"/>
      <c r="AE101" s="3"/>
    </row>
    <row r="102" ht="15.75" customHeight="1">
      <c r="A102" s="1"/>
      <c r="B102" s="105"/>
      <c r="C102" s="106"/>
      <c r="D102" s="107"/>
      <c r="E102" s="144"/>
      <c r="F102" s="109"/>
      <c r="G102" s="409"/>
      <c r="H102" s="111"/>
      <c r="I102" s="112"/>
      <c r="J102" s="50" t="s">
        <v>64</v>
      </c>
      <c r="K102" s="351">
        <v>101.0</v>
      </c>
      <c r="L102" s="81">
        <f t="shared" ref="L102:W102" si="83">L101/$K$102</f>
        <v>71287.12871</v>
      </c>
      <c r="M102" s="81">
        <f t="shared" si="83"/>
        <v>59405.94059</v>
      </c>
      <c r="N102" s="81">
        <f t="shared" si="83"/>
        <v>83168.31683</v>
      </c>
      <c r="O102" s="81">
        <f t="shared" si="83"/>
        <v>83168.31683</v>
      </c>
      <c r="P102" s="81">
        <f t="shared" si="83"/>
        <v>83168.31683</v>
      </c>
      <c r="Q102" s="81">
        <f t="shared" si="83"/>
        <v>71287.12871</v>
      </c>
      <c r="R102" s="81">
        <f t="shared" si="83"/>
        <v>71287.12871</v>
      </c>
      <c r="S102" s="81">
        <f t="shared" si="83"/>
        <v>95049.50495</v>
      </c>
      <c r="T102" s="81">
        <f t="shared" si="83"/>
        <v>118811.8812</v>
      </c>
      <c r="U102" s="81">
        <f t="shared" si="83"/>
        <v>142574.2574</v>
      </c>
      <c r="V102" s="81">
        <f t="shared" si="83"/>
        <v>142574.2574</v>
      </c>
      <c r="W102" s="81">
        <f t="shared" si="83"/>
        <v>166336.6337</v>
      </c>
      <c r="X102" s="352">
        <f t="shared" ref="X102:X103" si="86">SUM(L102:W102)</f>
        <v>1188118.812</v>
      </c>
      <c r="Y102" s="353">
        <v>594059.405940594</v>
      </c>
      <c r="Z102" s="437">
        <f t="shared" si="84"/>
        <v>1</v>
      </c>
      <c r="AA102" s="3"/>
      <c r="AB102" s="3"/>
      <c r="AC102" s="3"/>
      <c r="AD102" s="3"/>
      <c r="AE102" s="3"/>
    </row>
    <row r="103" ht="15.75" customHeight="1">
      <c r="A103" s="1"/>
      <c r="B103" s="105"/>
      <c r="C103" s="106"/>
      <c r="D103" s="107"/>
      <c r="E103" s="144"/>
      <c r="F103" s="109"/>
      <c r="G103" s="409"/>
      <c r="H103" s="111"/>
      <c r="I103" s="112"/>
      <c r="J103" s="91" t="s">
        <v>66</v>
      </c>
      <c r="K103" s="361"/>
      <c r="L103" s="94">
        <f t="shared" ref="L103:W103" si="85">IF(L102=0, 0,
  MIN(L102, 10000) * 4 +
  MAX(0, MIN(L102, 20000) - 10000) * 3 +
  MAX(0, MIN(L102, 40000) - 20000) * 2 +
  MAX(0, MIN(L102, 80000) - 40000) * 1 +
  MAX(0, MIN(L102, 100000) - 80000) * 0.5 +
  MAX(0, L102 - 100000) * 0.25
)</f>
        <v>141287.1287</v>
      </c>
      <c r="M103" s="94">
        <f t="shared" si="85"/>
        <v>129405.9406</v>
      </c>
      <c r="N103" s="94">
        <f t="shared" si="85"/>
        <v>151584.1584</v>
      </c>
      <c r="O103" s="94">
        <f t="shared" si="85"/>
        <v>151584.1584</v>
      </c>
      <c r="P103" s="94">
        <f t="shared" si="85"/>
        <v>151584.1584</v>
      </c>
      <c r="Q103" s="94">
        <f t="shared" si="85"/>
        <v>141287.1287</v>
      </c>
      <c r="R103" s="94">
        <f t="shared" si="85"/>
        <v>141287.1287</v>
      </c>
      <c r="S103" s="94">
        <f t="shared" si="85"/>
        <v>157524.7525</v>
      </c>
      <c r="T103" s="94">
        <f t="shared" si="85"/>
        <v>164702.9703</v>
      </c>
      <c r="U103" s="94">
        <f t="shared" si="85"/>
        <v>170643.5644</v>
      </c>
      <c r="V103" s="94">
        <f t="shared" si="85"/>
        <v>170643.5644</v>
      </c>
      <c r="W103" s="94">
        <f t="shared" si="85"/>
        <v>176584.1584</v>
      </c>
      <c r="X103" s="169">
        <f t="shared" si="86"/>
        <v>1848118.812</v>
      </c>
      <c r="Y103" s="355">
        <v>1409108.9108910894</v>
      </c>
      <c r="Z103" s="435">
        <f t="shared" si="84"/>
        <v>0.3115514334</v>
      </c>
      <c r="AA103" s="3"/>
      <c r="AB103" s="3"/>
      <c r="AC103" s="3"/>
      <c r="AD103" s="3"/>
      <c r="AE103" s="3"/>
    </row>
    <row r="104" ht="15.75" customHeight="1">
      <c r="G104" s="424"/>
      <c r="J104" s="425"/>
      <c r="K104" s="188"/>
      <c r="L104" s="15"/>
      <c r="M104" s="15"/>
      <c r="N104" s="15"/>
      <c r="O104" s="15"/>
      <c r="P104" s="15"/>
      <c r="Q104" s="160"/>
      <c r="R104" s="15"/>
      <c r="S104" s="15"/>
      <c r="T104" s="15"/>
      <c r="U104" s="15"/>
      <c r="V104" s="15"/>
      <c r="W104" s="15"/>
      <c r="X104" s="14"/>
      <c r="Y104" s="14"/>
      <c r="Z104" s="440"/>
      <c r="AA104" s="3"/>
      <c r="AB104" s="3"/>
      <c r="AC104" s="3"/>
      <c r="AD104" s="3"/>
      <c r="AE104" s="3"/>
    </row>
    <row r="105" ht="15.75" customHeight="1">
      <c r="A105" s="1"/>
      <c r="B105" s="422">
        <v>18.0</v>
      </c>
      <c r="C105" s="106" t="str">
        <f>J105</f>
        <v>NINETTO</v>
      </c>
      <c r="D105" s="107"/>
      <c r="E105" s="144"/>
      <c r="F105" s="109"/>
      <c r="G105" s="423"/>
      <c r="H105" s="191"/>
      <c r="I105" s="192"/>
      <c r="J105" s="405" t="s">
        <v>101</v>
      </c>
      <c r="K105" s="342"/>
      <c r="L105" s="344" t="s">
        <v>10</v>
      </c>
      <c r="M105" s="345" t="s">
        <v>14</v>
      </c>
      <c r="N105" s="344" t="s">
        <v>18</v>
      </c>
      <c r="O105" s="345" t="s">
        <v>22</v>
      </c>
      <c r="P105" s="344" t="s">
        <v>26</v>
      </c>
      <c r="Q105" s="345" t="s">
        <v>30</v>
      </c>
      <c r="R105" s="344" t="s">
        <v>34</v>
      </c>
      <c r="S105" s="345" t="s">
        <v>38</v>
      </c>
      <c r="T105" s="344" t="s">
        <v>42</v>
      </c>
      <c r="U105" s="345" t="s">
        <v>46</v>
      </c>
      <c r="V105" s="344" t="s">
        <v>50</v>
      </c>
      <c r="W105" s="345" t="s">
        <v>54</v>
      </c>
      <c r="X105" s="122">
        <v>2028.0</v>
      </c>
      <c r="Y105" s="346">
        <v>2027.0</v>
      </c>
      <c r="Z105" s="437"/>
      <c r="AA105" s="3"/>
      <c r="AB105" s="3"/>
      <c r="AC105" s="3"/>
      <c r="AD105" s="3"/>
      <c r="AE105" s="3"/>
    </row>
    <row r="106" ht="15.75" customHeight="1">
      <c r="A106" s="1"/>
      <c r="B106" s="105"/>
      <c r="C106" s="106"/>
      <c r="D106" s="107"/>
      <c r="E106" s="144"/>
      <c r="F106" s="109"/>
      <c r="G106" s="409"/>
      <c r="H106" s="111"/>
      <c r="I106" s="112"/>
      <c r="J106" s="50" t="s">
        <v>61</v>
      </c>
      <c r="K106" s="347"/>
      <c r="L106" s="348">
        <v>0.01</v>
      </c>
      <c r="M106" s="348">
        <v>0.02</v>
      </c>
      <c r="N106" s="348">
        <v>0.03</v>
      </c>
      <c r="O106" s="348">
        <v>0.04</v>
      </c>
      <c r="P106" s="348">
        <v>0.05</v>
      </c>
      <c r="Q106" s="348">
        <v>0.07</v>
      </c>
      <c r="R106" s="348">
        <v>0.08</v>
      </c>
      <c r="S106" s="348">
        <v>0.1</v>
      </c>
      <c r="T106" s="348">
        <v>0.12</v>
      </c>
      <c r="U106" s="348">
        <v>0.14</v>
      </c>
      <c r="V106" s="348">
        <v>0.16</v>
      </c>
      <c r="W106" s="348">
        <v>0.18</v>
      </c>
      <c r="X106" s="165">
        <f>SUM(L106:W106)</f>
        <v>1</v>
      </c>
      <c r="Y106" s="406">
        <v>1.0</v>
      </c>
      <c r="Z106" s="437"/>
      <c r="AA106" s="3"/>
      <c r="AB106" s="3"/>
      <c r="AC106" s="3"/>
      <c r="AD106" s="3"/>
      <c r="AE106" s="3"/>
    </row>
    <row r="107" ht="15.75" customHeight="1">
      <c r="A107" s="1"/>
      <c r="B107" s="105"/>
      <c r="C107" s="106"/>
      <c r="D107" s="107"/>
      <c r="E107" s="144"/>
      <c r="F107" s="109"/>
      <c r="G107" s="409"/>
      <c r="H107" s="111"/>
      <c r="I107" s="112"/>
      <c r="J107" s="50" t="s">
        <v>63</v>
      </c>
      <c r="K107" s="347"/>
      <c r="L107" s="66">
        <f t="shared" ref="L107:W107" si="87">$X$107*L106</f>
        <v>20000</v>
      </c>
      <c r="M107" s="66">
        <f t="shared" si="87"/>
        <v>40000</v>
      </c>
      <c r="N107" s="66">
        <f t="shared" si="87"/>
        <v>60000</v>
      </c>
      <c r="O107" s="66">
        <f t="shared" si="87"/>
        <v>80000</v>
      </c>
      <c r="P107" s="66">
        <f t="shared" si="87"/>
        <v>100000</v>
      </c>
      <c r="Q107" s="66">
        <f t="shared" si="87"/>
        <v>140000</v>
      </c>
      <c r="R107" s="66">
        <f t="shared" si="87"/>
        <v>160000</v>
      </c>
      <c r="S107" s="66">
        <f t="shared" si="87"/>
        <v>200000</v>
      </c>
      <c r="T107" s="66">
        <f t="shared" si="87"/>
        <v>240000</v>
      </c>
      <c r="U107" s="66">
        <f t="shared" si="87"/>
        <v>280000</v>
      </c>
      <c r="V107" s="66">
        <f t="shared" si="87"/>
        <v>320000</v>
      </c>
      <c r="W107" s="66">
        <f t="shared" si="87"/>
        <v>360000</v>
      </c>
      <c r="X107" s="166">
        <v>2000000.0</v>
      </c>
      <c r="Y107" s="350">
        <v>500000.0</v>
      </c>
      <c r="Z107" s="437">
        <f t="shared" ref="Z107:Z109" si="89">X107/Y107-1</f>
        <v>3</v>
      </c>
      <c r="AA107" s="3"/>
      <c r="AB107" s="3"/>
      <c r="AC107" s="3"/>
      <c r="AD107" s="3"/>
      <c r="AE107" s="3"/>
    </row>
    <row r="108" ht="15.75" customHeight="1">
      <c r="A108" s="1"/>
      <c r="B108" s="105"/>
      <c r="C108" s="106"/>
      <c r="D108" s="107"/>
      <c r="E108" s="144"/>
      <c r="F108" s="109"/>
      <c r="G108" s="409"/>
      <c r="H108" s="111"/>
      <c r="I108" s="112"/>
      <c r="J108" s="50" t="s">
        <v>64</v>
      </c>
      <c r="K108" s="351">
        <v>120.0</v>
      </c>
      <c r="L108" s="81">
        <f t="shared" ref="L108:W108" si="88">L107/$K$102</f>
        <v>198.019802</v>
      </c>
      <c r="M108" s="81">
        <f t="shared" si="88"/>
        <v>396.039604</v>
      </c>
      <c r="N108" s="81">
        <f t="shared" si="88"/>
        <v>594.0594059</v>
      </c>
      <c r="O108" s="81">
        <f t="shared" si="88"/>
        <v>792.0792079</v>
      </c>
      <c r="P108" s="81">
        <f t="shared" si="88"/>
        <v>990.0990099</v>
      </c>
      <c r="Q108" s="81">
        <f t="shared" si="88"/>
        <v>1386.138614</v>
      </c>
      <c r="R108" s="81">
        <f t="shared" si="88"/>
        <v>1584.158416</v>
      </c>
      <c r="S108" s="81">
        <f t="shared" si="88"/>
        <v>1980.19802</v>
      </c>
      <c r="T108" s="81">
        <f t="shared" si="88"/>
        <v>2376.237624</v>
      </c>
      <c r="U108" s="81">
        <f t="shared" si="88"/>
        <v>2772.277228</v>
      </c>
      <c r="V108" s="81">
        <f t="shared" si="88"/>
        <v>3168.316832</v>
      </c>
      <c r="W108" s="81">
        <f t="shared" si="88"/>
        <v>3564.356436</v>
      </c>
      <c r="X108" s="352">
        <f t="shared" ref="X108:X109" si="91">SUM(L108:W108)</f>
        <v>19801.9802</v>
      </c>
      <c r="Y108" s="353">
        <v>4950.495049504951</v>
      </c>
      <c r="Z108" s="437">
        <f t="shared" si="89"/>
        <v>3</v>
      </c>
      <c r="AA108" s="3"/>
      <c r="AB108" s="3"/>
      <c r="AC108" s="3"/>
      <c r="AD108" s="3"/>
      <c r="AE108" s="3"/>
    </row>
    <row r="109" ht="15.75" customHeight="1">
      <c r="A109" s="1"/>
      <c r="B109" s="105"/>
      <c r="C109" s="106"/>
      <c r="D109" s="107"/>
      <c r="E109" s="144"/>
      <c r="F109" s="109"/>
      <c r="G109" s="409"/>
      <c r="H109" s="111"/>
      <c r="I109" s="112"/>
      <c r="J109" s="91" t="s">
        <v>66</v>
      </c>
      <c r="K109" s="361">
        <v>0.045</v>
      </c>
      <c r="L109" s="94">
        <f t="shared" ref="L109:W109" si="90">IF(L108=0, 0,
  MIN(L108, 10000) * 4 +
  MAX(0, MIN(L108, 20000) - 10000) * 3 +
  MAX(0, MIN(L108, 40000) - 20000) * 2 +
  MAX(0, MIN(L108, 80000) - 40000) * 1 +
  MAX(0, MIN(L108, 100000) - 80000) * 0.5 +
  MAX(0, L108 - 100000) * 0.25
)</f>
        <v>792.0792079</v>
      </c>
      <c r="M109" s="94">
        <f t="shared" si="90"/>
        <v>1584.158416</v>
      </c>
      <c r="N109" s="94">
        <f t="shared" si="90"/>
        <v>2376.237624</v>
      </c>
      <c r="O109" s="94">
        <f t="shared" si="90"/>
        <v>3168.316832</v>
      </c>
      <c r="P109" s="94">
        <f t="shared" si="90"/>
        <v>3960.39604</v>
      </c>
      <c r="Q109" s="94">
        <f t="shared" si="90"/>
        <v>5544.554455</v>
      </c>
      <c r="R109" s="94">
        <f t="shared" si="90"/>
        <v>6336.633663</v>
      </c>
      <c r="S109" s="94">
        <f t="shared" si="90"/>
        <v>7920.792079</v>
      </c>
      <c r="T109" s="94">
        <f t="shared" si="90"/>
        <v>9504.950495</v>
      </c>
      <c r="U109" s="94">
        <f t="shared" si="90"/>
        <v>11089.10891</v>
      </c>
      <c r="V109" s="94">
        <f t="shared" si="90"/>
        <v>12673.26733</v>
      </c>
      <c r="W109" s="94">
        <f t="shared" si="90"/>
        <v>14257.42574</v>
      </c>
      <c r="X109" s="169">
        <f t="shared" si="91"/>
        <v>79207.92079</v>
      </c>
      <c r="Y109" s="355">
        <v>19801.980198019803</v>
      </c>
      <c r="Z109" s="435">
        <f t="shared" si="89"/>
        <v>3</v>
      </c>
      <c r="AA109" s="3"/>
      <c r="AB109" s="3"/>
      <c r="AC109" s="3"/>
      <c r="AD109" s="3"/>
      <c r="AE109" s="3"/>
    </row>
    <row r="110" ht="15.75" customHeight="1">
      <c r="G110" s="424"/>
      <c r="J110" s="425"/>
      <c r="K110" s="188"/>
      <c r="L110" s="15"/>
      <c r="M110" s="15"/>
      <c r="N110" s="15"/>
      <c r="O110" s="15"/>
      <c r="P110" s="15"/>
      <c r="Q110" s="160"/>
      <c r="R110" s="15"/>
      <c r="S110" s="15"/>
      <c r="T110" s="15"/>
      <c r="U110" s="15"/>
      <c r="V110" s="15"/>
      <c r="W110" s="15"/>
      <c r="X110" s="14"/>
      <c r="Y110" s="14"/>
      <c r="Z110" s="440"/>
      <c r="AA110" s="3"/>
      <c r="AB110" s="3"/>
      <c r="AC110" s="3"/>
      <c r="AD110" s="3"/>
      <c r="AE110" s="3"/>
    </row>
    <row r="111" ht="15.75" customHeight="1">
      <c r="A111" s="1"/>
      <c r="B111" s="422">
        <v>19.0</v>
      </c>
      <c r="C111" s="106" t="str">
        <f>J111</f>
        <v>NINO CUCINA</v>
      </c>
      <c r="D111" s="107"/>
      <c r="E111" s="144"/>
      <c r="F111" s="109"/>
      <c r="G111" s="423"/>
      <c r="H111" s="191"/>
      <c r="I111" s="192"/>
      <c r="J111" s="405" t="s">
        <v>122</v>
      </c>
      <c r="K111" s="342"/>
      <c r="L111" s="344" t="s">
        <v>10</v>
      </c>
      <c r="M111" s="345" t="s">
        <v>14</v>
      </c>
      <c r="N111" s="344" t="s">
        <v>18</v>
      </c>
      <c r="O111" s="345" t="s">
        <v>22</v>
      </c>
      <c r="P111" s="344" t="s">
        <v>26</v>
      </c>
      <c r="Q111" s="345" t="s">
        <v>30</v>
      </c>
      <c r="R111" s="344" t="s">
        <v>34</v>
      </c>
      <c r="S111" s="345" t="s">
        <v>38</v>
      </c>
      <c r="T111" s="344" t="s">
        <v>42</v>
      </c>
      <c r="U111" s="345" t="s">
        <v>46</v>
      </c>
      <c r="V111" s="344" t="s">
        <v>50</v>
      </c>
      <c r="W111" s="345" t="s">
        <v>54</v>
      </c>
      <c r="X111" s="122">
        <v>2028.0</v>
      </c>
      <c r="Y111" s="346">
        <v>2027.0</v>
      </c>
      <c r="Z111" s="437"/>
      <c r="AA111" s="3"/>
      <c r="AB111" s="3"/>
      <c r="AC111" s="3"/>
      <c r="AD111" s="3"/>
      <c r="AE111" s="3"/>
    </row>
    <row r="112" ht="15.75" customHeight="1">
      <c r="A112" s="1"/>
      <c r="B112" s="105"/>
      <c r="C112" s="106"/>
      <c r="D112" s="107"/>
      <c r="E112" s="144"/>
      <c r="F112" s="109"/>
      <c r="G112" s="409"/>
      <c r="H112" s="111"/>
      <c r="I112" s="112"/>
      <c r="J112" s="50" t="s">
        <v>61</v>
      </c>
      <c r="K112" s="347"/>
      <c r="L112" s="348"/>
      <c r="M112" s="348">
        <v>0.01</v>
      </c>
      <c r="N112" s="348">
        <v>0.02</v>
      </c>
      <c r="O112" s="348">
        <v>0.03</v>
      </c>
      <c r="P112" s="348">
        <v>0.05</v>
      </c>
      <c r="Q112" s="348">
        <v>0.07</v>
      </c>
      <c r="R112" s="348">
        <v>0.08</v>
      </c>
      <c r="S112" s="348">
        <v>0.1</v>
      </c>
      <c r="T112" s="348">
        <v>0.12</v>
      </c>
      <c r="U112" s="348">
        <v>0.14</v>
      </c>
      <c r="V112" s="348">
        <v>0.18</v>
      </c>
      <c r="W112" s="348">
        <v>0.2</v>
      </c>
      <c r="X112" s="165">
        <f>SUM(L112:W112)</f>
        <v>1</v>
      </c>
      <c r="Y112" s="406">
        <v>1.0</v>
      </c>
      <c r="Z112" s="437"/>
      <c r="AA112" s="3"/>
      <c r="AB112" s="3"/>
      <c r="AC112" s="3"/>
      <c r="AD112" s="3"/>
      <c r="AE112" s="3"/>
    </row>
    <row r="113" ht="15.75" customHeight="1">
      <c r="A113" s="1"/>
      <c r="B113" s="105"/>
      <c r="C113" s="106"/>
      <c r="D113" s="107"/>
      <c r="E113" s="144"/>
      <c r="F113" s="109"/>
      <c r="G113" s="409"/>
      <c r="H113" s="111"/>
      <c r="I113" s="112"/>
      <c r="J113" s="50" t="s">
        <v>63</v>
      </c>
      <c r="K113" s="347"/>
      <c r="L113" s="66">
        <f t="shared" ref="L113:W113" si="92">$X$113*L112</f>
        <v>0</v>
      </c>
      <c r="M113" s="66">
        <f t="shared" si="92"/>
        <v>50000</v>
      </c>
      <c r="N113" s="66">
        <f t="shared" si="92"/>
        <v>100000</v>
      </c>
      <c r="O113" s="66">
        <f t="shared" si="92"/>
        <v>150000</v>
      </c>
      <c r="P113" s="66">
        <f t="shared" si="92"/>
        <v>250000</v>
      </c>
      <c r="Q113" s="66">
        <f t="shared" si="92"/>
        <v>350000</v>
      </c>
      <c r="R113" s="66">
        <f t="shared" si="92"/>
        <v>400000</v>
      </c>
      <c r="S113" s="66">
        <f t="shared" si="92"/>
        <v>500000</v>
      </c>
      <c r="T113" s="66">
        <f t="shared" si="92"/>
        <v>600000</v>
      </c>
      <c r="U113" s="66">
        <f t="shared" si="92"/>
        <v>700000</v>
      </c>
      <c r="V113" s="66">
        <f t="shared" si="92"/>
        <v>900000</v>
      </c>
      <c r="W113" s="66">
        <f t="shared" si="92"/>
        <v>1000000</v>
      </c>
      <c r="X113" s="166">
        <v>5000000.0</v>
      </c>
      <c r="Y113" s="350">
        <v>2016000.0</v>
      </c>
      <c r="Z113" s="437">
        <f t="shared" ref="Z113:Z115" si="94">X113/Y113-1</f>
        <v>1.48015873</v>
      </c>
      <c r="AA113" s="3"/>
      <c r="AB113" s="3"/>
      <c r="AC113" s="3"/>
      <c r="AD113" s="3"/>
      <c r="AE113" s="3"/>
    </row>
    <row r="114" ht="15.75" customHeight="1">
      <c r="A114" s="1"/>
      <c r="B114" s="105"/>
      <c r="C114" s="106"/>
      <c r="D114" s="107"/>
      <c r="E114" s="144"/>
      <c r="F114" s="109"/>
      <c r="G114" s="409"/>
      <c r="H114" s="111"/>
      <c r="I114" s="112"/>
      <c r="J114" s="50" t="s">
        <v>64</v>
      </c>
      <c r="K114" s="351">
        <v>160.0</v>
      </c>
      <c r="L114" s="81">
        <f t="shared" ref="L114:W114" si="93">L113/$K$102</f>
        <v>0</v>
      </c>
      <c r="M114" s="81">
        <f t="shared" si="93"/>
        <v>495.049505</v>
      </c>
      <c r="N114" s="81">
        <f t="shared" si="93"/>
        <v>990.0990099</v>
      </c>
      <c r="O114" s="81">
        <f t="shared" si="93"/>
        <v>1485.148515</v>
      </c>
      <c r="P114" s="81">
        <f t="shared" si="93"/>
        <v>2475.247525</v>
      </c>
      <c r="Q114" s="81">
        <f t="shared" si="93"/>
        <v>3465.346535</v>
      </c>
      <c r="R114" s="81">
        <f t="shared" si="93"/>
        <v>3960.39604</v>
      </c>
      <c r="S114" s="81">
        <f t="shared" si="93"/>
        <v>4950.49505</v>
      </c>
      <c r="T114" s="81">
        <f t="shared" si="93"/>
        <v>5940.594059</v>
      </c>
      <c r="U114" s="81">
        <f t="shared" si="93"/>
        <v>6930.693069</v>
      </c>
      <c r="V114" s="81">
        <f t="shared" si="93"/>
        <v>8910.891089</v>
      </c>
      <c r="W114" s="81">
        <f t="shared" si="93"/>
        <v>9900.990099</v>
      </c>
      <c r="X114" s="352">
        <f t="shared" ref="X114:X115" si="96">SUM(L114:W114)</f>
        <v>49504.9505</v>
      </c>
      <c r="Y114" s="353">
        <v>19960.396039603962</v>
      </c>
      <c r="Z114" s="437">
        <f t="shared" si="94"/>
        <v>1.48015873</v>
      </c>
      <c r="AA114" s="3"/>
      <c r="AB114" s="3"/>
      <c r="AC114" s="3"/>
      <c r="AD114" s="3"/>
      <c r="AE114" s="3"/>
    </row>
    <row r="115" ht="15.75" customHeight="1">
      <c r="A115" s="1"/>
      <c r="B115" s="105"/>
      <c r="C115" s="106"/>
      <c r="D115" s="107"/>
      <c r="E115" s="144"/>
      <c r="F115" s="109"/>
      <c r="G115" s="409"/>
      <c r="H115" s="111"/>
      <c r="I115" s="112"/>
      <c r="J115" s="91" t="s">
        <v>66</v>
      </c>
      <c r="K115" s="361">
        <v>0.045</v>
      </c>
      <c r="L115" s="94">
        <f t="shared" ref="L115:W115" si="95">IF(L114=0, 0,
  MIN(L114, 10000) * 4 +
  MAX(0, MIN(L114, 20000) - 10000) * 3 +
  MAX(0, MIN(L114, 40000) - 20000) * 2 +
  MAX(0, MIN(L114, 80000) - 40000) * 1 +
  MAX(0, MIN(L114, 100000) - 80000) * 0.5 +
  MAX(0, L114 - 100000) * 0.25
)</f>
        <v>0</v>
      </c>
      <c r="M115" s="94">
        <f t="shared" si="95"/>
        <v>1980.19802</v>
      </c>
      <c r="N115" s="94">
        <f t="shared" si="95"/>
        <v>3960.39604</v>
      </c>
      <c r="O115" s="94">
        <f t="shared" si="95"/>
        <v>5940.594059</v>
      </c>
      <c r="P115" s="94">
        <f t="shared" si="95"/>
        <v>9900.990099</v>
      </c>
      <c r="Q115" s="94">
        <f t="shared" si="95"/>
        <v>13861.38614</v>
      </c>
      <c r="R115" s="94">
        <f t="shared" si="95"/>
        <v>15841.58416</v>
      </c>
      <c r="S115" s="94">
        <f t="shared" si="95"/>
        <v>19801.9802</v>
      </c>
      <c r="T115" s="94">
        <f t="shared" si="95"/>
        <v>23762.37624</v>
      </c>
      <c r="U115" s="94">
        <f t="shared" si="95"/>
        <v>27722.77228</v>
      </c>
      <c r="V115" s="94">
        <f t="shared" si="95"/>
        <v>35643.56436</v>
      </c>
      <c r="W115" s="94">
        <f t="shared" si="95"/>
        <v>39603.9604</v>
      </c>
      <c r="X115" s="169">
        <f t="shared" si="96"/>
        <v>198019.802</v>
      </c>
      <c r="Y115" s="355">
        <v>79841.58415841585</v>
      </c>
      <c r="Z115" s="435">
        <f t="shared" si="94"/>
        <v>1.48015873</v>
      </c>
      <c r="AA115" s="3"/>
      <c r="AB115" s="3"/>
      <c r="AC115" s="3"/>
      <c r="AD115" s="3"/>
      <c r="AE115" s="3"/>
    </row>
    <row r="116" ht="15.75" customHeight="1">
      <c r="G116" s="424"/>
      <c r="J116" s="425"/>
      <c r="K116" s="188"/>
      <c r="L116" s="15"/>
      <c r="M116" s="15"/>
      <c r="N116" s="15"/>
      <c r="O116" s="15"/>
      <c r="P116" s="15"/>
      <c r="Q116" s="160"/>
      <c r="R116" s="15"/>
      <c r="S116" s="15"/>
      <c r="T116" s="15"/>
      <c r="U116" s="15"/>
      <c r="V116" s="15"/>
      <c r="W116" s="15"/>
      <c r="X116" s="14"/>
      <c r="Y116" s="14"/>
      <c r="Z116" s="439"/>
      <c r="AA116" s="3"/>
      <c r="AB116" s="3"/>
      <c r="AC116" s="3"/>
      <c r="AD116" s="3"/>
      <c r="AE116" s="3"/>
    </row>
    <row r="117" ht="15.75" customHeight="1">
      <c r="A117" s="1"/>
      <c r="B117" s="422">
        <v>20.0</v>
      </c>
      <c r="C117" s="106" t="str">
        <f>J117</f>
        <v>TATU BOLA</v>
      </c>
      <c r="D117" s="107"/>
      <c r="E117" s="144"/>
      <c r="F117" s="109"/>
      <c r="G117" s="423"/>
      <c r="H117" s="191"/>
      <c r="I117" s="192"/>
      <c r="J117" s="405" t="s">
        <v>123</v>
      </c>
      <c r="K117" s="342"/>
      <c r="L117" s="344" t="s">
        <v>10</v>
      </c>
      <c r="M117" s="345" t="s">
        <v>14</v>
      </c>
      <c r="N117" s="344" t="s">
        <v>18</v>
      </c>
      <c r="O117" s="345" t="s">
        <v>22</v>
      </c>
      <c r="P117" s="344" t="s">
        <v>26</v>
      </c>
      <c r="Q117" s="345" t="s">
        <v>30</v>
      </c>
      <c r="R117" s="344" t="s">
        <v>34</v>
      </c>
      <c r="S117" s="345" t="s">
        <v>38</v>
      </c>
      <c r="T117" s="344" t="s">
        <v>42</v>
      </c>
      <c r="U117" s="345" t="s">
        <v>46</v>
      </c>
      <c r="V117" s="344" t="s">
        <v>50</v>
      </c>
      <c r="W117" s="345" t="s">
        <v>54</v>
      </c>
      <c r="X117" s="122">
        <v>2028.0</v>
      </c>
      <c r="Y117" s="346">
        <v>2027.0</v>
      </c>
      <c r="Z117" s="437"/>
      <c r="AA117" s="3"/>
      <c r="AB117" s="3"/>
      <c r="AC117" s="3"/>
      <c r="AD117" s="3"/>
      <c r="AE117" s="3"/>
    </row>
    <row r="118" ht="15.75" customHeight="1">
      <c r="A118" s="1"/>
      <c r="B118" s="105"/>
      <c r="C118" s="106"/>
      <c r="D118" s="107"/>
      <c r="E118" s="144"/>
      <c r="F118" s="109"/>
      <c r="G118" s="409"/>
      <c r="H118" s="111"/>
      <c r="I118" s="112"/>
      <c r="J118" s="50" t="s">
        <v>61</v>
      </c>
      <c r="K118" s="347"/>
      <c r="L118" s="348"/>
      <c r="M118" s="348">
        <v>0.01</v>
      </c>
      <c r="N118" s="348">
        <v>0.02</v>
      </c>
      <c r="O118" s="348">
        <v>0.03</v>
      </c>
      <c r="P118" s="348">
        <v>0.05</v>
      </c>
      <c r="Q118" s="348">
        <v>0.07</v>
      </c>
      <c r="R118" s="348">
        <v>0.08</v>
      </c>
      <c r="S118" s="348">
        <v>0.1</v>
      </c>
      <c r="T118" s="348">
        <v>0.12</v>
      </c>
      <c r="U118" s="348">
        <v>0.14</v>
      </c>
      <c r="V118" s="348">
        <v>0.18</v>
      </c>
      <c r="W118" s="348">
        <v>0.2</v>
      </c>
      <c r="X118" s="165">
        <f>SUM(L118:W118)</f>
        <v>1</v>
      </c>
      <c r="Y118" s="406">
        <v>1.0</v>
      </c>
      <c r="Z118" s="437"/>
      <c r="AA118" s="3"/>
      <c r="AB118" s="3"/>
      <c r="AC118" s="3"/>
      <c r="AD118" s="3"/>
      <c r="AE118" s="3"/>
    </row>
    <row r="119" ht="15.75" customHeight="1">
      <c r="A119" s="1"/>
      <c r="B119" s="105"/>
      <c r="C119" s="106"/>
      <c r="D119" s="107"/>
      <c r="E119" s="144"/>
      <c r="F119" s="109"/>
      <c r="G119" s="409"/>
      <c r="H119" s="111"/>
      <c r="I119" s="112"/>
      <c r="J119" s="50" t="s">
        <v>63</v>
      </c>
      <c r="K119" s="347"/>
      <c r="L119" s="66">
        <f t="shared" ref="L119:W119" si="97">L118*$X$119</f>
        <v>0</v>
      </c>
      <c r="M119" s="66">
        <f t="shared" si="97"/>
        <v>20000</v>
      </c>
      <c r="N119" s="66">
        <f t="shared" si="97"/>
        <v>40000</v>
      </c>
      <c r="O119" s="66">
        <f t="shared" si="97"/>
        <v>60000</v>
      </c>
      <c r="P119" s="66">
        <f t="shared" si="97"/>
        <v>100000</v>
      </c>
      <c r="Q119" s="66">
        <f t="shared" si="97"/>
        <v>140000</v>
      </c>
      <c r="R119" s="66">
        <f t="shared" si="97"/>
        <v>160000</v>
      </c>
      <c r="S119" s="66">
        <f t="shared" si="97"/>
        <v>200000</v>
      </c>
      <c r="T119" s="66">
        <f t="shared" si="97"/>
        <v>240000</v>
      </c>
      <c r="U119" s="66">
        <f t="shared" si="97"/>
        <v>280000</v>
      </c>
      <c r="V119" s="66">
        <f t="shared" si="97"/>
        <v>360000</v>
      </c>
      <c r="W119" s="66">
        <f t="shared" si="97"/>
        <v>400000</v>
      </c>
      <c r="X119" s="166">
        <v>2000000.0</v>
      </c>
      <c r="Y119" s="350">
        <v>105000.0</v>
      </c>
      <c r="Z119" s="437">
        <f t="shared" ref="Z119:Z121" si="99">X119/Y119-1</f>
        <v>18.04761905</v>
      </c>
      <c r="AA119" s="3"/>
      <c r="AB119" s="3"/>
      <c r="AC119" s="3"/>
      <c r="AD119" s="3"/>
      <c r="AE119" s="3"/>
    </row>
    <row r="120" ht="15.75" customHeight="1">
      <c r="A120" s="1"/>
      <c r="B120" s="105"/>
      <c r="C120" s="106"/>
      <c r="D120" s="107"/>
      <c r="E120" s="144"/>
      <c r="F120" s="109"/>
      <c r="G120" s="409"/>
      <c r="H120" s="111"/>
      <c r="I120" s="112"/>
      <c r="J120" s="50" t="s">
        <v>64</v>
      </c>
      <c r="K120" s="351">
        <v>65.0</v>
      </c>
      <c r="L120" s="81">
        <f t="shared" ref="L120:W120" si="98">L119/$K$102</f>
        <v>0</v>
      </c>
      <c r="M120" s="81">
        <f t="shared" si="98"/>
        <v>198.019802</v>
      </c>
      <c r="N120" s="81">
        <f t="shared" si="98"/>
        <v>396.039604</v>
      </c>
      <c r="O120" s="81">
        <f t="shared" si="98"/>
        <v>594.0594059</v>
      </c>
      <c r="P120" s="81">
        <f t="shared" si="98"/>
        <v>990.0990099</v>
      </c>
      <c r="Q120" s="81">
        <f t="shared" si="98"/>
        <v>1386.138614</v>
      </c>
      <c r="R120" s="81">
        <f t="shared" si="98"/>
        <v>1584.158416</v>
      </c>
      <c r="S120" s="81">
        <f t="shared" si="98"/>
        <v>1980.19802</v>
      </c>
      <c r="T120" s="81">
        <f t="shared" si="98"/>
        <v>2376.237624</v>
      </c>
      <c r="U120" s="81">
        <f t="shared" si="98"/>
        <v>2772.277228</v>
      </c>
      <c r="V120" s="81">
        <f t="shared" si="98"/>
        <v>3564.356436</v>
      </c>
      <c r="W120" s="81">
        <f t="shared" si="98"/>
        <v>3960.39604</v>
      </c>
      <c r="X120" s="352">
        <f t="shared" ref="X120:X121" si="101">SUM(L120:W120)</f>
        <v>19801.9802</v>
      </c>
      <c r="Y120" s="353">
        <v>1039.6039603960396</v>
      </c>
      <c r="Z120" s="437">
        <f t="shared" si="99"/>
        <v>18.04761905</v>
      </c>
      <c r="AA120" s="3"/>
      <c r="AB120" s="3"/>
      <c r="AC120" s="3"/>
      <c r="AD120" s="3"/>
      <c r="AE120" s="3"/>
    </row>
    <row r="121" ht="15.75" customHeight="1">
      <c r="A121" s="1"/>
      <c r="B121" s="105"/>
      <c r="C121" s="106"/>
      <c r="D121" s="107"/>
      <c r="E121" s="144"/>
      <c r="F121" s="109"/>
      <c r="G121" s="409"/>
      <c r="H121" s="111"/>
      <c r="I121" s="112"/>
      <c r="J121" s="91" t="s">
        <v>66</v>
      </c>
      <c r="K121" s="361">
        <v>0.045</v>
      </c>
      <c r="L121" s="94">
        <f t="shared" ref="L121:W121" si="100">IF(L120=0, 0,
  MIN(L120, 10000) * 4 +
  MAX(0, MIN(L120, 20000) - 10000) * 3 +
  MAX(0, MIN(L120, 40000) - 20000) * 2 +
  MAX(0, MIN(L120, 80000) - 40000) * 1 +
  MAX(0, MIN(L120, 100000) - 80000) * 0.5 +
  MAX(0, L120 - 100000) * 0.25
)</f>
        <v>0</v>
      </c>
      <c r="M121" s="94">
        <f t="shared" si="100"/>
        <v>792.0792079</v>
      </c>
      <c r="N121" s="94">
        <f t="shared" si="100"/>
        <v>1584.158416</v>
      </c>
      <c r="O121" s="94">
        <f t="shared" si="100"/>
        <v>2376.237624</v>
      </c>
      <c r="P121" s="94">
        <f t="shared" si="100"/>
        <v>3960.39604</v>
      </c>
      <c r="Q121" s="94">
        <f t="shared" si="100"/>
        <v>5544.554455</v>
      </c>
      <c r="R121" s="94">
        <f t="shared" si="100"/>
        <v>6336.633663</v>
      </c>
      <c r="S121" s="94">
        <f t="shared" si="100"/>
        <v>7920.792079</v>
      </c>
      <c r="T121" s="94">
        <f t="shared" si="100"/>
        <v>9504.950495</v>
      </c>
      <c r="U121" s="94">
        <f t="shared" si="100"/>
        <v>11089.10891</v>
      </c>
      <c r="V121" s="94">
        <f t="shared" si="100"/>
        <v>14257.42574</v>
      </c>
      <c r="W121" s="94">
        <f t="shared" si="100"/>
        <v>15841.58416</v>
      </c>
      <c r="X121" s="169">
        <f t="shared" si="101"/>
        <v>79207.92079</v>
      </c>
      <c r="Y121" s="355">
        <v>4158.415841584158</v>
      </c>
      <c r="Z121" s="435">
        <f t="shared" si="99"/>
        <v>18.04761905</v>
      </c>
      <c r="AA121" s="3"/>
      <c r="AB121" s="3"/>
      <c r="AC121" s="3"/>
      <c r="AD121" s="3"/>
      <c r="AE121" s="3"/>
    </row>
    <row r="122" ht="15.75" customHeight="1">
      <c r="G122" s="424"/>
      <c r="J122" s="425"/>
      <c r="K122" s="188"/>
      <c r="L122" s="15"/>
      <c r="M122" s="15"/>
      <c r="N122" s="15"/>
      <c r="O122" s="15"/>
      <c r="P122" s="15"/>
      <c r="Q122" s="160"/>
      <c r="R122" s="15"/>
      <c r="S122" s="15"/>
      <c r="T122" s="15"/>
      <c r="U122" s="15"/>
      <c r="V122" s="15"/>
      <c r="W122" s="15"/>
      <c r="X122" s="14"/>
      <c r="Y122" s="14"/>
      <c r="Z122" s="440"/>
      <c r="AA122" s="3"/>
      <c r="AB122" s="3"/>
      <c r="AC122" s="3"/>
      <c r="AD122" s="3"/>
      <c r="AE122" s="3"/>
    </row>
    <row r="123" ht="15.75" customHeight="1">
      <c r="A123" s="1"/>
      <c r="B123" s="422">
        <v>21.0</v>
      </c>
      <c r="C123" s="106" t="str">
        <f>J123</f>
        <v>BOA PRAÇA</v>
      </c>
      <c r="D123" s="107"/>
      <c r="E123" s="144"/>
      <c r="F123" s="109"/>
      <c r="G123" s="423"/>
      <c r="H123" s="191"/>
      <c r="I123" s="192"/>
      <c r="J123" s="405" t="s">
        <v>124</v>
      </c>
      <c r="K123" s="342"/>
      <c r="L123" s="344" t="s">
        <v>10</v>
      </c>
      <c r="M123" s="345" t="s">
        <v>14</v>
      </c>
      <c r="N123" s="344" t="s">
        <v>18</v>
      </c>
      <c r="O123" s="345" t="s">
        <v>22</v>
      </c>
      <c r="P123" s="344" t="s">
        <v>26</v>
      </c>
      <c r="Q123" s="345" t="s">
        <v>30</v>
      </c>
      <c r="R123" s="344" t="s">
        <v>34</v>
      </c>
      <c r="S123" s="345" t="s">
        <v>38</v>
      </c>
      <c r="T123" s="344" t="s">
        <v>42</v>
      </c>
      <c r="U123" s="345" t="s">
        <v>46</v>
      </c>
      <c r="V123" s="344" t="s">
        <v>50</v>
      </c>
      <c r="W123" s="345" t="s">
        <v>54</v>
      </c>
      <c r="X123" s="122">
        <v>2028.0</v>
      </c>
      <c r="Y123" s="346">
        <v>2027.0</v>
      </c>
      <c r="Z123" s="437"/>
      <c r="AA123" s="3"/>
      <c r="AB123" s="3"/>
      <c r="AC123" s="3"/>
      <c r="AD123" s="3"/>
      <c r="AE123" s="3"/>
    </row>
    <row r="124" ht="15.75" customHeight="1">
      <c r="A124" s="1"/>
      <c r="B124" s="105"/>
      <c r="C124" s="106"/>
      <c r="D124" s="107"/>
      <c r="E124" s="144"/>
      <c r="F124" s="109"/>
      <c r="G124" s="409"/>
      <c r="H124" s="111"/>
      <c r="I124" s="112"/>
      <c r="J124" s="50" t="s">
        <v>61</v>
      </c>
      <c r="K124" s="347"/>
      <c r="L124" s="348"/>
      <c r="M124" s="348"/>
      <c r="N124" s="348"/>
      <c r="O124" s="348">
        <v>0.01</v>
      </c>
      <c r="P124" s="348">
        <v>0.02</v>
      </c>
      <c r="Q124" s="348">
        <v>0.04</v>
      </c>
      <c r="R124" s="348">
        <v>0.07</v>
      </c>
      <c r="S124" s="348">
        <v>0.1</v>
      </c>
      <c r="T124" s="348">
        <v>0.16</v>
      </c>
      <c r="U124" s="348">
        <v>0.19</v>
      </c>
      <c r="V124" s="348">
        <v>0.21</v>
      </c>
      <c r="W124" s="348">
        <v>0.2</v>
      </c>
      <c r="X124" s="165">
        <f>SUM(L124:W124)</f>
        <v>1</v>
      </c>
      <c r="Y124" s="406">
        <v>1.0</v>
      </c>
      <c r="Z124" s="437"/>
      <c r="AA124" s="3"/>
      <c r="AB124" s="3"/>
      <c r="AC124" s="3"/>
      <c r="AD124" s="3"/>
      <c r="AE124" s="3"/>
    </row>
    <row r="125" ht="15.75" customHeight="1">
      <c r="A125" s="1"/>
      <c r="B125" s="105"/>
      <c r="C125" s="106"/>
      <c r="D125" s="107"/>
      <c r="E125" s="144"/>
      <c r="F125" s="109"/>
      <c r="G125" s="409"/>
      <c r="H125" s="111"/>
      <c r="I125" s="112"/>
      <c r="J125" s="50" t="s">
        <v>63</v>
      </c>
      <c r="K125" s="347"/>
      <c r="L125" s="66">
        <f t="shared" ref="L125:W125" si="102">$X$125*L124</f>
        <v>0</v>
      </c>
      <c r="M125" s="66">
        <f t="shared" si="102"/>
        <v>0</v>
      </c>
      <c r="N125" s="66">
        <f t="shared" si="102"/>
        <v>0</v>
      </c>
      <c r="O125" s="66">
        <f t="shared" si="102"/>
        <v>10000</v>
      </c>
      <c r="P125" s="66">
        <f t="shared" si="102"/>
        <v>20000</v>
      </c>
      <c r="Q125" s="66">
        <f t="shared" si="102"/>
        <v>40000</v>
      </c>
      <c r="R125" s="66">
        <f t="shared" si="102"/>
        <v>70000</v>
      </c>
      <c r="S125" s="66">
        <f t="shared" si="102"/>
        <v>100000</v>
      </c>
      <c r="T125" s="66">
        <f t="shared" si="102"/>
        <v>160000</v>
      </c>
      <c r="U125" s="66">
        <f t="shared" si="102"/>
        <v>190000</v>
      </c>
      <c r="V125" s="66">
        <f t="shared" si="102"/>
        <v>210000</v>
      </c>
      <c r="W125" s="66">
        <f t="shared" si="102"/>
        <v>200000</v>
      </c>
      <c r="X125" s="166">
        <v>1000000.0</v>
      </c>
      <c r="Y125" s="350">
        <v>100000.0</v>
      </c>
      <c r="Z125" s="437">
        <f t="shared" ref="Z125:Z127" si="104">X125/Y125-1</f>
        <v>9</v>
      </c>
      <c r="AA125" s="3"/>
      <c r="AB125" s="3"/>
      <c r="AC125" s="3"/>
      <c r="AD125" s="3"/>
      <c r="AE125" s="3"/>
    </row>
    <row r="126" ht="15.75" customHeight="1">
      <c r="A126" s="1"/>
      <c r="B126" s="105"/>
      <c r="C126" s="106"/>
      <c r="D126" s="107"/>
      <c r="E126" s="144"/>
      <c r="F126" s="109"/>
      <c r="G126" s="409"/>
      <c r="H126" s="111"/>
      <c r="I126" s="112"/>
      <c r="J126" s="50" t="s">
        <v>64</v>
      </c>
      <c r="K126" s="351">
        <v>70.0</v>
      </c>
      <c r="L126" s="81">
        <f t="shared" ref="L126:W126" si="103">L125/$K$102</f>
        <v>0</v>
      </c>
      <c r="M126" s="81">
        <f t="shared" si="103"/>
        <v>0</v>
      </c>
      <c r="N126" s="81">
        <f t="shared" si="103"/>
        <v>0</v>
      </c>
      <c r="O126" s="81">
        <f t="shared" si="103"/>
        <v>99.00990099</v>
      </c>
      <c r="P126" s="81">
        <f t="shared" si="103"/>
        <v>198.019802</v>
      </c>
      <c r="Q126" s="81">
        <f t="shared" si="103"/>
        <v>396.039604</v>
      </c>
      <c r="R126" s="81">
        <f t="shared" si="103"/>
        <v>693.0693069</v>
      </c>
      <c r="S126" s="81">
        <f t="shared" si="103"/>
        <v>990.0990099</v>
      </c>
      <c r="T126" s="81">
        <f t="shared" si="103"/>
        <v>1584.158416</v>
      </c>
      <c r="U126" s="81">
        <f t="shared" si="103"/>
        <v>1881.188119</v>
      </c>
      <c r="V126" s="81">
        <f t="shared" si="103"/>
        <v>2079.207921</v>
      </c>
      <c r="W126" s="81">
        <f t="shared" si="103"/>
        <v>1980.19802</v>
      </c>
      <c r="X126" s="352">
        <f t="shared" ref="X126:X127" si="106">SUM(L126:W126)</f>
        <v>9900.990099</v>
      </c>
      <c r="Y126" s="353">
        <v>990.0990099009902</v>
      </c>
      <c r="Z126" s="437">
        <f t="shared" si="104"/>
        <v>9</v>
      </c>
      <c r="AA126" s="3"/>
      <c r="AB126" s="3"/>
      <c r="AC126" s="3"/>
      <c r="AD126" s="3"/>
      <c r="AE126" s="3"/>
    </row>
    <row r="127" ht="15.75" customHeight="1">
      <c r="A127" s="1"/>
      <c r="B127" s="105"/>
      <c r="C127" s="106"/>
      <c r="D127" s="107"/>
      <c r="E127" s="144"/>
      <c r="F127" s="109"/>
      <c r="G127" s="409"/>
      <c r="H127" s="111"/>
      <c r="I127" s="112"/>
      <c r="J127" s="91" t="s">
        <v>66</v>
      </c>
      <c r="K127" s="361">
        <v>0.045</v>
      </c>
      <c r="L127" s="94">
        <f t="shared" ref="L127:W127" si="105">IF(L126=0, 0,
  MIN(L126, 10000) * 4 +
  MAX(0, MIN(L126, 20000) - 10000) * 3 +
  MAX(0, MIN(L126, 40000) - 20000) * 2 +
  MAX(0, MIN(L126, 80000) - 40000) * 1 +
  MAX(0, MIN(L126, 100000) - 80000) * 0.5 +
  MAX(0, L126 - 100000) * 0.25
)</f>
        <v>0</v>
      </c>
      <c r="M127" s="94">
        <f t="shared" si="105"/>
        <v>0</v>
      </c>
      <c r="N127" s="94">
        <f t="shared" si="105"/>
        <v>0</v>
      </c>
      <c r="O127" s="94">
        <f t="shared" si="105"/>
        <v>396.039604</v>
      </c>
      <c r="P127" s="94">
        <f t="shared" si="105"/>
        <v>792.0792079</v>
      </c>
      <c r="Q127" s="94">
        <f t="shared" si="105"/>
        <v>1584.158416</v>
      </c>
      <c r="R127" s="94">
        <f t="shared" si="105"/>
        <v>2772.277228</v>
      </c>
      <c r="S127" s="94">
        <f t="shared" si="105"/>
        <v>3960.39604</v>
      </c>
      <c r="T127" s="94">
        <f t="shared" si="105"/>
        <v>6336.633663</v>
      </c>
      <c r="U127" s="94">
        <f t="shared" si="105"/>
        <v>7524.752475</v>
      </c>
      <c r="V127" s="94">
        <f t="shared" si="105"/>
        <v>8316.831683</v>
      </c>
      <c r="W127" s="94">
        <f t="shared" si="105"/>
        <v>7920.792079</v>
      </c>
      <c r="X127" s="169">
        <f t="shared" si="106"/>
        <v>39603.9604</v>
      </c>
      <c r="Y127" s="355">
        <v>3960.3960396039606</v>
      </c>
      <c r="Z127" s="435">
        <f t="shared" si="104"/>
        <v>9</v>
      </c>
      <c r="AA127" s="3"/>
      <c r="AB127" s="3"/>
      <c r="AC127" s="3"/>
      <c r="AD127" s="3"/>
      <c r="AE127" s="3"/>
    </row>
    <row r="128" ht="15.75" customHeight="1">
      <c r="G128" s="424"/>
      <c r="J128" s="425"/>
      <c r="K128" s="188"/>
      <c r="L128" s="15"/>
      <c r="M128" s="15"/>
      <c r="N128" s="15"/>
      <c r="O128" s="15"/>
      <c r="P128" s="15"/>
      <c r="Q128" s="160"/>
      <c r="R128" s="15"/>
      <c r="S128" s="15"/>
      <c r="T128" s="15"/>
      <c r="U128" s="15"/>
      <c r="V128" s="15"/>
      <c r="W128" s="15"/>
      <c r="X128" s="14"/>
      <c r="Y128" s="14"/>
      <c r="Z128" s="440"/>
      <c r="AA128" s="3"/>
      <c r="AB128" s="3"/>
      <c r="AC128" s="3"/>
      <c r="AD128" s="3"/>
      <c r="AE128" s="3"/>
    </row>
    <row r="129" ht="15.75" customHeight="1">
      <c r="A129" s="1"/>
      <c r="B129" s="422">
        <v>22.0</v>
      </c>
      <c r="C129" s="106" t="str">
        <f>J129</f>
        <v>RAINHA</v>
      </c>
      <c r="D129" s="107"/>
      <c r="E129" s="144"/>
      <c r="F129" s="109"/>
      <c r="G129" s="423"/>
      <c r="H129" s="191"/>
      <c r="I129" s="192"/>
      <c r="J129" s="405" t="s">
        <v>125</v>
      </c>
      <c r="K129" s="342"/>
      <c r="L129" s="344" t="s">
        <v>10</v>
      </c>
      <c r="M129" s="345" t="s">
        <v>14</v>
      </c>
      <c r="N129" s="344" t="s">
        <v>18</v>
      </c>
      <c r="O129" s="345" t="s">
        <v>22</v>
      </c>
      <c r="P129" s="344" t="s">
        <v>26</v>
      </c>
      <c r="Q129" s="345" t="s">
        <v>30</v>
      </c>
      <c r="R129" s="344" t="s">
        <v>34</v>
      </c>
      <c r="S129" s="345" t="s">
        <v>38</v>
      </c>
      <c r="T129" s="344" t="s">
        <v>42</v>
      </c>
      <c r="U129" s="345" t="s">
        <v>46</v>
      </c>
      <c r="V129" s="344" t="s">
        <v>50</v>
      </c>
      <c r="W129" s="345" t="s">
        <v>54</v>
      </c>
      <c r="X129" s="122">
        <v>2028.0</v>
      </c>
      <c r="Y129" s="346">
        <v>2027.0</v>
      </c>
      <c r="Z129" s="437"/>
      <c r="AA129" s="3"/>
      <c r="AB129" s="3"/>
      <c r="AC129" s="3"/>
      <c r="AD129" s="3"/>
      <c r="AE129" s="3"/>
    </row>
    <row r="130" ht="15.75" customHeight="1">
      <c r="A130" s="1"/>
      <c r="B130" s="105"/>
      <c r="C130" s="106"/>
      <c r="D130" s="107"/>
      <c r="E130" s="144"/>
      <c r="F130" s="109"/>
      <c r="G130" s="409"/>
      <c r="H130" s="111"/>
      <c r="I130" s="112"/>
      <c r="J130" s="50" t="s">
        <v>61</v>
      </c>
      <c r="K130" s="347"/>
      <c r="L130" s="348"/>
      <c r="M130" s="348"/>
      <c r="N130" s="348"/>
      <c r="O130" s="348">
        <v>0.01</v>
      </c>
      <c r="P130" s="348">
        <v>0.02</v>
      </c>
      <c r="Q130" s="348">
        <v>0.04</v>
      </c>
      <c r="R130" s="348">
        <v>0.07</v>
      </c>
      <c r="S130" s="348">
        <v>0.1</v>
      </c>
      <c r="T130" s="348">
        <v>0.16</v>
      </c>
      <c r="U130" s="348">
        <v>0.19</v>
      </c>
      <c r="V130" s="348">
        <v>0.21</v>
      </c>
      <c r="W130" s="348">
        <v>0.2</v>
      </c>
      <c r="X130" s="165">
        <f>SUM(L130:W130)</f>
        <v>1</v>
      </c>
      <c r="Y130" s="406">
        <v>1.0</v>
      </c>
      <c r="Z130" s="437"/>
      <c r="AA130" s="3"/>
      <c r="AB130" s="3"/>
      <c r="AC130" s="3"/>
      <c r="AD130" s="3"/>
      <c r="AE130" s="3"/>
    </row>
    <row r="131" ht="15.75" customHeight="1">
      <c r="A131" s="1"/>
      <c r="B131" s="105"/>
      <c r="C131" s="106"/>
      <c r="D131" s="107"/>
      <c r="E131" s="144"/>
      <c r="F131" s="109"/>
      <c r="G131" s="409"/>
      <c r="H131" s="111"/>
      <c r="I131" s="112"/>
      <c r="J131" s="50" t="s">
        <v>63</v>
      </c>
      <c r="K131" s="347"/>
      <c r="L131" s="66">
        <f t="shared" ref="L131:W131" si="107">L130*$X$131</f>
        <v>0</v>
      </c>
      <c r="M131" s="66">
        <f t="shared" si="107"/>
        <v>0</v>
      </c>
      <c r="N131" s="66">
        <f t="shared" si="107"/>
        <v>0</v>
      </c>
      <c r="O131" s="66">
        <f t="shared" si="107"/>
        <v>10000</v>
      </c>
      <c r="P131" s="66">
        <f t="shared" si="107"/>
        <v>20000</v>
      </c>
      <c r="Q131" s="66">
        <f t="shared" si="107"/>
        <v>40000</v>
      </c>
      <c r="R131" s="66">
        <f t="shared" si="107"/>
        <v>70000</v>
      </c>
      <c r="S131" s="66">
        <f t="shared" si="107"/>
        <v>100000</v>
      </c>
      <c r="T131" s="66">
        <f t="shared" si="107"/>
        <v>160000</v>
      </c>
      <c r="U131" s="66">
        <f t="shared" si="107"/>
        <v>190000</v>
      </c>
      <c r="V131" s="66">
        <f t="shared" si="107"/>
        <v>210000</v>
      </c>
      <c r="W131" s="66">
        <f t="shared" si="107"/>
        <v>200000</v>
      </c>
      <c r="X131" s="166">
        <v>1000000.0</v>
      </c>
      <c r="Y131" s="350">
        <v>300000.0</v>
      </c>
      <c r="Z131" s="437">
        <f t="shared" ref="Z131:Z133" si="109">X131/Y131-1</f>
        <v>2.333333333</v>
      </c>
      <c r="AA131" s="3"/>
      <c r="AB131" s="3"/>
      <c r="AC131" s="3"/>
      <c r="AD131" s="3"/>
      <c r="AE131" s="3"/>
    </row>
    <row r="132" ht="15.75" customHeight="1">
      <c r="A132" s="1"/>
      <c r="B132" s="105"/>
      <c r="C132" s="106"/>
      <c r="D132" s="107"/>
      <c r="E132" s="144"/>
      <c r="F132" s="109"/>
      <c r="G132" s="409"/>
      <c r="H132" s="111"/>
      <c r="I132" s="112"/>
      <c r="J132" s="50" t="s">
        <v>64</v>
      </c>
      <c r="K132" s="351">
        <v>140.0</v>
      </c>
      <c r="L132" s="81">
        <f t="shared" ref="L132:W132" si="108">L131/$K$102</f>
        <v>0</v>
      </c>
      <c r="M132" s="81">
        <f t="shared" si="108"/>
        <v>0</v>
      </c>
      <c r="N132" s="81">
        <f t="shared" si="108"/>
        <v>0</v>
      </c>
      <c r="O132" s="81">
        <f t="shared" si="108"/>
        <v>99.00990099</v>
      </c>
      <c r="P132" s="81">
        <f t="shared" si="108"/>
        <v>198.019802</v>
      </c>
      <c r="Q132" s="81">
        <f t="shared" si="108"/>
        <v>396.039604</v>
      </c>
      <c r="R132" s="81">
        <f t="shared" si="108"/>
        <v>693.0693069</v>
      </c>
      <c r="S132" s="81">
        <f t="shared" si="108"/>
        <v>990.0990099</v>
      </c>
      <c r="T132" s="81">
        <f t="shared" si="108"/>
        <v>1584.158416</v>
      </c>
      <c r="U132" s="81">
        <f t="shared" si="108"/>
        <v>1881.188119</v>
      </c>
      <c r="V132" s="81">
        <f t="shared" si="108"/>
        <v>2079.207921</v>
      </c>
      <c r="W132" s="81">
        <f t="shared" si="108"/>
        <v>1980.19802</v>
      </c>
      <c r="X132" s="352">
        <f t="shared" ref="X132:X133" si="111">SUM(L132:W132)</f>
        <v>9900.990099</v>
      </c>
      <c r="Y132" s="353">
        <v>2970.2970297029706</v>
      </c>
      <c r="Z132" s="437">
        <f t="shared" si="109"/>
        <v>2.333333333</v>
      </c>
      <c r="AA132" s="3"/>
      <c r="AB132" s="3"/>
      <c r="AC132" s="3"/>
      <c r="AD132" s="3"/>
      <c r="AE132" s="3"/>
    </row>
    <row r="133" ht="15.75" customHeight="1">
      <c r="A133" s="1"/>
      <c r="B133" s="105"/>
      <c r="C133" s="106"/>
      <c r="D133" s="107"/>
      <c r="E133" s="144"/>
      <c r="F133" s="109"/>
      <c r="G133" s="409"/>
      <c r="H133" s="111"/>
      <c r="I133" s="112"/>
      <c r="J133" s="91" t="s">
        <v>66</v>
      </c>
      <c r="K133" s="361">
        <v>0.045</v>
      </c>
      <c r="L133" s="94">
        <f t="shared" ref="L133:W133" si="110">IF(L132=0, 0,
  MIN(L132, 10000) * 4 +
  MAX(0, MIN(L132, 20000) - 10000) * 3 +
  MAX(0, MIN(L132, 40000) - 20000) * 2 +
  MAX(0, MIN(L132, 80000) - 40000) * 1 +
  MAX(0, MIN(L132, 100000) - 80000) * 0.5 +
  MAX(0, L132 - 100000) * 0.25
)</f>
        <v>0</v>
      </c>
      <c r="M133" s="94">
        <f t="shared" si="110"/>
        <v>0</v>
      </c>
      <c r="N133" s="94">
        <f t="shared" si="110"/>
        <v>0</v>
      </c>
      <c r="O133" s="94">
        <f t="shared" si="110"/>
        <v>396.039604</v>
      </c>
      <c r="P133" s="94">
        <f t="shared" si="110"/>
        <v>792.0792079</v>
      </c>
      <c r="Q133" s="94">
        <f t="shared" si="110"/>
        <v>1584.158416</v>
      </c>
      <c r="R133" s="94">
        <f t="shared" si="110"/>
        <v>2772.277228</v>
      </c>
      <c r="S133" s="94">
        <f t="shared" si="110"/>
        <v>3960.39604</v>
      </c>
      <c r="T133" s="94">
        <f t="shared" si="110"/>
        <v>6336.633663</v>
      </c>
      <c r="U133" s="94">
        <f t="shared" si="110"/>
        <v>7524.752475</v>
      </c>
      <c r="V133" s="94">
        <f t="shared" si="110"/>
        <v>8316.831683</v>
      </c>
      <c r="W133" s="94">
        <f t="shared" si="110"/>
        <v>7920.792079</v>
      </c>
      <c r="X133" s="169">
        <f t="shared" si="111"/>
        <v>39603.9604</v>
      </c>
      <c r="Y133" s="355">
        <v>11881.188118811882</v>
      </c>
      <c r="Z133" s="435">
        <f t="shared" si="109"/>
        <v>2.333333333</v>
      </c>
      <c r="AA133" s="3"/>
      <c r="AB133" s="3"/>
      <c r="AC133" s="3"/>
      <c r="AD133" s="3"/>
      <c r="AE133" s="3"/>
    </row>
    <row r="134" ht="15.75" customHeight="1">
      <c r="G134" s="424"/>
      <c r="J134" s="425"/>
      <c r="K134" s="188"/>
      <c r="L134" s="15"/>
      <c r="M134" s="15"/>
      <c r="N134" s="15"/>
      <c r="O134" s="15"/>
      <c r="P134" s="15"/>
      <c r="Q134" s="160"/>
      <c r="R134" s="15"/>
      <c r="S134" s="15"/>
      <c r="T134" s="15"/>
      <c r="U134" s="15"/>
      <c r="V134" s="15"/>
      <c r="W134" s="15"/>
      <c r="X134" s="14"/>
      <c r="Y134" s="14"/>
      <c r="Z134" s="440"/>
      <c r="AA134" s="3"/>
      <c r="AB134" s="3"/>
      <c r="AC134" s="3"/>
      <c r="AD134" s="3"/>
      <c r="AE134" s="3"/>
    </row>
    <row r="135" ht="15.75" customHeight="1">
      <c r="A135" s="1"/>
      <c r="B135" s="422">
        <v>23.0</v>
      </c>
      <c r="C135" s="106" t="str">
        <f>J135</f>
        <v>01 DEAL WISH LIST</v>
      </c>
      <c r="D135" s="107"/>
      <c r="E135" s="144"/>
      <c r="F135" s="109"/>
      <c r="G135" s="423"/>
      <c r="H135" s="191"/>
      <c r="I135" s="192"/>
      <c r="J135" s="405" t="s">
        <v>130</v>
      </c>
      <c r="K135" s="342"/>
      <c r="L135" s="344" t="s">
        <v>10</v>
      </c>
      <c r="M135" s="345" t="s">
        <v>14</v>
      </c>
      <c r="N135" s="344" t="s">
        <v>18</v>
      </c>
      <c r="O135" s="345" t="s">
        <v>22</v>
      </c>
      <c r="P135" s="344" t="s">
        <v>26</v>
      </c>
      <c r="Q135" s="345" t="s">
        <v>30</v>
      </c>
      <c r="R135" s="344" t="s">
        <v>34</v>
      </c>
      <c r="S135" s="345" t="s">
        <v>38</v>
      </c>
      <c r="T135" s="344" t="s">
        <v>42</v>
      </c>
      <c r="U135" s="345" t="s">
        <v>46</v>
      </c>
      <c r="V135" s="344" t="s">
        <v>50</v>
      </c>
      <c r="W135" s="345" t="s">
        <v>54</v>
      </c>
      <c r="X135" s="122">
        <v>2028.0</v>
      </c>
      <c r="Y135" s="346">
        <v>2027.0</v>
      </c>
      <c r="Z135" s="437"/>
      <c r="AA135" s="3"/>
      <c r="AB135" s="3"/>
      <c r="AC135" s="3"/>
      <c r="AD135" s="3"/>
      <c r="AE135" s="3"/>
    </row>
    <row r="136" ht="15.75" customHeight="1">
      <c r="A136" s="1"/>
      <c r="B136" s="105"/>
      <c r="C136" s="106"/>
      <c r="D136" s="107"/>
      <c r="E136" s="144"/>
      <c r="F136" s="109"/>
      <c r="G136" s="409"/>
      <c r="H136" s="111"/>
      <c r="I136" s="112"/>
      <c r="J136" s="50" t="s">
        <v>61</v>
      </c>
      <c r="K136" s="347"/>
      <c r="L136" s="348">
        <v>0.01</v>
      </c>
      <c r="M136" s="348">
        <v>0.01</v>
      </c>
      <c r="N136" s="348">
        <v>0.02</v>
      </c>
      <c r="O136" s="348">
        <v>0.06</v>
      </c>
      <c r="P136" s="348">
        <v>0.06</v>
      </c>
      <c r="Q136" s="348">
        <v>0.08</v>
      </c>
      <c r="R136" s="348">
        <v>0.08</v>
      </c>
      <c r="S136" s="348">
        <v>0.08</v>
      </c>
      <c r="T136" s="348">
        <v>0.1</v>
      </c>
      <c r="U136" s="348">
        <v>0.14</v>
      </c>
      <c r="V136" s="348">
        <v>0.16</v>
      </c>
      <c r="W136" s="348">
        <v>0.2</v>
      </c>
      <c r="X136" s="165">
        <f>SUM(L136:W136)</f>
        <v>1</v>
      </c>
      <c r="Y136" s="406">
        <v>1.0</v>
      </c>
      <c r="Z136" s="437"/>
      <c r="AA136" s="3"/>
      <c r="AB136" s="3"/>
      <c r="AC136" s="3"/>
      <c r="AD136" s="3"/>
      <c r="AE136" s="3"/>
    </row>
    <row r="137" ht="15.75" customHeight="1">
      <c r="A137" s="1"/>
      <c r="B137" s="105"/>
      <c r="C137" s="106"/>
      <c r="D137" s="107"/>
      <c r="E137" s="144"/>
      <c r="F137" s="109"/>
      <c r="G137" s="409"/>
      <c r="H137" s="111"/>
      <c r="I137" s="112"/>
      <c r="J137" s="50" t="s">
        <v>63</v>
      </c>
      <c r="K137" s="347"/>
      <c r="L137" s="66">
        <f t="shared" ref="L137:W137" si="112">$X$137*L136</f>
        <v>30000</v>
      </c>
      <c r="M137" s="66">
        <f t="shared" si="112"/>
        <v>30000</v>
      </c>
      <c r="N137" s="66">
        <f t="shared" si="112"/>
        <v>60000</v>
      </c>
      <c r="O137" s="66">
        <f t="shared" si="112"/>
        <v>180000</v>
      </c>
      <c r="P137" s="66">
        <f t="shared" si="112"/>
        <v>180000</v>
      </c>
      <c r="Q137" s="66">
        <f t="shared" si="112"/>
        <v>240000</v>
      </c>
      <c r="R137" s="66">
        <f t="shared" si="112"/>
        <v>240000</v>
      </c>
      <c r="S137" s="66">
        <f t="shared" si="112"/>
        <v>240000</v>
      </c>
      <c r="T137" s="66">
        <f t="shared" si="112"/>
        <v>300000</v>
      </c>
      <c r="U137" s="66">
        <f t="shared" si="112"/>
        <v>420000</v>
      </c>
      <c r="V137" s="66">
        <f t="shared" si="112"/>
        <v>480000</v>
      </c>
      <c r="W137" s="66">
        <f t="shared" si="112"/>
        <v>600000</v>
      </c>
      <c r="X137" s="166">
        <v>3000000.0</v>
      </c>
      <c r="Y137" s="350">
        <v>2000000.0</v>
      </c>
      <c r="Z137" s="437">
        <f t="shared" ref="Z137:Z139" si="114">X137/Y137-1</f>
        <v>0.5</v>
      </c>
      <c r="AA137" s="3"/>
      <c r="AB137" s="3"/>
      <c r="AC137" s="3"/>
      <c r="AD137" s="3"/>
      <c r="AE137" s="3"/>
    </row>
    <row r="138" ht="15.75" customHeight="1">
      <c r="A138" s="1"/>
      <c r="B138" s="105"/>
      <c r="C138" s="106"/>
      <c r="D138" s="107"/>
      <c r="E138" s="144"/>
      <c r="F138" s="109"/>
      <c r="G138" s="409"/>
      <c r="H138" s="111"/>
      <c r="I138" s="112"/>
      <c r="J138" s="50" t="s">
        <v>64</v>
      </c>
      <c r="K138" s="351">
        <v>70.0</v>
      </c>
      <c r="L138" s="81">
        <f t="shared" ref="L138:W138" si="113">L137/$K$102</f>
        <v>297.029703</v>
      </c>
      <c r="M138" s="81">
        <f t="shared" si="113"/>
        <v>297.029703</v>
      </c>
      <c r="N138" s="81">
        <f t="shared" si="113"/>
        <v>594.0594059</v>
      </c>
      <c r="O138" s="81">
        <f t="shared" si="113"/>
        <v>1782.178218</v>
      </c>
      <c r="P138" s="81">
        <f t="shared" si="113"/>
        <v>1782.178218</v>
      </c>
      <c r="Q138" s="81">
        <f t="shared" si="113"/>
        <v>2376.237624</v>
      </c>
      <c r="R138" s="81">
        <f t="shared" si="113"/>
        <v>2376.237624</v>
      </c>
      <c r="S138" s="81">
        <f t="shared" si="113"/>
        <v>2376.237624</v>
      </c>
      <c r="T138" s="81">
        <f t="shared" si="113"/>
        <v>2970.29703</v>
      </c>
      <c r="U138" s="81">
        <f t="shared" si="113"/>
        <v>4158.415842</v>
      </c>
      <c r="V138" s="81">
        <f t="shared" si="113"/>
        <v>4752.475248</v>
      </c>
      <c r="W138" s="81">
        <f t="shared" si="113"/>
        <v>5940.594059</v>
      </c>
      <c r="X138" s="352">
        <f t="shared" ref="X138:X139" si="116">SUM(L138:W138)</f>
        <v>29702.9703</v>
      </c>
      <c r="Y138" s="353">
        <v>19801.980198019803</v>
      </c>
      <c r="Z138" s="437">
        <f t="shared" si="114"/>
        <v>0.5</v>
      </c>
      <c r="AA138" s="3"/>
      <c r="AB138" s="3"/>
      <c r="AC138" s="3"/>
      <c r="AD138" s="3"/>
      <c r="AE138" s="3"/>
    </row>
    <row r="139" ht="15.75" customHeight="1">
      <c r="A139" s="1"/>
      <c r="B139" s="105"/>
      <c r="C139" s="106"/>
      <c r="D139" s="107"/>
      <c r="E139" s="144"/>
      <c r="F139" s="109"/>
      <c r="G139" s="409"/>
      <c r="H139" s="111"/>
      <c r="I139" s="112"/>
      <c r="J139" s="91" t="s">
        <v>66</v>
      </c>
      <c r="K139" s="361">
        <v>0.045</v>
      </c>
      <c r="L139" s="94">
        <f t="shared" ref="L139:W139" si="115">IF(L138=0, 0,
  MIN(L138, 10000) * 4 +
  MAX(0, MIN(L138, 20000) - 10000) * 3 +
  MAX(0, MIN(L138, 40000) - 20000) * 2 +
  MAX(0, MIN(L138, 80000) - 40000) * 1 +
  MAX(0, MIN(L138, 100000) - 80000) * 0.5 +
  MAX(0, L138 - 100000) * 0.25
)</f>
        <v>1188.118812</v>
      </c>
      <c r="M139" s="94">
        <f t="shared" si="115"/>
        <v>1188.118812</v>
      </c>
      <c r="N139" s="94">
        <f t="shared" si="115"/>
        <v>2376.237624</v>
      </c>
      <c r="O139" s="94">
        <f t="shared" si="115"/>
        <v>7128.712871</v>
      </c>
      <c r="P139" s="94">
        <f t="shared" si="115"/>
        <v>7128.712871</v>
      </c>
      <c r="Q139" s="94">
        <f t="shared" si="115"/>
        <v>9504.950495</v>
      </c>
      <c r="R139" s="94">
        <f t="shared" si="115"/>
        <v>9504.950495</v>
      </c>
      <c r="S139" s="94">
        <f t="shared" si="115"/>
        <v>9504.950495</v>
      </c>
      <c r="T139" s="94">
        <f t="shared" si="115"/>
        <v>11881.18812</v>
      </c>
      <c r="U139" s="94">
        <f t="shared" si="115"/>
        <v>16633.66337</v>
      </c>
      <c r="V139" s="94">
        <f t="shared" si="115"/>
        <v>19009.90099</v>
      </c>
      <c r="W139" s="94">
        <f t="shared" si="115"/>
        <v>23762.37624</v>
      </c>
      <c r="X139" s="169">
        <f t="shared" si="116"/>
        <v>118811.8812</v>
      </c>
      <c r="Y139" s="355">
        <v>79207.92079207921</v>
      </c>
      <c r="Z139" s="435">
        <f t="shared" si="114"/>
        <v>0.5</v>
      </c>
      <c r="AA139" s="3"/>
      <c r="AB139" s="3"/>
      <c r="AC139" s="3"/>
      <c r="AD139" s="3"/>
      <c r="AE139" s="3"/>
    </row>
    <row r="140" ht="15.75" customHeight="1">
      <c r="G140" s="424"/>
      <c r="J140" s="425"/>
      <c r="K140" s="188"/>
      <c r="L140" s="15"/>
      <c r="M140" s="15"/>
      <c r="N140" s="15"/>
      <c r="O140" s="15"/>
      <c r="P140" s="15"/>
      <c r="Q140" s="160"/>
      <c r="R140" s="15"/>
      <c r="S140" s="15"/>
      <c r="T140" s="15"/>
      <c r="U140" s="15"/>
      <c r="V140" s="15"/>
      <c r="W140" s="15"/>
      <c r="X140" s="14"/>
      <c r="Y140" s="14"/>
      <c r="Z140" s="440"/>
      <c r="AA140" s="3"/>
      <c r="AB140" s="3"/>
      <c r="AC140" s="3"/>
      <c r="AD140" s="3"/>
      <c r="AE140" s="3"/>
    </row>
    <row r="141" ht="15.75" customHeight="1">
      <c r="A141" s="1"/>
      <c r="B141" s="422">
        <v>24.0</v>
      </c>
      <c r="C141" s="106" t="str">
        <f>J141</f>
        <v>02 DEAL WISH LIST</v>
      </c>
      <c r="D141" s="107"/>
      <c r="E141" s="144"/>
      <c r="F141" s="109"/>
      <c r="G141" s="423"/>
      <c r="H141" s="191"/>
      <c r="I141" s="192"/>
      <c r="J141" s="405" t="s">
        <v>131</v>
      </c>
      <c r="K141" s="342"/>
      <c r="L141" s="344" t="s">
        <v>10</v>
      </c>
      <c r="M141" s="345" t="s">
        <v>14</v>
      </c>
      <c r="N141" s="344" t="s">
        <v>18</v>
      </c>
      <c r="O141" s="345" t="s">
        <v>22</v>
      </c>
      <c r="P141" s="344" t="s">
        <v>26</v>
      </c>
      <c r="Q141" s="345" t="s">
        <v>30</v>
      </c>
      <c r="R141" s="344" t="s">
        <v>34</v>
      </c>
      <c r="S141" s="345" t="s">
        <v>38</v>
      </c>
      <c r="T141" s="344" t="s">
        <v>42</v>
      </c>
      <c r="U141" s="345" t="s">
        <v>46</v>
      </c>
      <c r="V141" s="344" t="s">
        <v>50</v>
      </c>
      <c r="W141" s="345" t="s">
        <v>54</v>
      </c>
      <c r="X141" s="122">
        <v>2028.0</v>
      </c>
      <c r="Y141" s="346">
        <v>2027.0</v>
      </c>
      <c r="Z141" s="437"/>
      <c r="AA141" s="3"/>
      <c r="AB141" s="3"/>
      <c r="AC141" s="3"/>
      <c r="AD141" s="3"/>
      <c r="AE141" s="3"/>
    </row>
    <row r="142" ht="15.75" customHeight="1">
      <c r="A142" s="1"/>
      <c r="B142" s="105"/>
      <c r="C142" s="106"/>
      <c r="D142" s="107"/>
      <c r="E142" s="144"/>
      <c r="F142" s="109"/>
      <c r="G142" s="409"/>
      <c r="H142" s="111"/>
      <c r="I142" s="112"/>
      <c r="J142" s="50" t="s">
        <v>61</v>
      </c>
      <c r="K142" s="347"/>
      <c r="L142" s="348">
        <v>0.01</v>
      </c>
      <c r="M142" s="348">
        <v>0.01</v>
      </c>
      <c r="N142" s="348">
        <v>0.02</v>
      </c>
      <c r="O142" s="348">
        <v>0.06</v>
      </c>
      <c r="P142" s="348">
        <v>0.06</v>
      </c>
      <c r="Q142" s="348">
        <v>0.08</v>
      </c>
      <c r="R142" s="348">
        <v>0.08</v>
      </c>
      <c r="S142" s="348">
        <v>0.08</v>
      </c>
      <c r="T142" s="348">
        <v>0.1</v>
      </c>
      <c r="U142" s="348">
        <v>0.14</v>
      </c>
      <c r="V142" s="348">
        <v>0.16</v>
      </c>
      <c r="W142" s="348">
        <v>0.2</v>
      </c>
      <c r="X142" s="165">
        <f>SUM(L142:W142)</f>
        <v>1</v>
      </c>
      <c r="Y142" s="406">
        <v>1.0</v>
      </c>
      <c r="Z142" s="437"/>
      <c r="AA142" s="3"/>
      <c r="AB142" s="3"/>
      <c r="AC142" s="3"/>
      <c r="AD142" s="3"/>
      <c r="AE142" s="3"/>
    </row>
    <row r="143" ht="15.75" customHeight="1">
      <c r="A143" s="1"/>
      <c r="B143" s="105"/>
      <c r="C143" s="106"/>
      <c r="D143" s="107"/>
      <c r="E143" s="144"/>
      <c r="F143" s="109"/>
      <c r="G143" s="409"/>
      <c r="H143" s="111"/>
      <c r="I143" s="112"/>
      <c r="J143" s="50" t="s">
        <v>63</v>
      </c>
      <c r="K143" s="347"/>
      <c r="L143" s="66">
        <f t="shared" ref="L143:W143" si="117">$X$143*L142</f>
        <v>20000</v>
      </c>
      <c r="M143" s="66">
        <f t="shared" si="117"/>
        <v>20000</v>
      </c>
      <c r="N143" s="66">
        <f t="shared" si="117"/>
        <v>40000</v>
      </c>
      <c r="O143" s="66">
        <f t="shared" si="117"/>
        <v>120000</v>
      </c>
      <c r="P143" s="66">
        <f t="shared" si="117"/>
        <v>120000</v>
      </c>
      <c r="Q143" s="66">
        <f t="shared" si="117"/>
        <v>160000</v>
      </c>
      <c r="R143" s="66">
        <f t="shared" si="117"/>
        <v>160000</v>
      </c>
      <c r="S143" s="66">
        <f t="shared" si="117"/>
        <v>160000</v>
      </c>
      <c r="T143" s="66">
        <f t="shared" si="117"/>
        <v>200000</v>
      </c>
      <c r="U143" s="66">
        <f t="shared" si="117"/>
        <v>280000</v>
      </c>
      <c r="V143" s="66">
        <f t="shared" si="117"/>
        <v>320000</v>
      </c>
      <c r="W143" s="66">
        <f t="shared" si="117"/>
        <v>400000</v>
      </c>
      <c r="X143" s="166">
        <v>2000000.0</v>
      </c>
      <c r="Y143" s="350">
        <v>1000000.0</v>
      </c>
      <c r="Z143" s="437">
        <f t="shared" ref="Z143:Z145" si="119">X143/Y143-1</f>
        <v>1</v>
      </c>
      <c r="AA143" s="3"/>
      <c r="AB143" s="3"/>
      <c r="AC143" s="3"/>
      <c r="AD143" s="3"/>
      <c r="AE143" s="3"/>
    </row>
    <row r="144" ht="15.75" customHeight="1">
      <c r="A144" s="1"/>
      <c r="B144" s="105"/>
      <c r="C144" s="106"/>
      <c r="D144" s="107"/>
      <c r="E144" s="144"/>
      <c r="F144" s="109"/>
      <c r="G144" s="409"/>
      <c r="H144" s="111"/>
      <c r="I144" s="112"/>
      <c r="J144" s="50" t="s">
        <v>64</v>
      </c>
      <c r="K144" s="351">
        <v>80.0</v>
      </c>
      <c r="L144" s="81">
        <f t="shared" ref="L144:W144" si="118">L143/$K$102</f>
        <v>198.019802</v>
      </c>
      <c r="M144" s="81">
        <f t="shared" si="118"/>
        <v>198.019802</v>
      </c>
      <c r="N144" s="81">
        <f t="shared" si="118"/>
        <v>396.039604</v>
      </c>
      <c r="O144" s="81">
        <f t="shared" si="118"/>
        <v>1188.118812</v>
      </c>
      <c r="P144" s="81">
        <f t="shared" si="118"/>
        <v>1188.118812</v>
      </c>
      <c r="Q144" s="81">
        <f t="shared" si="118"/>
        <v>1584.158416</v>
      </c>
      <c r="R144" s="81">
        <f t="shared" si="118"/>
        <v>1584.158416</v>
      </c>
      <c r="S144" s="81">
        <f t="shared" si="118"/>
        <v>1584.158416</v>
      </c>
      <c r="T144" s="81">
        <f t="shared" si="118"/>
        <v>1980.19802</v>
      </c>
      <c r="U144" s="81">
        <f t="shared" si="118"/>
        <v>2772.277228</v>
      </c>
      <c r="V144" s="81">
        <f t="shared" si="118"/>
        <v>3168.316832</v>
      </c>
      <c r="W144" s="81">
        <f t="shared" si="118"/>
        <v>3960.39604</v>
      </c>
      <c r="X144" s="352">
        <f t="shared" ref="X144:X145" si="121">SUM(L144:W144)</f>
        <v>19801.9802</v>
      </c>
      <c r="Y144" s="353">
        <v>9900.990099009901</v>
      </c>
      <c r="Z144" s="437">
        <f t="shared" si="119"/>
        <v>1</v>
      </c>
      <c r="AA144" s="3"/>
      <c r="AB144" s="3"/>
      <c r="AC144" s="3"/>
      <c r="AD144" s="3"/>
      <c r="AE144" s="3"/>
    </row>
    <row r="145" ht="15.75" customHeight="1">
      <c r="A145" s="1"/>
      <c r="B145" s="105"/>
      <c r="C145" s="106"/>
      <c r="D145" s="107"/>
      <c r="E145" s="144"/>
      <c r="F145" s="109"/>
      <c r="G145" s="409"/>
      <c r="H145" s="111"/>
      <c r="I145" s="112"/>
      <c r="J145" s="91" t="s">
        <v>66</v>
      </c>
      <c r="K145" s="361">
        <v>0.045</v>
      </c>
      <c r="L145" s="94">
        <f t="shared" ref="L145:W145" si="120">IF(L144=0, 0,
  MIN(L144, 10000) * 4 +
  MAX(0, MIN(L144, 20000) - 10000) * 3 +
  MAX(0, MIN(L144, 40000) - 20000) * 2 +
  MAX(0, MIN(L144, 80000) - 40000) * 1 +
  MAX(0, MIN(L144, 100000) - 80000) * 0.5 +
  MAX(0, L144 - 100000) * 0.25
)</f>
        <v>792.0792079</v>
      </c>
      <c r="M145" s="94">
        <f t="shared" si="120"/>
        <v>792.0792079</v>
      </c>
      <c r="N145" s="94">
        <f t="shared" si="120"/>
        <v>1584.158416</v>
      </c>
      <c r="O145" s="94">
        <f t="shared" si="120"/>
        <v>4752.475248</v>
      </c>
      <c r="P145" s="94">
        <f t="shared" si="120"/>
        <v>4752.475248</v>
      </c>
      <c r="Q145" s="94">
        <f t="shared" si="120"/>
        <v>6336.633663</v>
      </c>
      <c r="R145" s="94">
        <f t="shared" si="120"/>
        <v>6336.633663</v>
      </c>
      <c r="S145" s="94">
        <f t="shared" si="120"/>
        <v>6336.633663</v>
      </c>
      <c r="T145" s="94">
        <f t="shared" si="120"/>
        <v>7920.792079</v>
      </c>
      <c r="U145" s="94">
        <f t="shared" si="120"/>
        <v>11089.10891</v>
      </c>
      <c r="V145" s="94">
        <f t="shared" si="120"/>
        <v>12673.26733</v>
      </c>
      <c r="W145" s="94">
        <f t="shared" si="120"/>
        <v>15841.58416</v>
      </c>
      <c r="X145" s="169">
        <f t="shared" si="121"/>
        <v>79207.92079</v>
      </c>
      <c r="Y145" s="355">
        <v>39603.960396039605</v>
      </c>
      <c r="Z145" s="435">
        <f t="shared" si="119"/>
        <v>1</v>
      </c>
      <c r="AA145" s="3"/>
      <c r="AB145" s="3"/>
      <c r="AC145" s="3"/>
      <c r="AD145" s="3"/>
      <c r="AE145" s="3"/>
    </row>
    <row r="146" ht="15.75" customHeight="1">
      <c r="A146" s="3"/>
      <c r="B146" s="3"/>
      <c r="C146" s="3"/>
      <c r="D146" s="3"/>
      <c r="E146" s="3"/>
      <c r="F146" s="3"/>
      <c r="G146" s="427"/>
      <c r="H146" s="3"/>
      <c r="I146" s="3"/>
      <c r="J146" s="420"/>
      <c r="K146" s="3"/>
      <c r="L146" s="3"/>
      <c r="M146" s="3"/>
      <c r="N146" s="3"/>
      <c r="O146" s="3"/>
      <c r="P146" s="3"/>
      <c r="Q146" s="3"/>
      <c r="R146" s="3"/>
      <c r="S146" s="3"/>
      <c r="T146" s="3"/>
      <c r="U146" s="3"/>
      <c r="V146" s="3"/>
      <c r="W146" s="3"/>
      <c r="X146" s="3"/>
      <c r="Y146" s="3"/>
      <c r="Z146" s="439"/>
      <c r="AA146" s="3"/>
      <c r="AB146" s="3"/>
      <c r="AC146" s="3"/>
      <c r="AD146" s="3"/>
      <c r="AE146" s="3"/>
    </row>
    <row r="147">
      <c r="A147" s="3"/>
      <c r="B147" s="3"/>
      <c r="C147" s="3"/>
      <c r="D147" s="3"/>
      <c r="E147" s="3"/>
      <c r="F147" s="3"/>
      <c r="G147" s="427"/>
      <c r="H147" s="3"/>
      <c r="I147" s="3"/>
      <c r="J147" s="428" t="s">
        <v>127</v>
      </c>
      <c r="K147" s="3"/>
      <c r="L147" s="3"/>
      <c r="M147" s="3"/>
      <c r="N147" s="3"/>
      <c r="O147" s="3"/>
      <c r="P147" s="3"/>
      <c r="Q147" s="3"/>
      <c r="R147" s="3"/>
      <c r="S147" s="3"/>
      <c r="T147" s="3"/>
      <c r="U147" s="3"/>
      <c r="V147" s="3"/>
      <c r="W147" s="3"/>
      <c r="X147" s="3"/>
      <c r="Y147" s="3"/>
      <c r="Z147" s="437"/>
      <c r="AA147" s="3"/>
      <c r="AB147" s="3"/>
      <c r="AC147" s="3"/>
      <c r="AD147" s="3"/>
      <c r="AE147" s="3"/>
    </row>
    <row r="148" ht="15.75" customHeight="1">
      <c r="G148" s="424"/>
      <c r="J148" s="425"/>
      <c r="K148" s="188"/>
      <c r="L148" s="114"/>
      <c r="M148" s="15"/>
      <c r="N148" s="15"/>
      <c r="O148" s="15"/>
      <c r="P148" s="15"/>
      <c r="Q148" s="15"/>
      <c r="R148" s="15"/>
      <c r="S148" s="15"/>
      <c r="T148" s="15"/>
      <c r="U148" s="15"/>
      <c r="V148" s="15"/>
      <c r="W148" s="238" t="s">
        <v>102</v>
      </c>
      <c r="X148" s="429">
        <v>2028.0</v>
      </c>
      <c r="Y148" s="429">
        <v>2027.0</v>
      </c>
      <c r="Z148" s="429" t="s">
        <v>128</v>
      </c>
      <c r="AA148" s="3"/>
      <c r="AB148" s="3"/>
      <c r="AC148" s="3"/>
      <c r="AD148" s="3"/>
      <c r="AE148" s="3"/>
    </row>
    <row r="149" ht="15.75" customHeight="1">
      <c r="G149" s="424"/>
      <c r="J149" s="425"/>
      <c r="K149" s="188"/>
      <c r="L149" s="15"/>
      <c r="M149" s="15"/>
      <c r="N149" s="15"/>
      <c r="O149" s="15"/>
      <c r="P149" s="432"/>
      <c r="V149" s="15"/>
      <c r="W149" s="433" t="s">
        <v>63</v>
      </c>
      <c r="X149" s="395">
        <f>SUMIF(J5:J146, "gmv", X5:X146)</f>
        <v>430289636.2</v>
      </c>
      <c r="Y149" s="395">
        <f>SUMIF(J5:J146, "gmv", Y5:Y146)</f>
        <v>231876000</v>
      </c>
      <c r="Z149" s="441">
        <f t="shared" ref="Z149:Z151" si="122">X149/Y149-1</f>
        <v>0.8556885414</v>
      </c>
      <c r="AA149" s="3"/>
      <c r="AB149" s="3"/>
      <c r="AC149" s="3"/>
      <c r="AD149" s="3"/>
      <c r="AE149" s="3"/>
    </row>
    <row r="150" ht="15.75" customHeight="1">
      <c r="G150" s="424"/>
      <c r="J150" s="425"/>
      <c r="K150" s="188"/>
      <c r="L150" s="15"/>
      <c r="M150" s="15"/>
      <c r="N150" s="15"/>
      <c r="O150" s="15"/>
      <c r="V150" s="15"/>
      <c r="W150" s="433" t="s">
        <v>64</v>
      </c>
      <c r="X150" s="397">
        <f>SUMIF(J6:J146, "Pedidos", X6:X146)</f>
        <v>5999251.704</v>
      </c>
      <c r="Y150" s="397">
        <v>3060851.435726195</v>
      </c>
      <c r="Z150" s="441">
        <f t="shared" si="122"/>
        <v>0.9599944102</v>
      </c>
      <c r="AA150" s="3"/>
      <c r="AB150" s="3"/>
      <c r="AC150" s="3"/>
      <c r="AD150" s="3"/>
      <c r="AE150" s="3"/>
    </row>
    <row r="151" ht="15.75" customHeight="1">
      <c r="G151" s="424"/>
      <c r="J151" s="425"/>
      <c r="K151" s="188"/>
      <c r="L151" s="15"/>
      <c r="M151" s="15"/>
      <c r="N151" s="15"/>
      <c r="O151" s="15"/>
      <c r="V151" s="15"/>
      <c r="W151" s="433" t="s">
        <v>66</v>
      </c>
      <c r="X151" s="395">
        <f>SUMIF(J5:J146, "Receita Hanzo", X5:X146)</f>
        <v>14409081.78</v>
      </c>
      <c r="Y151" s="395">
        <v>9063969.02310231</v>
      </c>
      <c r="Z151" s="441">
        <f t="shared" si="122"/>
        <v>0.5897099539</v>
      </c>
      <c r="AA151" s="3"/>
      <c r="AB151" s="3"/>
      <c r="AC151" s="3"/>
      <c r="AD151" s="3"/>
      <c r="AE151" s="3"/>
    </row>
    <row r="152" ht="15.75" customHeight="1">
      <c r="G152" s="424"/>
      <c r="J152" s="425"/>
      <c r="K152" s="188"/>
      <c r="L152" s="15"/>
      <c r="M152" s="15"/>
      <c r="N152" s="15"/>
      <c r="O152" s="15"/>
      <c r="V152" s="15"/>
      <c r="W152" s="15"/>
      <c r="X152" s="14"/>
      <c r="Y152" s="14"/>
      <c r="Z152" s="435"/>
      <c r="AA152" s="3"/>
      <c r="AB152" s="3"/>
      <c r="AC152" s="3"/>
      <c r="AD152" s="3"/>
      <c r="AE152" s="3"/>
    </row>
    <row r="153" ht="15.75" customHeight="1">
      <c r="G153" s="424"/>
      <c r="J153" s="425"/>
      <c r="K153" s="188"/>
      <c r="L153" s="15"/>
      <c r="M153" s="15"/>
      <c r="N153" s="15"/>
      <c r="O153" s="15"/>
      <c r="V153" s="15"/>
      <c r="W153" s="15"/>
      <c r="X153" s="25"/>
      <c r="Y153" s="14"/>
      <c r="Z153" s="435"/>
      <c r="AA153" s="3"/>
      <c r="AB153" s="3"/>
      <c r="AC153" s="3"/>
      <c r="AD153" s="3"/>
      <c r="AE153" s="3"/>
    </row>
    <row r="154" ht="15.75" customHeight="1">
      <c r="G154" s="424"/>
      <c r="J154" s="425"/>
      <c r="K154" s="188"/>
      <c r="L154" s="15"/>
      <c r="M154" s="15"/>
      <c r="N154" s="15"/>
      <c r="O154" s="15"/>
      <c r="V154" s="15"/>
      <c r="W154" s="15"/>
      <c r="X154" s="14"/>
      <c r="Y154" s="14"/>
      <c r="Z154" s="435"/>
      <c r="AA154" s="3"/>
      <c r="AB154" s="3"/>
      <c r="AC154" s="3"/>
      <c r="AD154" s="3"/>
      <c r="AE154" s="3"/>
    </row>
    <row r="155" ht="15.75" customHeight="1">
      <c r="G155" s="424"/>
      <c r="J155" s="425"/>
      <c r="K155" s="188"/>
      <c r="L155" s="15"/>
      <c r="M155" s="15"/>
      <c r="N155" s="15"/>
      <c r="O155" s="15"/>
      <c r="V155" s="15"/>
      <c r="W155" s="15"/>
      <c r="X155" s="14"/>
      <c r="Y155" s="14"/>
      <c r="Z155" s="435"/>
      <c r="AA155" s="3"/>
      <c r="AB155" s="3"/>
      <c r="AC155" s="3"/>
      <c r="AD155" s="3"/>
      <c r="AE155" s="3"/>
    </row>
    <row r="156" ht="15.75" customHeight="1">
      <c r="G156" s="424"/>
      <c r="J156" s="425"/>
      <c r="K156" s="188"/>
      <c r="L156" s="15"/>
      <c r="M156" s="15"/>
      <c r="N156" s="15"/>
      <c r="O156" s="15"/>
      <c r="V156" s="15"/>
      <c r="W156" s="15"/>
      <c r="X156" s="14"/>
      <c r="Y156" s="14"/>
      <c r="Z156" s="435"/>
      <c r="AA156" s="3"/>
      <c r="AB156" s="3"/>
      <c r="AC156" s="3"/>
      <c r="AD156" s="3"/>
      <c r="AE156" s="3"/>
    </row>
    <row r="157" ht="15.75" customHeight="1">
      <c r="G157" s="424"/>
      <c r="J157" s="425"/>
      <c r="K157" s="188"/>
      <c r="L157" s="15"/>
      <c r="M157" s="15"/>
      <c r="N157" s="15"/>
      <c r="O157" s="15"/>
      <c r="V157" s="15"/>
      <c r="W157" s="15"/>
      <c r="X157" s="14"/>
      <c r="Y157" s="14"/>
      <c r="Z157" s="435"/>
      <c r="AA157" s="3"/>
      <c r="AB157" s="3"/>
      <c r="AC157" s="3"/>
      <c r="AD157" s="3"/>
      <c r="AE157" s="3"/>
    </row>
    <row r="158" ht="15.75" customHeight="1">
      <c r="G158" s="424"/>
      <c r="J158" s="425"/>
      <c r="K158" s="188"/>
      <c r="L158" s="15"/>
      <c r="M158" s="15"/>
      <c r="N158" s="15"/>
      <c r="O158" s="15"/>
      <c r="V158" s="15"/>
      <c r="W158" s="15"/>
      <c r="X158" s="14"/>
      <c r="Y158" s="14"/>
      <c r="Z158" s="435"/>
      <c r="AA158" s="3"/>
      <c r="AB158" s="3"/>
      <c r="AC158" s="3"/>
      <c r="AD158" s="3"/>
      <c r="AE158" s="3"/>
    </row>
    <row r="159" ht="15.75" customHeight="1">
      <c r="G159" s="424"/>
      <c r="J159" s="425"/>
      <c r="K159" s="188"/>
      <c r="L159" s="15"/>
      <c r="M159" s="15"/>
      <c r="N159" s="15"/>
      <c r="O159" s="15"/>
      <c r="P159" s="15"/>
      <c r="Q159" s="15"/>
      <c r="R159" s="15"/>
      <c r="S159" s="15"/>
      <c r="T159" s="15"/>
      <c r="U159" s="15"/>
      <c r="V159" s="15"/>
      <c r="W159" s="15"/>
      <c r="X159" s="14"/>
      <c r="Y159" s="14"/>
      <c r="Z159" s="435"/>
      <c r="AA159" s="3"/>
      <c r="AB159" s="3"/>
      <c r="AC159" s="3"/>
      <c r="AD159" s="3"/>
      <c r="AE159" s="3"/>
    </row>
    <row r="160" ht="15.75" customHeight="1">
      <c r="G160" s="424"/>
      <c r="J160" s="425"/>
      <c r="K160" s="188"/>
      <c r="L160" s="15"/>
      <c r="M160" s="15"/>
      <c r="N160" s="15"/>
      <c r="O160" s="15"/>
      <c r="P160" s="15"/>
      <c r="Q160" s="15"/>
      <c r="R160" s="15"/>
      <c r="S160" s="15"/>
      <c r="T160" s="15"/>
      <c r="U160" s="15"/>
      <c r="V160" s="15"/>
      <c r="W160" s="15"/>
      <c r="X160" s="14"/>
      <c r="Y160" s="14"/>
      <c r="Z160" s="435"/>
      <c r="AA160" s="3"/>
      <c r="AB160" s="3"/>
      <c r="AC160" s="3"/>
      <c r="AD160" s="3"/>
      <c r="AE160" s="3"/>
    </row>
    <row r="161" ht="15.75" customHeight="1">
      <c r="G161" s="424"/>
      <c r="J161" s="425"/>
      <c r="K161" s="188"/>
      <c r="L161" s="15"/>
      <c r="M161" s="15"/>
      <c r="N161" s="15"/>
      <c r="O161" s="15"/>
      <c r="P161" s="15"/>
      <c r="Q161" s="15"/>
      <c r="R161" s="15"/>
      <c r="S161" s="15"/>
      <c r="T161" s="15"/>
      <c r="U161" s="15"/>
      <c r="V161" s="15"/>
      <c r="W161" s="15"/>
      <c r="X161" s="14"/>
      <c r="Y161" s="14"/>
      <c r="Z161" s="435"/>
      <c r="AA161" s="3"/>
      <c r="AB161" s="3"/>
      <c r="AC161" s="3"/>
      <c r="AD161" s="3"/>
      <c r="AE161" s="3"/>
    </row>
    <row r="162" ht="15.75" customHeight="1">
      <c r="G162" s="424"/>
      <c r="J162" s="425"/>
      <c r="K162" s="188"/>
      <c r="L162" s="15"/>
      <c r="M162" s="15"/>
      <c r="N162" s="15"/>
      <c r="O162" s="15"/>
      <c r="P162" s="15"/>
      <c r="Q162" s="15"/>
      <c r="R162" s="15"/>
      <c r="S162" s="15"/>
      <c r="T162" s="15"/>
      <c r="U162" s="15"/>
      <c r="V162" s="15"/>
      <c r="W162" s="15"/>
      <c r="X162" s="14"/>
      <c r="Y162" s="14"/>
      <c r="Z162" s="435"/>
      <c r="AA162" s="3"/>
      <c r="AB162" s="3"/>
      <c r="AC162" s="3"/>
      <c r="AD162" s="3"/>
      <c r="AE162" s="3"/>
    </row>
    <row r="163" ht="15.75" customHeight="1">
      <c r="G163" s="424"/>
      <c r="J163" s="425"/>
      <c r="K163" s="188"/>
      <c r="L163" s="15"/>
      <c r="M163" s="15"/>
      <c r="N163" s="15"/>
      <c r="O163" s="15"/>
      <c r="P163" s="15"/>
      <c r="Q163" s="15"/>
      <c r="R163" s="15"/>
      <c r="S163" s="15"/>
      <c r="T163" s="15"/>
      <c r="U163" s="15"/>
      <c r="V163" s="15"/>
      <c r="W163" s="15"/>
      <c r="X163" s="14"/>
      <c r="Y163" s="14"/>
      <c r="Z163" s="435"/>
      <c r="AA163" s="3"/>
      <c r="AB163" s="3"/>
      <c r="AC163" s="3"/>
      <c r="AD163" s="3"/>
      <c r="AE163" s="3"/>
    </row>
    <row r="164" ht="15.75" customHeight="1">
      <c r="G164" s="424"/>
      <c r="J164" s="425"/>
      <c r="K164" s="188"/>
      <c r="L164" s="15"/>
      <c r="M164" s="15"/>
      <c r="N164" s="15"/>
      <c r="O164" s="15"/>
      <c r="P164" s="15"/>
      <c r="Q164" s="15"/>
      <c r="R164" s="15"/>
      <c r="S164" s="15"/>
      <c r="T164" s="15"/>
      <c r="U164" s="15"/>
      <c r="V164" s="15"/>
      <c r="W164" s="15"/>
      <c r="X164" s="14"/>
      <c r="Y164" s="14"/>
      <c r="Z164" s="435"/>
      <c r="AA164" s="3"/>
      <c r="AB164" s="3"/>
      <c r="AC164" s="3"/>
      <c r="AD164" s="3"/>
      <c r="AE164" s="3"/>
    </row>
    <row r="165" ht="15.75" customHeight="1">
      <c r="G165" s="424"/>
      <c r="J165" s="425"/>
      <c r="K165" s="188"/>
      <c r="L165" s="15"/>
      <c r="M165" s="15"/>
      <c r="N165" s="15"/>
      <c r="O165" s="15"/>
      <c r="P165" s="15"/>
      <c r="Q165" s="15"/>
      <c r="R165" s="15"/>
      <c r="S165" s="15"/>
      <c r="T165" s="15"/>
      <c r="U165" s="15"/>
      <c r="V165" s="15"/>
      <c r="W165" s="15"/>
      <c r="X165" s="14"/>
      <c r="Y165" s="14"/>
      <c r="Z165" s="435"/>
      <c r="AA165" s="3"/>
      <c r="AB165" s="3"/>
      <c r="AC165" s="3"/>
      <c r="AD165" s="3"/>
      <c r="AE165" s="3"/>
    </row>
    <row r="166" ht="15.75" customHeight="1">
      <c r="G166" s="424"/>
      <c r="J166" s="425"/>
      <c r="K166" s="188"/>
      <c r="L166" s="15"/>
      <c r="M166" s="15"/>
      <c r="N166" s="15"/>
      <c r="O166" s="15"/>
      <c r="P166" s="15"/>
      <c r="Q166" s="15"/>
      <c r="R166" s="15"/>
      <c r="S166" s="15"/>
      <c r="T166" s="15"/>
      <c r="U166" s="15"/>
      <c r="V166" s="15"/>
      <c r="W166" s="15"/>
      <c r="X166" s="14"/>
      <c r="Y166" s="14"/>
      <c r="Z166" s="435"/>
      <c r="AA166" s="3"/>
      <c r="AB166" s="3"/>
      <c r="AC166" s="3"/>
      <c r="AD166" s="3"/>
      <c r="AE166" s="3"/>
    </row>
    <row r="167" ht="15.75" customHeight="1">
      <c r="G167" s="424"/>
      <c r="J167" s="425"/>
      <c r="K167" s="188"/>
      <c r="L167" s="15"/>
      <c r="M167" s="15"/>
      <c r="N167" s="15"/>
      <c r="O167" s="15"/>
      <c r="P167" s="15"/>
      <c r="Q167" s="15"/>
      <c r="R167" s="15"/>
      <c r="S167" s="15"/>
      <c r="T167" s="15"/>
      <c r="U167" s="15"/>
      <c r="V167" s="15"/>
      <c r="W167" s="15"/>
      <c r="X167" s="14"/>
      <c r="Y167" s="14"/>
      <c r="Z167" s="435"/>
      <c r="AA167" s="3"/>
      <c r="AB167" s="3"/>
      <c r="AC167" s="3"/>
      <c r="AD167" s="3"/>
      <c r="AE167" s="3"/>
    </row>
    <row r="168" ht="15.75" customHeight="1">
      <c r="G168" s="424"/>
      <c r="J168" s="425"/>
      <c r="K168" s="188"/>
      <c r="L168" s="15"/>
      <c r="M168" s="15"/>
      <c r="N168" s="15"/>
      <c r="O168" s="15"/>
      <c r="P168" s="15"/>
      <c r="Q168" s="15"/>
      <c r="R168" s="15"/>
      <c r="S168" s="15"/>
      <c r="T168" s="15"/>
      <c r="U168" s="15"/>
      <c r="V168" s="15"/>
      <c r="W168" s="15"/>
      <c r="X168" s="14"/>
      <c r="Y168" s="14"/>
      <c r="Z168" s="435"/>
      <c r="AA168" s="3"/>
      <c r="AB168" s="3"/>
      <c r="AC168" s="3"/>
      <c r="AD168" s="3"/>
      <c r="AE168" s="3"/>
    </row>
    <row r="169" ht="15.75" customHeight="1">
      <c r="G169" s="424"/>
      <c r="J169" s="425"/>
      <c r="K169" s="188"/>
      <c r="L169" s="15"/>
      <c r="M169" s="15"/>
      <c r="N169" s="15"/>
      <c r="O169" s="15"/>
      <c r="P169" s="15"/>
      <c r="Q169" s="15"/>
      <c r="R169" s="15"/>
      <c r="S169" s="15"/>
      <c r="T169" s="15"/>
      <c r="U169" s="15"/>
      <c r="V169" s="15"/>
      <c r="W169" s="15"/>
      <c r="X169" s="14"/>
      <c r="Y169" s="14"/>
      <c r="Z169" s="435"/>
      <c r="AA169" s="3"/>
      <c r="AB169" s="3"/>
      <c r="AC169" s="3"/>
      <c r="AD169" s="3"/>
      <c r="AE169" s="3"/>
    </row>
    <row r="170" ht="15.75" customHeight="1">
      <c r="G170" s="424"/>
      <c r="J170" s="425"/>
      <c r="K170" s="188"/>
      <c r="L170" s="15"/>
      <c r="M170" s="15"/>
      <c r="N170" s="15"/>
      <c r="O170" s="15"/>
      <c r="P170" s="15"/>
      <c r="Q170" s="15"/>
      <c r="R170" s="15"/>
      <c r="S170" s="15"/>
      <c r="T170" s="15"/>
      <c r="U170" s="15"/>
      <c r="V170" s="15"/>
      <c r="W170" s="15"/>
      <c r="X170" s="14"/>
      <c r="Y170" s="14"/>
      <c r="Z170" s="435"/>
      <c r="AA170" s="3"/>
      <c r="AB170" s="3"/>
      <c r="AC170" s="3"/>
      <c r="AD170" s="3"/>
      <c r="AE170" s="3"/>
    </row>
    <row r="171" ht="15.75" customHeight="1">
      <c r="G171" s="424"/>
      <c r="J171" s="425"/>
      <c r="K171" s="188"/>
      <c r="L171" s="15"/>
      <c r="M171" s="15"/>
      <c r="N171" s="15"/>
      <c r="O171" s="15"/>
      <c r="P171" s="15"/>
      <c r="Q171" s="15"/>
      <c r="R171" s="15"/>
      <c r="S171" s="15"/>
      <c r="T171" s="15"/>
      <c r="U171" s="15"/>
      <c r="V171" s="15"/>
      <c r="W171" s="15"/>
      <c r="X171" s="14"/>
      <c r="Y171" s="14"/>
      <c r="Z171" s="435"/>
      <c r="AA171" s="3"/>
      <c r="AB171" s="3"/>
      <c r="AC171" s="3"/>
      <c r="AD171" s="3"/>
      <c r="AE171" s="3"/>
    </row>
    <row r="172" ht="15.75" customHeight="1">
      <c r="G172" s="424"/>
      <c r="J172" s="425"/>
      <c r="K172" s="188"/>
      <c r="L172" s="15"/>
      <c r="M172" s="15"/>
      <c r="N172" s="15"/>
      <c r="O172" s="15"/>
      <c r="P172" s="15"/>
      <c r="Q172" s="15"/>
      <c r="R172" s="15"/>
      <c r="S172" s="15"/>
      <c r="T172" s="15"/>
      <c r="U172" s="15"/>
      <c r="V172" s="15"/>
      <c r="W172" s="15"/>
      <c r="X172" s="14"/>
      <c r="Y172" s="14"/>
      <c r="Z172" s="435"/>
      <c r="AA172" s="3"/>
      <c r="AB172" s="3"/>
      <c r="AC172" s="3"/>
      <c r="AD172" s="3"/>
      <c r="AE172" s="3"/>
    </row>
    <row r="173" ht="15.75" customHeight="1">
      <c r="G173" s="424"/>
      <c r="J173" s="425"/>
      <c r="K173" s="188"/>
      <c r="L173" s="15"/>
      <c r="M173" s="15"/>
      <c r="N173" s="15"/>
      <c r="O173" s="15"/>
      <c r="P173" s="15"/>
      <c r="Q173" s="15"/>
      <c r="R173" s="15"/>
      <c r="S173" s="15"/>
      <c r="T173" s="15"/>
      <c r="U173" s="15"/>
      <c r="V173" s="15"/>
      <c r="W173" s="15"/>
      <c r="X173" s="14"/>
      <c r="Y173" s="14"/>
      <c r="Z173" s="435"/>
      <c r="AA173" s="3"/>
      <c r="AB173" s="3"/>
      <c r="AC173" s="3"/>
      <c r="AD173" s="3"/>
      <c r="AE173" s="3"/>
    </row>
    <row r="174" ht="15.75" customHeight="1">
      <c r="G174" s="424"/>
      <c r="J174" s="425"/>
      <c r="K174" s="188"/>
      <c r="L174" s="15"/>
      <c r="M174" s="15"/>
      <c r="N174" s="15"/>
      <c r="O174" s="15"/>
      <c r="P174" s="15"/>
      <c r="Q174" s="15"/>
      <c r="R174" s="15"/>
      <c r="S174" s="15"/>
      <c r="T174" s="15"/>
      <c r="U174" s="15"/>
      <c r="V174" s="15"/>
      <c r="W174" s="15"/>
      <c r="X174" s="14"/>
      <c r="Y174" s="14"/>
      <c r="Z174" s="435"/>
      <c r="AA174" s="3"/>
      <c r="AB174" s="3"/>
      <c r="AC174" s="3"/>
      <c r="AD174" s="3"/>
      <c r="AE174" s="3"/>
    </row>
    <row r="175" ht="15.75" customHeight="1">
      <c r="G175" s="424"/>
      <c r="J175" s="425"/>
      <c r="K175" s="188"/>
      <c r="L175" s="15"/>
      <c r="M175" s="15"/>
      <c r="N175" s="15"/>
      <c r="O175" s="15"/>
      <c r="P175" s="15"/>
      <c r="Q175" s="15"/>
      <c r="R175" s="15"/>
      <c r="S175" s="15"/>
      <c r="T175" s="15"/>
      <c r="U175" s="15"/>
      <c r="V175" s="15"/>
      <c r="W175" s="15"/>
      <c r="X175" s="14"/>
      <c r="Y175" s="14"/>
      <c r="Z175" s="435"/>
      <c r="AA175" s="3"/>
      <c r="AB175" s="3"/>
      <c r="AC175" s="3"/>
      <c r="AD175" s="3"/>
      <c r="AE175" s="3"/>
    </row>
    <row r="176" ht="15.75" customHeight="1">
      <c r="G176" s="424"/>
      <c r="J176" s="425"/>
      <c r="K176" s="188"/>
      <c r="L176" s="15"/>
      <c r="M176" s="15"/>
      <c r="N176" s="15"/>
      <c r="O176" s="15"/>
      <c r="P176" s="15"/>
      <c r="Q176" s="15"/>
      <c r="R176" s="15"/>
      <c r="S176" s="15"/>
      <c r="T176" s="15"/>
      <c r="U176" s="15"/>
      <c r="V176" s="15"/>
      <c r="W176" s="15"/>
      <c r="X176" s="14"/>
      <c r="Y176" s="14"/>
      <c r="Z176" s="435"/>
      <c r="AA176" s="3"/>
      <c r="AB176" s="3"/>
      <c r="AC176" s="3"/>
      <c r="AD176" s="3"/>
      <c r="AE176" s="3"/>
    </row>
    <row r="177" ht="15.75" customHeight="1">
      <c r="G177" s="424"/>
      <c r="J177" s="425"/>
      <c r="K177" s="188"/>
      <c r="L177" s="15"/>
      <c r="M177" s="15"/>
      <c r="N177" s="15"/>
      <c r="O177" s="15"/>
      <c r="P177" s="15"/>
      <c r="Q177" s="15"/>
      <c r="R177" s="15"/>
      <c r="S177" s="15"/>
      <c r="T177" s="15"/>
      <c r="U177" s="15"/>
      <c r="V177" s="15"/>
      <c r="W177" s="15"/>
      <c r="X177" s="14"/>
      <c r="Y177" s="14"/>
      <c r="Z177" s="435"/>
      <c r="AA177" s="3"/>
      <c r="AB177" s="3"/>
      <c r="AC177" s="3"/>
      <c r="AD177" s="3"/>
      <c r="AE177" s="3"/>
    </row>
    <row r="178" ht="15.75" customHeight="1">
      <c r="G178" s="424"/>
      <c r="J178" s="425"/>
      <c r="K178" s="188"/>
      <c r="L178" s="15"/>
      <c r="M178" s="15"/>
      <c r="N178" s="15"/>
      <c r="O178" s="15"/>
      <c r="P178" s="15"/>
      <c r="Q178" s="15"/>
      <c r="R178" s="15"/>
      <c r="S178" s="15"/>
      <c r="T178" s="15"/>
      <c r="U178" s="15"/>
      <c r="V178" s="15"/>
      <c r="W178" s="15"/>
      <c r="X178" s="14"/>
      <c r="Y178" s="14"/>
      <c r="Z178" s="435"/>
      <c r="AA178" s="3"/>
      <c r="AB178" s="3"/>
      <c r="AC178" s="3"/>
      <c r="AD178" s="3"/>
      <c r="AE178" s="3"/>
    </row>
    <row r="179" ht="15.75" customHeight="1">
      <c r="G179" s="424"/>
      <c r="J179" s="425"/>
      <c r="K179" s="188"/>
      <c r="L179" s="15"/>
      <c r="M179" s="15"/>
      <c r="N179" s="15"/>
      <c r="O179" s="15"/>
      <c r="P179" s="15"/>
      <c r="Q179" s="15"/>
      <c r="R179" s="15"/>
      <c r="S179" s="15"/>
      <c r="T179" s="15"/>
      <c r="U179" s="15"/>
      <c r="V179" s="15"/>
      <c r="W179" s="15"/>
      <c r="X179" s="14"/>
      <c r="Y179" s="14"/>
      <c r="Z179" s="435"/>
      <c r="AA179" s="3"/>
      <c r="AB179" s="3"/>
      <c r="AC179" s="3"/>
      <c r="AD179" s="3"/>
      <c r="AE179" s="3"/>
    </row>
    <row r="180" ht="15.75" customHeight="1">
      <c r="G180" s="424"/>
      <c r="J180" s="425"/>
      <c r="K180" s="188"/>
      <c r="L180" s="15"/>
      <c r="M180" s="15"/>
      <c r="N180" s="15"/>
      <c r="O180" s="15"/>
      <c r="P180" s="15"/>
      <c r="Q180" s="15"/>
      <c r="R180" s="15"/>
      <c r="S180" s="15"/>
      <c r="T180" s="15"/>
      <c r="U180" s="15"/>
      <c r="V180" s="15"/>
      <c r="W180" s="15"/>
      <c r="X180" s="14"/>
      <c r="Y180" s="14"/>
      <c r="Z180" s="435"/>
      <c r="AA180" s="3"/>
      <c r="AB180" s="3"/>
      <c r="AC180" s="3"/>
      <c r="AD180" s="3"/>
      <c r="AE180" s="3"/>
    </row>
    <row r="181" ht="15.75" customHeight="1">
      <c r="G181" s="424"/>
      <c r="J181" s="425"/>
      <c r="K181" s="188"/>
      <c r="L181" s="15"/>
      <c r="M181" s="15"/>
      <c r="N181" s="15"/>
      <c r="O181" s="15"/>
      <c r="P181" s="15"/>
      <c r="Q181" s="15"/>
      <c r="R181" s="15"/>
      <c r="S181" s="15"/>
      <c r="T181" s="15"/>
      <c r="U181" s="15"/>
      <c r="V181" s="15"/>
      <c r="W181" s="15"/>
      <c r="X181" s="14"/>
      <c r="Y181" s="14"/>
      <c r="Z181" s="435"/>
      <c r="AA181" s="3"/>
      <c r="AB181" s="3"/>
      <c r="AC181" s="3"/>
      <c r="AD181" s="3"/>
      <c r="AE181" s="3"/>
    </row>
    <row r="182" ht="15.75" customHeight="1">
      <c r="G182" s="424"/>
      <c r="J182" s="425"/>
      <c r="K182" s="188"/>
      <c r="L182" s="15"/>
      <c r="M182" s="15"/>
      <c r="N182" s="15"/>
      <c r="O182" s="15"/>
      <c r="P182" s="15"/>
      <c r="Q182" s="15"/>
      <c r="R182" s="15"/>
      <c r="S182" s="15"/>
      <c r="T182" s="15"/>
      <c r="U182" s="15"/>
      <c r="V182" s="15"/>
      <c r="W182" s="15"/>
      <c r="X182" s="14"/>
      <c r="Y182" s="14"/>
      <c r="Z182" s="435"/>
      <c r="AA182" s="3"/>
      <c r="AB182" s="3"/>
      <c r="AC182" s="3"/>
      <c r="AD182" s="3"/>
      <c r="AE182" s="3"/>
    </row>
    <row r="183" ht="15.75" customHeight="1">
      <c r="G183" s="424"/>
      <c r="J183" s="425"/>
      <c r="K183" s="188"/>
      <c r="L183" s="15"/>
      <c r="M183" s="15"/>
      <c r="N183" s="15"/>
      <c r="O183" s="15"/>
      <c r="P183" s="15"/>
      <c r="Q183" s="15"/>
      <c r="R183" s="15"/>
      <c r="S183" s="15"/>
      <c r="T183" s="15"/>
      <c r="U183" s="15"/>
      <c r="V183" s="15"/>
      <c r="W183" s="15"/>
      <c r="X183" s="14"/>
      <c r="Y183" s="14"/>
      <c r="Z183" s="435"/>
      <c r="AA183" s="3"/>
      <c r="AB183" s="3"/>
      <c r="AC183" s="3"/>
      <c r="AD183" s="3"/>
      <c r="AE183" s="3"/>
    </row>
    <row r="184" ht="15.75" customHeight="1">
      <c r="G184" s="424"/>
      <c r="J184" s="425"/>
      <c r="K184" s="188"/>
      <c r="L184" s="15"/>
      <c r="M184" s="15"/>
      <c r="N184" s="15"/>
      <c r="O184" s="15"/>
      <c r="P184" s="15"/>
      <c r="Q184" s="15"/>
      <c r="R184" s="15"/>
      <c r="S184" s="15"/>
      <c r="T184" s="15"/>
      <c r="U184" s="15"/>
      <c r="V184" s="15"/>
      <c r="W184" s="15"/>
      <c r="X184" s="14"/>
      <c r="Y184" s="14"/>
      <c r="Z184" s="435"/>
      <c r="AA184" s="3"/>
      <c r="AB184" s="3"/>
      <c r="AC184" s="3"/>
      <c r="AD184" s="3"/>
      <c r="AE184" s="3"/>
    </row>
    <row r="185" ht="15.75" customHeight="1">
      <c r="G185" s="424"/>
      <c r="J185" s="425"/>
      <c r="K185" s="188"/>
      <c r="L185" s="15"/>
      <c r="M185" s="15"/>
      <c r="N185" s="15"/>
      <c r="O185" s="15"/>
      <c r="P185" s="15"/>
      <c r="Q185" s="15"/>
      <c r="R185" s="15"/>
      <c r="S185" s="15"/>
      <c r="T185" s="15"/>
      <c r="U185" s="15"/>
      <c r="V185" s="15"/>
      <c r="W185" s="15"/>
      <c r="X185" s="14"/>
      <c r="Y185" s="14"/>
      <c r="Z185" s="435"/>
      <c r="AA185" s="3"/>
      <c r="AB185" s="3"/>
      <c r="AC185" s="3"/>
      <c r="AD185" s="3"/>
      <c r="AE185" s="3"/>
    </row>
    <row r="186" ht="15.75" customHeight="1">
      <c r="G186" s="424"/>
      <c r="J186" s="425"/>
      <c r="K186" s="188"/>
      <c r="L186" s="15"/>
      <c r="M186" s="15"/>
      <c r="N186" s="15"/>
      <c r="O186" s="15"/>
      <c r="P186" s="15"/>
      <c r="Q186" s="15"/>
      <c r="R186" s="15"/>
      <c r="S186" s="15"/>
      <c r="T186" s="15"/>
      <c r="U186" s="15"/>
      <c r="V186" s="15"/>
      <c r="W186" s="15"/>
      <c r="X186" s="14"/>
      <c r="Y186" s="14"/>
      <c r="Z186" s="435"/>
      <c r="AA186" s="3"/>
      <c r="AB186" s="3"/>
      <c r="AC186" s="3"/>
      <c r="AD186" s="3"/>
      <c r="AE186" s="3"/>
    </row>
    <row r="187" ht="15.75" customHeight="1">
      <c r="G187" s="424"/>
      <c r="J187" s="425"/>
      <c r="K187" s="188"/>
      <c r="L187" s="15"/>
      <c r="M187" s="15"/>
      <c r="N187" s="15"/>
      <c r="O187" s="15"/>
      <c r="P187" s="15"/>
      <c r="Q187" s="15"/>
      <c r="R187" s="15"/>
      <c r="S187" s="15"/>
      <c r="T187" s="15"/>
      <c r="U187" s="15"/>
      <c r="V187" s="15"/>
      <c r="W187" s="15"/>
      <c r="X187" s="14"/>
      <c r="Y187" s="14"/>
      <c r="Z187" s="435"/>
      <c r="AA187" s="3"/>
      <c r="AB187" s="3"/>
      <c r="AC187" s="3"/>
      <c r="AD187" s="3"/>
      <c r="AE187" s="3"/>
    </row>
    <row r="188" ht="15.75" customHeight="1">
      <c r="G188" s="424"/>
      <c r="J188" s="425"/>
      <c r="K188" s="188"/>
      <c r="L188" s="15"/>
      <c r="M188" s="15"/>
      <c r="N188" s="15"/>
      <c r="O188" s="15"/>
      <c r="P188" s="15"/>
      <c r="Q188" s="15"/>
      <c r="R188" s="15"/>
      <c r="S188" s="15"/>
      <c r="T188" s="15"/>
      <c r="U188" s="15"/>
      <c r="V188" s="15"/>
      <c r="W188" s="15"/>
      <c r="X188" s="14"/>
      <c r="Y188" s="14"/>
      <c r="Z188" s="435"/>
      <c r="AA188" s="3"/>
      <c r="AB188" s="3"/>
      <c r="AC188" s="3"/>
      <c r="AD188" s="3"/>
      <c r="AE188" s="3"/>
    </row>
    <row r="189" ht="15.75" customHeight="1">
      <c r="G189" s="424"/>
      <c r="J189" s="425"/>
      <c r="K189" s="188"/>
      <c r="L189" s="15"/>
      <c r="M189" s="15"/>
      <c r="N189" s="15"/>
      <c r="O189" s="15"/>
      <c r="P189" s="15"/>
      <c r="Q189" s="15"/>
      <c r="R189" s="15"/>
      <c r="S189" s="15"/>
      <c r="T189" s="15"/>
      <c r="U189" s="15"/>
      <c r="V189" s="15"/>
      <c r="W189" s="15"/>
      <c r="X189" s="14"/>
      <c r="Y189" s="14"/>
      <c r="Z189" s="435"/>
      <c r="AA189" s="3"/>
      <c r="AB189" s="3"/>
      <c r="AC189" s="3"/>
      <c r="AD189" s="3"/>
      <c r="AE189" s="3"/>
    </row>
    <row r="190" ht="15.75" customHeight="1">
      <c r="G190" s="424"/>
      <c r="J190" s="425"/>
      <c r="K190" s="188"/>
      <c r="L190" s="15"/>
      <c r="M190" s="15"/>
      <c r="N190" s="15"/>
      <c r="O190" s="15"/>
      <c r="P190" s="15"/>
      <c r="Q190" s="15"/>
      <c r="R190" s="15"/>
      <c r="S190" s="15"/>
      <c r="T190" s="15"/>
      <c r="U190" s="15"/>
      <c r="V190" s="15"/>
      <c r="W190" s="15"/>
      <c r="X190" s="14"/>
      <c r="Y190" s="14"/>
      <c r="Z190" s="435"/>
      <c r="AA190" s="3"/>
      <c r="AB190" s="3"/>
      <c r="AC190" s="3"/>
      <c r="AD190" s="3"/>
      <c r="AE190" s="3"/>
    </row>
    <row r="191" ht="15.75" customHeight="1">
      <c r="G191" s="424"/>
      <c r="J191" s="425"/>
      <c r="K191" s="188"/>
      <c r="L191" s="15"/>
      <c r="M191" s="15"/>
      <c r="N191" s="15"/>
      <c r="O191" s="15"/>
      <c r="P191" s="15"/>
      <c r="Q191" s="15"/>
      <c r="R191" s="15"/>
      <c r="S191" s="15"/>
      <c r="T191" s="15"/>
      <c r="U191" s="15"/>
      <c r="V191" s="15"/>
      <c r="W191" s="15"/>
      <c r="X191" s="14"/>
      <c r="Y191" s="14"/>
      <c r="Z191" s="435"/>
      <c r="AA191" s="3"/>
      <c r="AB191" s="3"/>
      <c r="AC191" s="3"/>
      <c r="AD191" s="3"/>
      <c r="AE191" s="3"/>
    </row>
    <row r="192" ht="15.75" customHeight="1">
      <c r="G192" s="424"/>
      <c r="J192" s="425"/>
      <c r="K192" s="188"/>
      <c r="L192" s="15"/>
      <c r="M192" s="15"/>
      <c r="N192" s="15"/>
      <c r="O192" s="15"/>
      <c r="P192" s="15"/>
      <c r="Q192" s="15"/>
      <c r="R192" s="15"/>
      <c r="S192" s="15"/>
      <c r="T192" s="15"/>
      <c r="U192" s="15"/>
      <c r="V192" s="15"/>
      <c r="W192" s="15"/>
      <c r="X192" s="14"/>
      <c r="Y192" s="14"/>
      <c r="Z192" s="435"/>
      <c r="AA192" s="3"/>
      <c r="AB192" s="3"/>
      <c r="AC192" s="3"/>
      <c r="AD192" s="3"/>
      <c r="AE192" s="3"/>
    </row>
    <row r="193" ht="15.75" customHeight="1">
      <c r="G193" s="424"/>
      <c r="J193" s="425"/>
      <c r="K193" s="188"/>
      <c r="L193" s="15"/>
      <c r="M193" s="15"/>
      <c r="N193" s="15"/>
      <c r="O193" s="15"/>
      <c r="P193" s="15"/>
      <c r="Q193" s="15"/>
      <c r="R193" s="15"/>
      <c r="S193" s="15"/>
      <c r="T193" s="15"/>
      <c r="U193" s="15"/>
      <c r="V193" s="15"/>
      <c r="W193" s="15"/>
      <c r="X193" s="14"/>
      <c r="Y193" s="14"/>
      <c r="Z193" s="435"/>
      <c r="AA193" s="3"/>
      <c r="AB193" s="3"/>
      <c r="AC193" s="3"/>
      <c r="AD193" s="3"/>
      <c r="AE193" s="3"/>
    </row>
    <row r="194" ht="15.75" customHeight="1">
      <c r="G194" s="424"/>
      <c r="J194" s="425"/>
      <c r="K194" s="188"/>
      <c r="L194" s="15"/>
      <c r="M194" s="15"/>
      <c r="N194" s="15"/>
      <c r="O194" s="15"/>
      <c r="P194" s="15"/>
      <c r="Q194" s="15"/>
      <c r="R194" s="15"/>
      <c r="S194" s="15"/>
      <c r="T194" s="15"/>
      <c r="U194" s="15"/>
      <c r="V194" s="15"/>
      <c r="W194" s="15"/>
      <c r="X194" s="14"/>
      <c r="Y194" s="14"/>
      <c r="Z194" s="435"/>
      <c r="AA194" s="3"/>
      <c r="AB194" s="3"/>
      <c r="AC194" s="3"/>
      <c r="AD194" s="3"/>
      <c r="AE194" s="3"/>
    </row>
    <row r="195" ht="15.75" customHeight="1">
      <c r="G195" s="424"/>
      <c r="J195" s="425"/>
      <c r="K195" s="188"/>
      <c r="L195" s="15"/>
      <c r="M195" s="15"/>
      <c r="N195" s="15"/>
      <c r="O195" s="15"/>
      <c r="P195" s="15"/>
      <c r="Q195" s="15"/>
      <c r="R195" s="15"/>
      <c r="S195" s="15"/>
      <c r="T195" s="15"/>
      <c r="U195" s="15"/>
      <c r="V195" s="15"/>
      <c r="W195" s="15"/>
      <c r="X195" s="14"/>
      <c r="Y195" s="14"/>
      <c r="Z195" s="435"/>
      <c r="AA195" s="3"/>
      <c r="AB195" s="3"/>
      <c r="AC195" s="3"/>
      <c r="AD195" s="3"/>
      <c r="AE195" s="3"/>
    </row>
    <row r="196" ht="15.75" customHeight="1">
      <c r="G196" s="424"/>
      <c r="J196" s="425"/>
      <c r="K196" s="188"/>
      <c r="L196" s="15"/>
      <c r="M196" s="15"/>
      <c r="N196" s="15"/>
      <c r="O196" s="15"/>
      <c r="P196" s="15"/>
      <c r="Q196" s="15"/>
      <c r="R196" s="15"/>
      <c r="S196" s="15"/>
      <c r="T196" s="15"/>
      <c r="U196" s="15"/>
      <c r="V196" s="15"/>
      <c r="W196" s="15"/>
      <c r="X196" s="14"/>
      <c r="Y196" s="14"/>
      <c r="Z196" s="435"/>
      <c r="AA196" s="3"/>
      <c r="AB196" s="3"/>
      <c r="AC196" s="3"/>
      <c r="AD196" s="3"/>
      <c r="AE196" s="3"/>
    </row>
    <row r="197" ht="15.75" customHeight="1">
      <c r="G197" s="424"/>
      <c r="J197" s="425"/>
      <c r="K197" s="188"/>
      <c r="L197" s="15"/>
      <c r="M197" s="15"/>
      <c r="N197" s="15"/>
      <c r="O197" s="15"/>
      <c r="P197" s="15"/>
      <c r="Q197" s="15"/>
      <c r="R197" s="15"/>
      <c r="S197" s="15"/>
      <c r="T197" s="15"/>
      <c r="U197" s="15"/>
      <c r="V197" s="15"/>
      <c r="W197" s="15"/>
      <c r="X197" s="14"/>
      <c r="Y197" s="14"/>
      <c r="Z197" s="435"/>
      <c r="AA197" s="3"/>
      <c r="AB197" s="3"/>
      <c r="AC197" s="3"/>
      <c r="AD197" s="3"/>
      <c r="AE197" s="3"/>
    </row>
    <row r="198" ht="15.75" customHeight="1">
      <c r="G198" s="424"/>
      <c r="J198" s="425"/>
      <c r="K198" s="188"/>
      <c r="L198" s="15"/>
      <c r="M198" s="15"/>
      <c r="N198" s="15"/>
      <c r="O198" s="15"/>
      <c r="P198" s="15"/>
      <c r="Q198" s="15"/>
      <c r="R198" s="15"/>
      <c r="S198" s="15"/>
      <c r="T198" s="15"/>
      <c r="U198" s="15"/>
      <c r="V198" s="15"/>
      <c r="W198" s="15"/>
      <c r="X198" s="14"/>
      <c r="Y198" s="14"/>
      <c r="Z198" s="435"/>
      <c r="AA198" s="3"/>
      <c r="AB198" s="3"/>
      <c r="AC198" s="3"/>
      <c r="AD198" s="3"/>
      <c r="AE198" s="3"/>
    </row>
    <row r="199" ht="15.75" customHeight="1">
      <c r="G199" s="424"/>
      <c r="J199" s="425"/>
      <c r="K199" s="188"/>
      <c r="L199" s="15"/>
      <c r="M199" s="15"/>
      <c r="N199" s="15"/>
      <c r="O199" s="15"/>
      <c r="P199" s="15"/>
      <c r="Q199" s="15"/>
      <c r="R199" s="15"/>
      <c r="S199" s="15"/>
      <c r="T199" s="15"/>
      <c r="U199" s="15"/>
      <c r="V199" s="15"/>
      <c r="W199" s="15"/>
      <c r="X199" s="14"/>
      <c r="Y199" s="14"/>
      <c r="Z199" s="435"/>
      <c r="AA199" s="3"/>
      <c r="AB199" s="3"/>
      <c r="AC199" s="3"/>
      <c r="AD199" s="3"/>
      <c r="AE199" s="3"/>
    </row>
    <row r="200" ht="15.75" customHeight="1">
      <c r="G200" s="424"/>
      <c r="J200" s="425"/>
      <c r="K200" s="188"/>
      <c r="L200" s="15"/>
      <c r="M200" s="15"/>
      <c r="N200" s="15"/>
      <c r="O200" s="15"/>
      <c r="P200" s="15"/>
      <c r="Q200" s="15"/>
      <c r="R200" s="15"/>
      <c r="S200" s="15"/>
      <c r="T200" s="15"/>
      <c r="U200" s="15"/>
      <c r="V200" s="15"/>
      <c r="W200" s="15"/>
      <c r="X200" s="14"/>
      <c r="Y200" s="14"/>
      <c r="Z200" s="435"/>
      <c r="AA200" s="3"/>
      <c r="AB200" s="3"/>
      <c r="AC200" s="3"/>
      <c r="AD200" s="3"/>
      <c r="AE200" s="3"/>
    </row>
    <row r="201" ht="15.75" customHeight="1">
      <c r="G201" s="424"/>
      <c r="J201" s="425"/>
      <c r="K201" s="188"/>
      <c r="L201" s="15"/>
      <c r="M201" s="15"/>
      <c r="N201" s="15"/>
      <c r="O201" s="15"/>
      <c r="P201" s="15"/>
      <c r="Q201" s="15"/>
      <c r="R201" s="15"/>
      <c r="S201" s="15"/>
      <c r="T201" s="15"/>
      <c r="U201" s="15"/>
      <c r="V201" s="15"/>
      <c r="W201" s="15"/>
      <c r="X201" s="14"/>
      <c r="Y201" s="14"/>
      <c r="Z201" s="435"/>
      <c r="AA201" s="3"/>
      <c r="AB201" s="3"/>
      <c r="AC201" s="3"/>
      <c r="AD201" s="3"/>
      <c r="AE201" s="3"/>
    </row>
    <row r="202" ht="15.75" customHeight="1">
      <c r="G202" s="424"/>
      <c r="J202" s="425"/>
      <c r="K202" s="188"/>
      <c r="L202" s="15"/>
      <c r="M202" s="15"/>
      <c r="N202" s="15"/>
      <c r="O202" s="15"/>
      <c r="P202" s="15"/>
      <c r="Q202" s="15"/>
      <c r="R202" s="15"/>
      <c r="S202" s="15"/>
      <c r="T202" s="15"/>
      <c r="U202" s="15"/>
      <c r="V202" s="15"/>
      <c r="W202" s="15"/>
      <c r="X202" s="14"/>
      <c r="Y202" s="14"/>
      <c r="Z202" s="435"/>
      <c r="AA202" s="3"/>
      <c r="AB202" s="3"/>
      <c r="AC202" s="3"/>
      <c r="AD202" s="3"/>
      <c r="AE202" s="3"/>
    </row>
    <row r="203" ht="15.75" customHeight="1">
      <c r="G203" s="424"/>
      <c r="J203" s="425"/>
      <c r="K203" s="188"/>
      <c r="L203" s="15"/>
      <c r="M203" s="15"/>
      <c r="N203" s="15"/>
      <c r="O203" s="15"/>
      <c r="P203" s="15"/>
      <c r="Q203" s="15"/>
      <c r="R203" s="15"/>
      <c r="S203" s="15"/>
      <c r="T203" s="15"/>
      <c r="U203" s="15"/>
      <c r="V203" s="15"/>
      <c r="W203" s="15"/>
      <c r="X203" s="14"/>
      <c r="Y203" s="14"/>
      <c r="Z203" s="435"/>
      <c r="AA203" s="3"/>
      <c r="AB203" s="3"/>
      <c r="AC203" s="3"/>
      <c r="AD203" s="3"/>
      <c r="AE203" s="3"/>
    </row>
    <row r="204" ht="15.75" customHeight="1">
      <c r="G204" s="424"/>
      <c r="J204" s="425"/>
      <c r="K204" s="188"/>
      <c r="L204" s="15"/>
      <c r="M204" s="15"/>
      <c r="N204" s="15"/>
      <c r="O204" s="15"/>
      <c r="P204" s="15"/>
      <c r="Q204" s="15"/>
      <c r="R204" s="15"/>
      <c r="S204" s="15"/>
      <c r="T204" s="15"/>
      <c r="U204" s="15"/>
      <c r="V204" s="15"/>
      <c r="W204" s="15"/>
      <c r="X204" s="14"/>
      <c r="Y204" s="14"/>
      <c r="Z204" s="435"/>
      <c r="AA204" s="3"/>
      <c r="AB204" s="3"/>
      <c r="AC204" s="3"/>
      <c r="AD204" s="3"/>
      <c r="AE204" s="3"/>
    </row>
    <row r="205" ht="15.75" customHeight="1">
      <c r="G205" s="424"/>
      <c r="J205" s="425"/>
      <c r="K205" s="188"/>
      <c r="L205" s="15"/>
      <c r="M205" s="15"/>
      <c r="N205" s="15"/>
      <c r="O205" s="15"/>
      <c r="P205" s="15"/>
      <c r="Q205" s="15"/>
      <c r="R205" s="15"/>
      <c r="S205" s="15"/>
      <c r="T205" s="15"/>
      <c r="U205" s="15"/>
      <c r="V205" s="15"/>
      <c r="W205" s="15"/>
      <c r="X205" s="14"/>
      <c r="Y205" s="14"/>
      <c r="Z205" s="435"/>
      <c r="AA205" s="3"/>
      <c r="AB205" s="3"/>
      <c r="AC205" s="3"/>
      <c r="AD205" s="3"/>
      <c r="AE205" s="3"/>
    </row>
    <row r="206" ht="15.75" customHeight="1">
      <c r="G206" s="424"/>
      <c r="J206" s="425"/>
      <c r="K206" s="188"/>
      <c r="L206" s="15"/>
      <c r="M206" s="15"/>
      <c r="N206" s="15"/>
      <c r="O206" s="15"/>
      <c r="P206" s="15"/>
      <c r="Q206" s="15"/>
      <c r="R206" s="15"/>
      <c r="S206" s="15"/>
      <c r="T206" s="15"/>
      <c r="U206" s="15"/>
      <c r="V206" s="15"/>
      <c r="W206" s="15"/>
      <c r="X206" s="14"/>
      <c r="Y206" s="14"/>
      <c r="Z206" s="435"/>
      <c r="AA206" s="3"/>
      <c r="AB206" s="3"/>
      <c r="AC206" s="3"/>
      <c r="AD206" s="3"/>
      <c r="AE206" s="3"/>
    </row>
    <row r="207" ht="15.75" customHeight="1">
      <c r="G207" s="424"/>
      <c r="J207" s="425"/>
      <c r="K207" s="188"/>
      <c r="L207" s="15"/>
      <c r="M207" s="15"/>
      <c r="N207" s="15"/>
      <c r="O207" s="15"/>
      <c r="P207" s="15"/>
      <c r="Q207" s="15"/>
      <c r="R207" s="15"/>
      <c r="S207" s="15"/>
      <c r="T207" s="15"/>
      <c r="U207" s="15"/>
      <c r="V207" s="15"/>
      <c r="W207" s="15"/>
      <c r="X207" s="14"/>
      <c r="Y207" s="14"/>
      <c r="Z207" s="435"/>
      <c r="AA207" s="3"/>
      <c r="AB207" s="3"/>
      <c r="AC207" s="3"/>
      <c r="AD207" s="3"/>
      <c r="AE207" s="3"/>
    </row>
    <row r="208" ht="15.75" customHeight="1">
      <c r="G208" s="424"/>
      <c r="J208" s="425"/>
      <c r="K208" s="188"/>
      <c r="L208" s="15"/>
      <c r="M208" s="15"/>
      <c r="N208" s="15"/>
      <c r="O208" s="15"/>
      <c r="P208" s="15"/>
      <c r="Q208" s="15"/>
      <c r="R208" s="15"/>
      <c r="S208" s="15"/>
      <c r="T208" s="15"/>
      <c r="U208" s="15"/>
      <c r="V208" s="15"/>
      <c r="W208" s="15"/>
      <c r="X208" s="14"/>
      <c r="Y208" s="14"/>
      <c r="Z208" s="435"/>
      <c r="AA208" s="3"/>
      <c r="AB208" s="3"/>
      <c r="AC208" s="3"/>
      <c r="AD208" s="3"/>
      <c r="AE208" s="3"/>
    </row>
    <row r="209" ht="15.75" customHeight="1">
      <c r="G209" s="424"/>
      <c r="J209" s="425"/>
      <c r="K209" s="188"/>
      <c r="L209" s="15"/>
      <c r="M209" s="15"/>
      <c r="N209" s="15"/>
      <c r="O209" s="15"/>
      <c r="P209" s="15"/>
      <c r="Q209" s="15"/>
      <c r="R209" s="15"/>
      <c r="S209" s="15"/>
      <c r="T209" s="15"/>
      <c r="U209" s="15"/>
      <c r="V209" s="15"/>
      <c r="W209" s="15"/>
      <c r="X209" s="14"/>
      <c r="Y209" s="14"/>
      <c r="Z209" s="435"/>
      <c r="AA209" s="3"/>
      <c r="AB209" s="3"/>
      <c r="AC209" s="3"/>
      <c r="AD209" s="3"/>
      <c r="AE209" s="3"/>
    </row>
    <row r="210" ht="15.75" customHeight="1">
      <c r="G210" s="424"/>
      <c r="J210" s="425"/>
      <c r="K210" s="188"/>
      <c r="L210" s="15"/>
      <c r="M210" s="15"/>
      <c r="N210" s="15"/>
      <c r="O210" s="15"/>
      <c r="P210" s="15"/>
      <c r="Q210" s="15"/>
      <c r="R210" s="15"/>
      <c r="S210" s="15"/>
      <c r="T210" s="15"/>
      <c r="U210" s="15"/>
      <c r="V210" s="15"/>
      <c r="W210" s="15"/>
      <c r="X210" s="14"/>
      <c r="Y210" s="14"/>
      <c r="Z210" s="435"/>
      <c r="AA210" s="3"/>
      <c r="AB210" s="3"/>
      <c r="AC210" s="3"/>
      <c r="AD210" s="3"/>
      <c r="AE210" s="3"/>
    </row>
    <row r="211" ht="15.75" customHeight="1">
      <c r="G211" s="424"/>
      <c r="J211" s="425"/>
      <c r="K211" s="188"/>
      <c r="L211" s="15"/>
      <c r="M211" s="15"/>
      <c r="N211" s="15"/>
      <c r="O211" s="15"/>
      <c r="P211" s="15"/>
      <c r="Q211" s="15"/>
      <c r="R211" s="15"/>
      <c r="S211" s="15"/>
      <c r="T211" s="15"/>
      <c r="U211" s="15"/>
      <c r="V211" s="15"/>
      <c r="W211" s="15"/>
      <c r="X211" s="14"/>
      <c r="Y211" s="14"/>
      <c r="Z211" s="435"/>
      <c r="AA211" s="3"/>
      <c r="AB211" s="3"/>
      <c r="AC211" s="3"/>
      <c r="AD211" s="3"/>
      <c r="AE211" s="3"/>
    </row>
    <row r="212" ht="15.75" customHeight="1">
      <c r="G212" s="424"/>
      <c r="J212" s="425"/>
      <c r="K212" s="188"/>
      <c r="L212" s="15"/>
      <c r="M212" s="15"/>
      <c r="N212" s="15"/>
      <c r="O212" s="15"/>
      <c r="P212" s="15"/>
      <c r="Q212" s="15"/>
      <c r="R212" s="15"/>
      <c r="S212" s="15"/>
      <c r="T212" s="15"/>
      <c r="U212" s="15"/>
      <c r="V212" s="15"/>
      <c r="W212" s="15"/>
      <c r="X212" s="14"/>
      <c r="Y212" s="14"/>
      <c r="Z212" s="435"/>
      <c r="AA212" s="3"/>
      <c r="AB212" s="3"/>
      <c r="AC212" s="3"/>
      <c r="AD212" s="3"/>
      <c r="AE212" s="3"/>
    </row>
    <row r="213" ht="15.75" customHeight="1">
      <c r="G213" s="424"/>
      <c r="J213" s="425"/>
      <c r="K213" s="188"/>
      <c r="L213" s="15"/>
      <c r="M213" s="15"/>
      <c r="N213" s="15"/>
      <c r="O213" s="15"/>
      <c r="P213" s="15"/>
      <c r="Q213" s="15"/>
      <c r="R213" s="15"/>
      <c r="S213" s="15"/>
      <c r="T213" s="15"/>
      <c r="U213" s="15"/>
      <c r="V213" s="15"/>
      <c r="W213" s="15"/>
      <c r="X213" s="14"/>
      <c r="Y213" s="14"/>
      <c r="Z213" s="435"/>
      <c r="AA213" s="3"/>
      <c r="AB213" s="3"/>
      <c r="AC213" s="3"/>
      <c r="AD213" s="3"/>
      <c r="AE213" s="3"/>
    </row>
    <row r="214" ht="15.75" customHeight="1">
      <c r="G214" s="424"/>
      <c r="J214" s="425"/>
      <c r="K214" s="188"/>
      <c r="L214" s="15"/>
      <c r="M214" s="15"/>
      <c r="N214" s="15"/>
      <c r="O214" s="15"/>
      <c r="P214" s="15"/>
      <c r="Q214" s="15"/>
      <c r="R214" s="15"/>
      <c r="S214" s="15"/>
      <c r="T214" s="15"/>
      <c r="U214" s="15"/>
      <c r="V214" s="15"/>
      <c r="W214" s="15"/>
      <c r="X214" s="14"/>
      <c r="Y214" s="14"/>
      <c r="Z214" s="435"/>
      <c r="AA214" s="3"/>
      <c r="AB214" s="3"/>
      <c r="AC214" s="3"/>
      <c r="AD214" s="3"/>
      <c r="AE214" s="3"/>
    </row>
    <row r="215" ht="15.75" customHeight="1">
      <c r="G215" s="424"/>
      <c r="J215" s="425"/>
      <c r="K215" s="188"/>
      <c r="L215" s="15"/>
      <c r="M215" s="15"/>
      <c r="N215" s="15"/>
      <c r="O215" s="15"/>
      <c r="P215" s="15"/>
      <c r="Q215" s="15"/>
      <c r="R215" s="15"/>
      <c r="S215" s="15"/>
      <c r="T215" s="15"/>
      <c r="U215" s="15"/>
      <c r="V215" s="15"/>
      <c r="W215" s="15"/>
      <c r="X215" s="14"/>
      <c r="Y215" s="14"/>
      <c r="Z215" s="435"/>
      <c r="AA215" s="3"/>
      <c r="AB215" s="3"/>
      <c r="AC215" s="3"/>
      <c r="AD215" s="3"/>
      <c r="AE215" s="3"/>
    </row>
    <row r="216" ht="15.75" customHeight="1">
      <c r="G216" s="424"/>
      <c r="J216" s="425"/>
      <c r="K216" s="188"/>
      <c r="L216" s="15"/>
      <c r="M216" s="15"/>
      <c r="N216" s="15"/>
      <c r="O216" s="15"/>
      <c r="P216" s="15"/>
      <c r="Q216" s="15"/>
      <c r="R216" s="15"/>
      <c r="S216" s="15"/>
      <c r="T216" s="15"/>
      <c r="U216" s="15"/>
      <c r="V216" s="15"/>
      <c r="W216" s="15"/>
      <c r="X216" s="14"/>
      <c r="Y216" s="14"/>
      <c r="Z216" s="435"/>
      <c r="AA216" s="3"/>
      <c r="AB216" s="3"/>
      <c r="AC216" s="3"/>
      <c r="AD216" s="3"/>
      <c r="AE216" s="3"/>
    </row>
    <row r="217" ht="15.75" customHeight="1">
      <c r="G217" s="424"/>
      <c r="J217" s="425"/>
      <c r="K217" s="188"/>
      <c r="L217" s="15"/>
      <c r="M217" s="15"/>
      <c r="N217" s="15"/>
      <c r="O217" s="15"/>
      <c r="P217" s="15"/>
      <c r="Q217" s="15"/>
      <c r="R217" s="15"/>
      <c r="S217" s="15"/>
      <c r="T217" s="15"/>
      <c r="U217" s="15"/>
      <c r="V217" s="15"/>
      <c r="W217" s="15"/>
      <c r="X217" s="14"/>
      <c r="Y217" s="14"/>
      <c r="Z217" s="435"/>
      <c r="AA217" s="3"/>
      <c r="AB217" s="3"/>
      <c r="AC217" s="3"/>
      <c r="AD217" s="3"/>
      <c r="AE217" s="3"/>
    </row>
    <row r="218" ht="15.75" customHeight="1">
      <c r="G218" s="424"/>
      <c r="J218" s="425"/>
      <c r="K218" s="188"/>
      <c r="L218" s="15"/>
      <c r="M218" s="15"/>
      <c r="N218" s="15"/>
      <c r="O218" s="15"/>
      <c r="P218" s="15"/>
      <c r="Q218" s="15"/>
      <c r="R218" s="15"/>
      <c r="S218" s="15"/>
      <c r="T218" s="15"/>
      <c r="U218" s="15"/>
      <c r="V218" s="15"/>
      <c r="W218" s="15"/>
      <c r="X218" s="14"/>
      <c r="Y218" s="14"/>
      <c r="Z218" s="435"/>
      <c r="AA218" s="3"/>
      <c r="AB218" s="3"/>
      <c r="AC218" s="3"/>
      <c r="AD218" s="3"/>
      <c r="AE218" s="3"/>
    </row>
    <row r="219" ht="15.75" customHeight="1">
      <c r="G219" s="424"/>
      <c r="J219" s="425"/>
      <c r="K219" s="188"/>
      <c r="L219" s="15"/>
      <c r="M219" s="15"/>
      <c r="N219" s="15"/>
      <c r="O219" s="15"/>
      <c r="P219" s="15"/>
      <c r="Q219" s="15"/>
      <c r="R219" s="15"/>
      <c r="S219" s="15"/>
      <c r="T219" s="15"/>
      <c r="U219" s="15"/>
      <c r="V219" s="15"/>
      <c r="W219" s="15"/>
      <c r="X219" s="14"/>
      <c r="Y219" s="14"/>
      <c r="Z219" s="435"/>
      <c r="AA219" s="3"/>
      <c r="AB219" s="3"/>
      <c r="AC219" s="3"/>
      <c r="AD219" s="3"/>
      <c r="AE219" s="3"/>
    </row>
    <row r="220" ht="15.75" customHeight="1">
      <c r="G220" s="424"/>
      <c r="J220" s="425"/>
      <c r="K220" s="188"/>
      <c r="L220" s="15"/>
      <c r="M220" s="15"/>
      <c r="N220" s="15"/>
      <c r="O220" s="15"/>
      <c r="P220" s="15"/>
      <c r="Q220" s="15"/>
      <c r="R220" s="15"/>
      <c r="S220" s="15"/>
      <c r="T220" s="15"/>
      <c r="U220" s="15"/>
      <c r="V220" s="15"/>
      <c r="W220" s="15"/>
      <c r="X220" s="14"/>
      <c r="Y220" s="14"/>
      <c r="Z220" s="435"/>
      <c r="AA220" s="3"/>
      <c r="AB220" s="3"/>
      <c r="AC220" s="3"/>
      <c r="AD220" s="3"/>
      <c r="AE220" s="3"/>
    </row>
    <row r="221" ht="15.75" customHeight="1">
      <c r="G221" s="424"/>
      <c r="J221" s="425"/>
      <c r="K221" s="188"/>
      <c r="L221" s="15"/>
      <c r="M221" s="15"/>
      <c r="N221" s="15"/>
      <c r="O221" s="15"/>
      <c r="P221" s="15"/>
      <c r="Q221" s="15"/>
      <c r="R221" s="15"/>
      <c r="S221" s="15"/>
      <c r="T221" s="15"/>
      <c r="U221" s="15"/>
      <c r="V221" s="15"/>
      <c r="W221" s="15"/>
      <c r="X221" s="14"/>
      <c r="Y221" s="14"/>
      <c r="Z221" s="435"/>
      <c r="AA221" s="3"/>
      <c r="AB221" s="3"/>
      <c r="AC221" s="3"/>
      <c r="AD221" s="3"/>
      <c r="AE221" s="3"/>
    </row>
    <row r="222" ht="15.75" customHeight="1">
      <c r="G222" s="424"/>
      <c r="J222" s="425"/>
      <c r="K222" s="188"/>
      <c r="L222" s="15"/>
      <c r="M222" s="15"/>
      <c r="N222" s="15"/>
      <c r="O222" s="15"/>
      <c r="P222" s="15"/>
      <c r="Q222" s="15"/>
      <c r="R222" s="15"/>
      <c r="S222" s="15"/>
      <c r="T222" s="15"/>
      <c r="U222" s="15"/>
      <c r="V222" s="15"/>
      <c r="W222" s="15"/>
      <c r="X222" s="14"/>
      <c r="Y222" s="14"/>
      <c r="Z222" s="435"/>
      <c r="AA222" s="3"/>
      <c r="AB222" s="3"/>
      <c r="AC222" s="3"/>
      <c r="AD222" s="3"/>
      <c r="AE222" s="3"/>
    </row>
    <row r="223" ht="15.75" customHeight="1">
      <c r="G223" s="424"/>
      <c r="J223" s="425"/>
      <c r="K223" s="188"/>
      <c r="L223" s="15"/>
      <c r="M223" s="15"/>
      <c r="N223" s="15"/>
      <c r="O223" s="15"/>
      <c r="P223" s="15"/>
      <c r="Q223" s="15"/>
      <c r="R223" s="15"/>
      <c r="S223" s="15"/>
      <c r="T223" s="15"/>
      <c r="U223" s="15"/>
      <c r="V223" s="15"/>
      <c r="W223" s="15"/>
      <c r="X223" s="14"/>
      <c r="Y223" s="14"/>
      <c r="Z223" s="435"/>
      <c r="AA223" s="3"/>
      <c r="AB223" s="3"/>
      <c r="AC223" s="3"/>
      <c r="AD223" s="3"/>
      <c r="AE223" s="3"/>
    </row>
    <row r="224" ht="15.75" customHeight="1">
      <c r="G224" s="424"/>
      <c r="J224" s="425"/>
      <c r="K224" s="188"/>
      <c r="L224" s="15"/>
      <c r="M224" s="15"/>
      <c r="N224" s="15"/>
      <c r="O224" s="15"/>
      <c r="P224" s="15"/>
      <c r="Q224" s="15"/>
      <c r="R224" s="15"/>
      <c r="S224" s="15"/>
      <c r="T224" s="15"/>
      <c r="U224" s="15"/>
      <c r="V224" s="15"/>
      <c r="W224" s="15"/>
      <c r="X224" s="14"/>
      <c r="Y224" s="14"/>
      <c r="Z224" s="435"/>
      <c r="AA224" s="3"/>
      <c r="AB224" s="3"/>
      <c r="AC224" s="3"/>
      <c r="AD224" s="3"/>
      <c r="AE224" s="3"/>
    </row>
    <row r="225" ht="15.75" customHeight="1">
      <c r="G225" s="424"/>
      <c r="J225" s="425"/>
      <c r="K225" s="188"/>
      <c r="L225" s="15"/>
      <c r="M225" s="15"/>
      <c r="N225" s="15"/>
      <c r="O225" s="15"/>
      <c r="P225" s="15"/>
      <c r="Q225" s="15"/>
      <c r="R225" s="15"/>
      <c r="S225" s="15"/>
      <c r="T225" s="15"/>
      <c r="U225" s="15"/>
      <c r="V225" s="15"/>
      <c r="W225" s="15"/>
      <c r="X225" s="14"/>
      <c r="Y225" s="14"/>
      <c r="Z225" s="435"/>
      <c r="AA225" s="3"/>
      <c r="AB225" s="3"/>
      <c r="AC225" s="3"/>
      <c r="AD225" s="3"/>
      <c r="AE225" s="3"/>
    </row>
    <row r="226" ht="15.75" customHeight="1">
      <c r="G226" s="424"/>
      <c r="J226" s="425"/>
      <c r="K226" s="188"/>
      <c r="L226" s="15"/>
      <c r="M226" s="15"/>
      <c r="N226" s="15"/>
      <c r="O226" s="15"/>
      <c r="P226" s="15"/>
      <c r="Q226" s="15"/>
      <c r="R226" s="15"/>
      <c r="S226" s="15"/>
      <c r="T226" s="15"/>
      <c r="U226" s="15"/>
      <c r="V226" s="15"/>
      <c r="W226" s="15"/>
      <c r="X226" s="14"/>
      <c r="Y226" s="14"/>
      <c r="Z226" s="435"/>
      <c r="AA226" s="3"/>
      <c r="AB226" s="3"/>
      <c r="AC226" s="3"/>
      <c r="AD226" s="3"/>
      <c r="AE226" s="3"/>
    </row>
    <row r="227" ht="15.75" customHeight="1">
      <c r="G227" s="424"/>
      <c r="J227" s="425"/>
      <c r="K227" s="188"/>
      <c r="L227" s="15"/>
      <c r="M227" s="15"/>
      <c r="N227" s="15"/>
      <c r="O227" s="15"/>
      <c r="P227" s="15"/>
      <c r="Q227" s="15"/>
      <c r="R227" s="15"/>
      <c r="S227" s="15"/>
      <c r="T227" s="15"/>
      <c r="U227" s="15"/>
      <c r="V227" s="15"/>
      <c r="W227" s="15"/>
      <c r="X227" s="14"/>
      <c r="Y227" s="14"/>
      <c r="Z227" s="435"/>
      <c r="AA227" s="3"/>
      <c r="AB227" s="3"/>
      <c r="AC227" s="3"/>
      <c r="AD227" s="3"/>
      <c r="AE227" s="3"/>
    </row>
    <row r="228" ht="15.75" customHeight="1">
      <c r="G228" s="424"/>
      <c r="J228" s="425"/>
      <c r="K228" s="188"/>
      <c r="L228" s="15"/>
      <c r="M228" s="15"/>
      <c r="N228" s="15"/>
      <c r="O228" s="15"/>
      <c r="P228" s="15"/>
      <c r="Q228" s="15"/>
      <c r="R228" s="15"/>
      <c r="S228" s="15"/>
      <c r="T228" s="15"/>
      <c r="U228" s="15"/>
      <c r="V228" s="15"/>
      <c r="W228" s="15"/>
      <c r="X228" s="14"/>
      <c r="Y228" s="14"/>
      <c r="Z228" s="435"/>
      <c r="AA228" s="3"/>
      <c r="AB228" s="3"/>
      <c r="AC228" s="3"/>
      <c r="AD228" s="3"/>
      <c r="AE228" s="3"/>
    </row>
    <row r="229" ht="15.75" customHeight="1">
      <c r="G229" s="424"/>
      <c r="J229" s="425"/>
      <c r="K229" s="188"/>
      <c r="L229" s="15"/>
      <c r="M229" s="15"/>
      <c r="N229" s="15"/>
      <c r="O229" s="15"/>
      <c r="P229" s="15"/>
      <c r="Q229" s="15"/>
      <c r="R229" s="15"/>
      <c r="S229" s="15"/>
      <c r="T229" s="15"/>
      <c r="U229" s="15"/>
      <c r="V229" s="15"/>
      <c r="W229" s="15"/>
      <c r="X229" s="14"/>
      <c r="Y229" s="14"/>
      <c r="Z229" s="435"/>
      <c r="AA229" s="3"/>
      <c r="AB229" s="3"/>
      <c r="AC229" s="3"/>
      <c r="AD229" s="3"/>
      <c r="AE229" s="3"/>
    </row>
    <row r="230" ht="15.75" customHeight="1">
      <c r="G230" s="424"/>
      <c r="J230" s="425"/>
      <c r="K230" s="188"/>
      <c r="L230" s="15"/>
      <c r="M230" s="15"/>
      <c r="N230" s="15"/>
      <c r="O230" s="15"/>
      <c r="P230" s="15"/>
      <c r="Q230" s="15"/>
      <c r="R230" s="15"/>
      <c r="S230" s="15"/>
      <c r="T230" s="15"/>
      <c r="U230" s="15"/>
      <c r="V230" s="15"/>
      <c r="W230" s="15"/>
      <c r="X230" s="14"/>
      <c r="Y230" s="14"/>
      <c r="Z230" s="435"/>
      <c r="AA230" s="3"/>
      <c r="AB230" s="3"/>
      <c r="AC230" s="3"/>
      <c r="AD230" s="3"/>
      <c r="AE230" s="3"/>
    </row>
    <row r="231" ht="15.75" customHeight="1">
      <c r="G231" s="424"/>
      <c r="J231" s="425"/>
      <c r="K231" s="188"/>
      <c r="L231" s="15"/>
      <c r="M231" s="15"/>
      <c r="N231" s="15"/>
      <c r="O231" s="15"/>
      <c r="P231" s="15"/>
      <c r="Q231" s="15"/>
      <c r="R231" s="15"/>
      <c r="S231" s="15"/>
      <c r="T231" s="15"/>
      <c r="U231" s="15"/>
      <c r="V231" s="15"/>
      <c r="W231" s="15"/>
      <c r="X231" s="14"/>
      <c r="Y231" s="14"/>
      <c r="Z231" s="435"/>
      <c r="AA231" s="3"/>
      <c r="AB231" s="3"/>
      <c r="AC231" s="3"/>
      <c r="AD231" s="3"/>
      <c r="AE231" s="3"/>
    </row>
    <row r="232" ht="15.75" customHeight="1">
      <c r="G232" s="424"/>
      <c r="J232" s="425"/>
      <c r="K232" s="188"/>
      <c r="L232" s="15"/>
      <c r="M232" s="15"/>
      <c r="N232" s="15"/>
      <c r="O232" s="15"/>
      <c r="P232" s="15"/>
      <c r="Q232" s="15"/>
      <c r="R232" s="15"/>
      <c r="S232" s="15"/>
      <c r="T232" s="15"/>
      <c r="U232" s="15"/>
      <c r="V232" s="15"/>
      <c r="W232" s="15"/>
      <c r="X232" s="14"/>
      <c r="Y232" s="14"/>
      <c r="Z232" s="435"/>
      <c r="AA232" s="3"/>
      <c r="AB232" s="3"/>
      <c r="AC232" s="3"/>
      <c r="AD232" s="3"/>
      <c r="AE232" s="3"/>
    </row>
    <row r="233" ht="15.75" customHeight="1">
      <c r="G233" s="424"/>
      <c r="J233" s="425"/>
      <c r="K233" s="188"/>
      <c r="L233" s="15"/>
      <c r="M233" s="15"/>
      <c r="N233" s="15"/>
      <c r="O233" s="15"/>
      <c r="P233" s="15"/>
      <c r="Q233" s="15"/>
      <c r="R233" s="15"/>
      <c r="S233" s="15"/>
      <c r="T233" s="15"/>
      <c r="U233" s="15"/>
      <c r="V233" s="15"/>
      <c r="W233" s="15"/>
      <c r="X233" s="14"/>
      <c r="Y233" s="14"/>
      <c r="Z233" s="435"/>
      <c r="AA233" s="3"/>
      <c r="AB233" s="3"/>
      <c r="AC233" s="3"/>
      <c r="AD233" s="3"/>
      <c r="AE233" s="3"/>
    </row>
    <row r="234" ht="15.75" customHeight="1">
      <c r="G234" s="424"/>
      <c r="J234" s="425"/>
      <c r="K234" s="188"/>
      <c r="L234" s="15"/>
      <c r="M234" s="15"/>
      <c r="N234" s="15"/>
      <c r="O234" s="15"/>
      <c r="P234" s="15"/>
      <c r="Q234" s="15"/>
      <c r="R234" s="15"/>
      <c r="S234" s="15"/>
      <c r="T234" s="15"/>
      <c r="U234" s="15"/>
      <c r="V234" s="15"/>
      <c r="W234" s="15"/>
      <c r="X234" s="14"/>
      <c r="Y234" s="14"/>
      <c r="Z234" s="435"/>
      <c r="AA234" s="3"/>
      <c r="AB234" s="3"/>
      <c r="AC234" s="3"/>
      <c r="AD234" s="3"/>
      <c r="AE234" s="3"/>
    </row>
    <row r="235" ht="15.75" customHeight="1">
      <c r="G235" s="424"/>
      <c r="J235" s="425"/>
      <c r="K235" s="188"/>
      <c r="L235" s="15"/>
      <c r="M235" s="15"/>
      <c r="N235" s="15"/>
      <c r="O235" s="15"/>
      <c r="P235" s="15"/>
      <c r="Q235" s="15"/>
      <c r="R235" s="15"/>
      <c r="S235" s="15"/>
      <c r="T235" s="15"/>
      <c r="U235" s="15"/>
      <c r="V235" s="15"/>
      <c r="W235" s="15"/>
      <c r="X235" s="14"/>
      <c r="Y235" s="14"/>
      <c r="Z235" s="435"/>
      <c r="AA235" s="3"/>
      <c r="AB235" s="3"/>
      <c r="AC235" s="3"/>
      <c r="AD235" s="3"/>
      <c r="AE235" s="3"/>
    </row>
    <row r="236" ht="15.75" customHeight="1">
      <c r="G236" s="424"/>
      <c r="J236" s="425"/>
      <c r="K236" s="188"/>
      <c r="L236" s="15"/>
      <c r="M236" s="15"/>
      <c r="N236" s="15"/>
      <c r="O236" s="15"/>
      <c r="P236" s="15"/>
      <c r="Q236" s="15"/>
      <c r="R236" s="15"/>
      <c r="S236" s="15"/>
      <c r="T236" s="15"/>
      <c r="U236" s="15"/>
      <c r="V236" s="15"/>
      <c r="W236" s="15"/>
      <c r="X236" s="14"/>
      <c r="Y236" s="14"/>
      <c r="Z236" s="435"/>
      <c r="AA236" s="3"/>
      <c r="AB236" s="3"/>
      <c r="AC236" s="3"/>
      <c r="AD236" s="3"/>
      <c r="AE236" s="3"/>
    </row>
    <row r="237" ht="15.75" customHeight="1">
      <c r="G237" s="424"/>
      <c r="J237" s="425"/>
      <c r="K237" s="188"/>
      <c r="L237" s="15"/>
      <c r="M237" s="15"/>
      <c r="N237" s="15"/>
      <c r="O237" s="15"/>
      <c r="P237" s="15"/>
      <c r="Q237" s="15"/>
      <c r="R237" s="15"/>
      <c r="S237" s="15"/>
      <c r="T237" s="15"/>
      <c r="U237" s="15"/>
      <c r="V237" s="15"/>
      <c r="W237" s="15"/>
      <c r="X237" s="14"/>
      <c r="Y237" s="14"/>
      <c r="Z237" s="435"/>
      <c r="AA237" s="3"/>
      <c r="AB237" s="3"/>
      <c r="AC237" s="3"/>
      <c r="AD237" s="3"/>
      <c r="AE237" s="3"/>
    </row>
    <row r="238" ht="15.75" customHeight="1">
      <c r="G238" s="424"/>
      <c r="J238" s="425"/>
      <c r="K238" s="188"/>
      <c r="L238" s="15"/>
      <c r="M238" s="15"/>
      <c r="N238" s="15"/>
      <c r="O238" s="15"/>
      <c r="P238" s="15"/>
      <c r="Q238" s="15"/>
      <c r="R238" s="15"/>
      <c r="S238" s="15"/>
      <c r="T238" s="15"/>
      <c r="U238" s="15"/>
      <c r="V238" s="15"/>
      <c r="W238" s="15"/>
      <c r="X238" s="14"/>
      <c r="Y238" s="14"/>
      <c r="Z238" s="435"/>
      <c r="AA238" s="3"/>
      <c r="AB238" s="3"/>
      <c r="AC238" s="3"/>
      <c r="AD238" s="3"/>
      <c r="AE238" s="3"/>
    </row>
    <row r="239" ht="15.75" customHeight="1">
      <c r="G239" s="424"/>
      <c r="J239" s="425"/>
      <c r="K239" s="188"/>
      <c r="L239" s="15"/>
      <c r="M239" s="15"/>
      <c r="N239" s="15"/>
      <c r="O239" s="15"/>
      <c r="P239" s="15"/>
      <c r="Q239" s="15"/>
      <c r="R239" s="15"/>
      <c r="S239" s="15"/>
      <c r="T239" s="15"/>
      <c r="U239" s="15"/>
      <c r="V239" s="15"/>
      <c r="W239" s="15"/>
      <c r="X239" s="14"/>
      <c r="Y239" s="14"/>
      <c r="Z239" s="435"/>
      <c r="AA239" s="3"/>
      <c r="AB239" s="3"/>
      <c r="AC239" s="3"/>
      <c r="AD239" s="3"/>
      <c r="AE239" s="3"/>
    </row>
    <row r="240" ht="15.75" customHeight="1">
      <c r="G240" s="424"/>
      <c r="J240" s="425"/>
      <c r="K240" s="188"/>
      <c r="L240" s="15"/>
      <c r="M240" s="15"/>
      <c r="N240" s="15"/>
      <c r="O240" s="15"/>
      <c r="P240" s="15"/>
      <c r="Q240" s="15"/>
      <c r="R240" s="15"/>
      <c r="S240" s="15"/>
      <c r="T240" s="15"/>
      <c r="U240" s="15"/>
      <c r="V240" s="15"/>
      <c r="W240" s="15"/>
      <c r="X240" s="14"/>
      <c r="Y240" s="14"/>
      <c r="Z240" s="435"/>
      <c r="AA240" s="3"/>
      <c r="AB240" s="3"/>
      <c r="AC240" s="3"/>
      <c r="AD240" s="3"/>
      <c r="AE240" s="3"/>
    </row>
    <row r="241" ht="15.75" customHeight="1">
      <c r="G241" s="424"/>
      <c r="J241" s="425"/>
      <c r="K241" s="188"/>
      <c r="L241" s="15"/>
      <c r="M241" s="15"/>
      <c r="N241" s="15"/>
      <c r="O241" s="15"/>
      <c r="P241" s="15"/>
      <c r="Q241" s="15"/>
      <c r="R241" s="15"/>
      <c r="S241" s="15"/>
      <c r="T241" s="15"/>
      <c r="U241" s="15"/>
      <c r="V241" s="15"/>
      <c r="W241" s="15"/>
      <c r="X241" s="14"/>
      <c r="Y241" s="14"/>
      <c r="Z241" s="435"/>
      <c r="AA241" s="3"/>
      <c r="AB241" s="3"/>
      <c r="AC241" s="3"/>
      <c r="AD241" s="3"/>
      <c r="AE241" s="3"/>
    </row>
    <row r="242" ht="15.75" customHeight="1">
      <c r="G242" s="424"/>
      <c r="J242" s="425"/>
      <c r="K242" s="188"/>
      <c r="L242" s="15"/>
      <c r="M242" s="15"/>
      <c r="N242" s="15"/>
      <c r="O242" s="15"/>
      <c r="P242" s="15"/>
      <c r="Q242" s="15"/>
      <c r="R242" s="15"/>
      <c r="S242" s="15"/>
      <c r="T242" s="15"/>
      <c r="U242" s="15"/>
      <c r="V242" s="15"/>
      <c r="W242" s="15"/>
      <c r="X242" s="14"/>
      <c r="Y242" s="14"/>
      <c r="Z242" s="435"/>
      <c r="AA242" s="3"/>
      <c r="AB242" s="3"/>
      <c r="AC242" s="3"/>
      <c r="AD242" s="3"/>
      <c r="AE242" s="3"/>
    </row>
    <row r="243" ht="15.75" customHeight="1">
      <c r="G243" s="424"/>
      <c r="J243" s="425"/>
      <c r="K243" s="188"/>
      <c r="L243" s="15"/>
      <c r="M243" s="15"/>
      <c r="N243" s="15"/>
      <c r="O243" s="15"/>
      <c r="P243" s="15"/>
      <c r="Q243" s="15"/>
      <c r="R243" s="15"/>
      <c r="S243" s="15"/>
      <c r="T243" s="15"/>
      <c r="U243" s="15"/>
      <c r="V243" s="15"/>
      <c r="W243" s="15"/>
      <c r="X243" s="14"/>
      <c r="Y243" s="14"/>
      <c r="Z243" s="435"/>
      <c r="AA243" s="3"/>
      <c r="AB243" s="3"/>
      <c r="AC243" s="3"/>
      <c r="AD243" s="3"/>
      <c r="AE243" s="3"/>
    </row>
    <row r="244" ht="15.75" customHeight="1">
      <c r="G244" s="424"/>
      <c r="J244" s="425"/>
      <c r="K244" s="188"/>
      <c r="L244" s="15"/>
      <c r="M244" s="15"/>
      <c r="N244" s="15"/>
      <c r="O244" s="15"/>
      <c r="P244" s="15"/>
      <c r="Q244" s="15"/>
      <c r="R244" s="15"/>
      <c r="S244" s="15"/>
      <c r="T244" s="15"/>
      <c r="U244" s="15"/>
      <c r="V244" s="15"/>
      <c r="W244" s="15"/>
      <c r="X244" s="14"/>
      <c r="Y244" s="14"/>
      <c r="Z244" s="435"/>
      <c r="AA244" s="3"/>
      <c r="AB244" s="3"/>
      <c r="AC244" s="3"/>
      <c r="AD244" s="3"/>
      <c r="AE244" s="3"/>
    </row>
    <row r="245" ht="15.75" customHeight="1">
      <c r="G245" s="424"/>
      <c r="J245" s="425"/>
      <c r="K245" s="188"/>
      <c r="L245" s="15"/>
      <c r="M245" s="15"/>
      <c r="N245" s="15"/>
      <c r="O245" s="15"/>
      <c r="P245" s="15"/>
      <c r="Q245" s="15"/>
      <c r="R245" s="15"/>
      <c r="S245" s="15"/>
      <c r="T245" s="15"/>
      <c r="U245" s="15"/>
      <c r="V245" s="15"/>
      <c r="W245" s="15"/>
      <c r="X245" s="14"/>
      <c r="Y245" s="14"/>
      <c r="Z245" s="435"/>
      <c r="AA245" s="3"/>
      <c r="AB245" s="3"/>
      <c r="AC245" s="3"/>
      <c r="AD245" s="3"/>
      <c r="AE245" s="3"/>
    </row>
    <row r="246" ht="15.75" customHeight="1">
      <c r="G246" s="424"/>
      <c r="J246" s="425"/>
      <c r="K246" s="188"/>
      <c r="L246" s="15"/>
      <c r="M246" s="15"/>
      <c r="N246" s="15"/>
      <c r="O246" s="15"/>
      <c r="P246" s="15"/>
      <c r="Q246" s="15"/>
      <c r="R246" s="15"/>
      <c r="S246" s="15"/>
      <c r="T246" s="15"/>
      <c r="U246" s="15"/>
      <c r="V246" s="15"/>
      <c r="W246" s="15"/>
      <c r="X246" s="14"/>
      <c r="Y246" s="14"/>
      <c r="Z246" s="435"/>
      <c r="AA246" s="3"/>
      <c r="AB246" s="3"/>
      <c r="AC246" s="3"/>
      <c r="AD246" s="3"/>
      <c r="AE246" s="3"/>
    </row>
    <row r="247" ht="15.75" customHeight="1">
      <c r="G247" s="424"/>
      <c r="J247" s="425"/>
      <c r="K247" s="188"/>
      <c r="L247" s="15"/>
      <c r="M247" s="15"/>
      <c r="N247" s="15"/>
      <c r="O247" s="15"/>
      <c r="P247" s="15"/>
      <c r="Q247" s="15"/>
      <c r="R247" s="15"/>
      <c r="S247" s="15"/>
      <c r="T247" s="15"/>
      <c r="U247" s="15"/>
      <c r="V247" s="15"/>
      <c r="W247" s="15"/>
      <c r="X247" s="14"/>
      <c r="Y247" s="14"/>
      <c r="Z247" s="435"/>
      <c r="AA247" s="3"/>
      <c r="AB247" s="3"/>
      <c r="AC247" s="3"/>
      <c r="AD247" s="3"/>
      <c r="AE247" s="3"/>
    </row>
    <row r="248" ht="15.75" customHeight="1">
      <c r="G248" s="424"/>
      <c r="J248" s="425"/>
      <c r="K248" s="188"/>
      <c r="L248" s="15"/>
      <c r="M248" s="15"/>
      <c r="N248" s="15"/>
      <c r="O248" s="15"/>
      <c r="P248" s="15"/>
      <c r="Q248" s="15"/>
      <c r="R248" s="15"/>
      <c r="S248" s="15"/>
      <c r="T248" s="15"/>
      <c r="U248" s="15"/>
      <c r="V248" s="15"/>
      <c r="W248" s="15"/>
      <c r="X248" s="14"/>
      <c r="Y248" s="14"/>
      <c r="Z248" s="435"/>
      <c r="AA248" s="3"/>
      <c r="AB248" s="3"/>
      <c r="AC248" s="3"/>
      <c r="AD248" s="3"/>
      <c r="AE248" s="3"/>
    </row>
    <row r="249" ht="15.75" customHeight="1">
      <c r="G249" s="424"/>
      <c r="J249" s="425"/>
      <c r="K249" s="188"/>
      <c r="L249" s="15"/>
      <c r="M249" s="15"/>
      <c r="N249" s="15"/>
      <c r="O249" s="15"/>
      <c r="P249" s="15"/>
      <c r="Q249" s="15"/>
      <c r="R249" s="15"/>
      <c r="S249" s="15"/>
      <c r="T249" s="15"/>
      <c r="U249" s="15"/>
      <c r="V249" s="15"/>
      <c r="W249" s="15"/>
      <c r="X249" s="14"/>
      <c r="Y249" s="14"/>
      <c r="Z249" s="435"/>
      <c r="AA249" s="3"/>
      <c r="AB249" s="3"/>
      <c r="AC249" s="3"/>
      <c r="AD249" s="3"/>
      <c r="AE249" s="3"/>
    </row>
    <row r="250" ht="15.75" customHeight="1">
      <c r="G250" s="424"/>
      <c r="J250" s="425"/>
      <c r="K250" s="188"/>
      <c r="L250" s="15"/>
      <c r="M250" s="15"/>
      <c r="N250" s="15"/>
      <c r="O250" s="15"/>
      <c r="P250" s="15"/>
      <c r="Q250" s="15"/>
      <c r="R250" s="15"/>
      <c r="S250" s="15"/>
      <c r="T250" s="15"/>
      <c r="U250" s="15"/>
      <c r="V250" s="15"/>
      <c r="W250" s="15"/>
      <c r="X250" s="14"/>
      <c r="Y250" s="14"/>
      <c r="Z250" s="435"/>
      <c r="AA250" s="3"/>
      <c r="AB250" s="3"/>
      <c r="AC250" s="3"/>
      <c r="AD250" s="3"/>
      <c r="AE250" s="3"/>
    </row>
    <row r="251" ht="15.75" customHeight="1">
      <c r="G251" s="424"/>
      <c r="J251" s="425"/>
      <c r="K251" s="188"/>
      <c r="L251" s="15"/>
      <c r="M251" s="15"/>
      <c r="N251" s="15"/>
      <c r="O251" s="15"/>
      <c r="P251" s="15"/>
      <c r="Q251" s="15"/>
      <c r="R251" s="15"/>
      <c r="S251" s="15"/>
      <c r="T251" s="15"/>
      <c r="U251" s="15"/>
      <c r="V251" s="15"/>
      <c r="W251" s="15"/>
      <c r="X251" s="14"/>
      <c r="Y251" s="14"/>
      <c r="Z251" s="435"/>
      <c r="AA251" s="3"/>
      <c r="AB251" s="3"/>
      <c r="AC251" s="3"/>
      <c r="AD251" s="3"/>
      <c r="AE251" s="3"/>
    </row>
    <row r="252" ht="15.75" customHeight="1">
      <c r="G252" s="424"/>
      <c r="J252" s="425"/>
      <c r="K252" s="188"/>
      <c r="L252" s="15"/>
      <c r="M252" s="15"/>
      <c r="N252" s="15"/>
      <c r="O252" s="15"/>
      <c r="P252" s="15"/>
      <c r="Q252" s="15"/>
      <c r="R252" s="15"/>
      <c r="S252" s="15"/>
      <c r="T252" s="15"/>
      <c r="U252" s="15"/>
      <c r="V252" s="15"/>
      <c r="W252" s="15"/>
      <c r="X252" s="14"/>
      <c r="Y252" s="14"/>
      <c r="Z252" s="435"/>
      <c r="AA252" s="3"/>
      <c r="AB252" s="3"/>
      <c r="AC252" s="3"/>
      <c r="AD252" s="3"/>
      <c r="AE252" s="3"/>
    </row>
    <row r="253" ht="15.75" customHeight="1">
      <c r="G253" s="424"/>
      <c r="J253" s="425"/>
      <c r="K253" s="188"/>
      <c r="L253" s="15"/>
      <c r="M253" s="15"/>
      <c r="N253" s="15"/>
      <c r="O253" s="15"/>
      <c r="P253" s="15"/>
      <c r="Q253" s="15"/>
      <c r="R253" s="15"/>
      <c r="S253" s="15"/>
      <c r="T253" s="15"/>
      <c r="U253" s="15"/>
      <c r="V253" s="15"/>
      <c r="W253" s="15"/>
      <c r="X253" s="14"/>
      <c r="Y253" s="14"/>
      <c r="Z253" s="435"/>
      <c r="AA253" s="3"/>
      <c r="AB253" s="3"/>
      <c r="AC253" s="3"/>
      <c r="AD253" s="3"/>
      <c r="AE253" s="3"/>
    </row>
    <row r="254" ht="15.75" customHeight="1">
      <c r="G254" s="424"/>
      <c r="J254" s="425"/>
      <c r="K254" s="188"/>
      <c r="L254" s="15"/>
      <c r="M254" s="15"/>
      <c r="N254" s="15"/>
      <c r="O254" s="15"/>
      <c r="P254" s="15"/>
      <c r="Q254" s="15"/>
      <c r="R254" s="15"/>
      <c r="S254" s="15"/>
      <c r="T254" s="15"/>
      <c r="U254" s="15"/>
      <c r="V254" s="15"/>
      <c r="W254" s="15"/>
      <c r="X254" s="14"/>
      <c r="Y254" s="14"/>
      <c r="Z254" s="435"/>
      <c r="AA254" s="3"/>
      <c r="AB254" s="3"/>
      <c r="AC254" s="3"/>
      <c r="AD254" s="3"/>
      <c r="AE254" s="3"/>
    </row>
    <row r="255" ht="15.75" customHeight="1">
      <c r="G255" s="424"/>
      <c r="J255" s="425"/>
      <c r="K255" s="188"/>
      <c r="L255" s="15"/>
      <c r="M255" s="15"/>
      <c r="N255" s="15"/>
      <c r="O255" s="15"/>
      <c r="P255" s="15"/>
      <c r="Q255" s="15"/>
      <c r="R255" s="15"/>
      <c r="S255" s="15"/>
      <c r="T255" s="15"/>
      <c r="U255" s="15"/>
      <c r="V255" s="15"/>
      <c r="W255" s="15"/>
      <c r="X255" s="14"/>
      <c r="Y255" s="14"/>
      <c r="Z255" s="435"/>
      <c r="AA255" s="3"/>
      <c r="AB255" s="3"/>
      <c r="AC255" s="3"/>
      <c r="AD255" s="3"/>
      <c r="AE255" s="3"/>
    </row>
    <row r="256" ht="15.75" customHeight="1">
      <c r="G256" s="424"/>
      <c r="J256" s="425"/>
      <c r="K256" s="188"/>
      <c r="L256" s="15"/>
      <c r="M256" s="15"/>
      <c r="N256" s="15"/>
      <c r="O256" s="15"/>
      <c r="P256" s="15"/>
      <c r="Q256" s="15"/>
      <c r="R256" s="15"/>
      <c r="S256" s="15"/>
      <c r="T256" s="15"/>
      <c r="U256" s="15"/>
      <c r="V256" s="15"/>
      <c r="W256" s="15"/>
      <c r="X256" s="14"/>
      <c r="Y256" s="14"/>
      <c r="Z256" s="435"/>
      <c r="AA256" s="3"/>
      <c r="AB256" s="3"/>
      <c r="AC256" s="3"/>
      <c r="AD256" s="3"/>
      <c r="AE256" s="3"/>
    </row>
    <row r="257" ht="15.75" customHeight="1">
      <c r="G257" s="424"/>
      <c r="J257" s="425"/>
      <c r="K257" s="188"/>
      <c r="L257" s="15"/>
      <c r="M257" s="15"/>
      <c r="N257" s="15"/>
      <c r="O257" s="15"/>
      <c r="P257" s="15"/>
      <c r="Q257" s="15"/>
      <c r="R257" s="15"/>
      <c r="S257" s="15"/>
      <c r="T257" s="15"/>
      <c r="U257" s="15"/>
      <c r="V257" s="15"/>
      <c r="W257" s="15"/>
      <c r="X257" s="14"/>
      <c r="Y257" s="14"/>
      <c r="Z257" s="435"/>
      <c r="AA257" s="3"/>
      <c r="AB257" s="3"/>
      <c r="AC257" s="3"/>
      <c r="AD257" s="3"/>
      <c r="AE257" s="3"/>
    </row>
    <row r="258" ht="15.75" customHeight="1">
      <c r="G258" s="424"/>
      <c r="J258" s="425"/>
      <c r="K258" s="188"/>
      <c r="L258" s="15"/>
      <c r="M258" s="15"/>
      <c r="N258" s="15"/>
      <c r="O258" s="15"/>
      <c r="P258" s="15"/>
      <c r="Q258" s="15"/>
      <c r="R258" s="15"/>
      <c r="S258" s="15"/>
      <c r="T258" s="15"/>
      <c r="U258" s="15"/>
      <c r="V258" s="15"/>
      <c r="W258" s="15"/>
      <c r="X258" s="14"/>
      <c r="Y258" s="14"/>
      <c r="Z258" s="435"/>
      <c r="AA258" s="3"/>
      <c r="AB258" s="3"/>
      <c r="AC258" s="3"/>
      <c r="AD258" s="3"/>
      <c r="AE258" s="3"/>
    </row>
    <row r="259" ht="15.75" customHeight="1">
      <c r="G259" s="424"/>
      <c r="J259" s="425"/>
      <c r="K259" s="188"/>
      <c r="L259" s="15"/>
      <c r="M259" s="15"/>
      <c r="N259" s="15"/>
      <c r="O259" s="15"/>
      <c r="P259" s="15"/>
      <c r="Q259" s="15"/>
      <c r="R259" s="15"/>
      <c r="S259" s="15"/>
      <c r="T259" s="15"/>
      <c r="U259" s="15"/>
      <c r="V259" s="15"/>
      <c r="W259" s="15"/>
      <c r="X259" s="14"/>
      <c r="Y259" s="14"/>
      <c r="Z259" s="435"/>
      <c r="AA259" s="3"/>
      <c r="AB259" s="3"/>
      <c r="AC259" s="3"/>
      <c r="AD259" s="3"/>
      <c r="AE259" s="3"/>
    </row>
    <row r="260" ht="15.75" customHeight="1">
      <c r="G260" s="424"/>
      <c r="J260" s="425"/>
      <c r="K260" s="188"/>
      <c r="L260" s="15"/>
      <c r="M260" s="15"/>
      <c r="N260" s="15"/>
      <c r="O260" s="15"/>
      <c r="P260" s="15"/>
      <c r="Q260" s="15"/>
      <c r="R260" s="15"/>
      <c r="S260" s="15"/>
      <c r="T260" s="15"/>
      <c r="U260" s="15"/>
      <c r="V260" s="15"/>
      <c r="W260" s="15"/>
      <c r="X260" s="14"/>
      <c r="Y260" s="14"/>
      <c r="Z260" s="435"/>
      <c r="AA260" s="3"/>
      <c r="AB260" s="3"/>
      <c r="AC260" s="3"/>
      <c r="AD260" s="3"/>
      <c r="AE260" s="3"/>
    </row>
    <row r="261" ht="15.75" customHeight="1">
      <c r="G261" s="424"/>
      <c r="J261" s="425"/>
      <c r="K261" s="188"/>
      <c r="L261" s="15"/>
      <c r="M261" s="15"/>
      <c r="N261" s="15"/>
      <c r="O261" s="15"/>
      <c r="P261" s="15"/>
      <c r="Q261" s="15"/>
      <c r="R261" s="15"/>
      <c r="S261" s="15"/>
      <c r="T261" s="15"/>
      <c r="U261" s="15"/>
      <c r="V261" s="15"/>
      <c r="W261" s="15"/>
      <c r="X261" s="14"/>
      <c r="Y261" s="14"/>
      <c r="Z261" s="435"/>
      <c r="AA261" s="3"/>
      <c r="AB261" s="3"/>
      <c r="AC261" s="3"/>
      <c r="AD261" s="3"/>
      <c r="AE261" s="3"/>
    </row>
    <row r="262" ht="15.75" customHeight="1">
      <c r="G262" s="424"/>
      <c r="J262" s="425"/>
      <c r="K262" s="188"/>
      <c r="L262" s="15"/>
      <c r="M262" s="15"/>
      <c r="N262" s="15"/>
      <c r="O262" s="15"/>
      <c r="P262" s="15"/>
      <c r="Q262" s="15"/>
      <c r="R262" s="15"/>
      <c r="S262" s="15"/>
      <c r="T262" s="15"/>
      <c r="U262" s="15"/>
      <c r="V262" s="15"/>
      <c r="W262" s="15"/>
      <c r="X262" s="14"/>
      <c r="Y262" s="14"/>
      <c r="Z262" s="435"/>
      <c r="AA262" s="3"/>
      <c r="AB262" s="3"/>
      <c r="AC262" s="3"/>
      <c r="AD262" s="3"/>
      <c r="AE262" s="3"/>
    </row>
    <row r="263" ht="15.75" customHeight="1">
      <c r="G263" s="424"/>
      <c r="J263" s="425"/>
      <c r="K263" s="188"/>
      <c r="L263" s="15"/>
      <c r="M263" s="15"/>
      <c r="N263" s="15"/>
      <c r="O263" s="15"/>
      <c r="P263" s="15"/>
      <c r="Q263" s="15"/>
      <c r="R263" s="15"/>
      <c r="S263" s="15"/>
      <c r="T263" s="15"/>
      <c r="U263" s="15"/>
      <c r="V263" s="15"/>
      <c r="W263" s="15"/>
      <c r="X263" s="14"/>
      <c r="Y263" s="14"/>
      <c r="Z263" s="435"/>
      <c r="AA263" s="3"/>
      <c r="AB263" s="3"/>
      <c r="AC263" s="3"/>
      <c r="AD263" s="3"/>
      <c r="AE263" s="3"/>
    </row>
    <row r="264" ht="15.75" customHeight="1">
      <c r="G264" s="424"/>
      <c r="J264" s="425"/>
      <c r="K264" s="188"/>
      <c r="L264" s="15"/>
      <c r="M264" s="15"/>
      <c r="N264" s="15"/>
      <c r="O264" s="15"/>
      <c r="P264" s="15"/>
      <c r="Q264" s="15"/>
      <c r="R264" s="15"/>
      <c r="S264" s="15"/>
      <c r="T264" s="15"/>
      <c r="U264" s="15"/>
      <c r="V264" s="15"/>
      <c r="W264" s="15"/>
      <c r="X264" s="14"/>
      <c r="Y264" s="14"/>
      <c r="Z264" s="435"/>
      <c r="AA264" s="3"/>
      <c r="AB264" s="3"/>
      <c r="AC264" s="3"/>
      <c r="AD264" s="3"/>
      <c r="AE264" s="3"/>
    </row>
    <row r="265" ht="15.75" customHeight="1">
      <c r="G265" s="424"/>
      <c r="J265" s="425"/>
      <c r="K265" s="188"/>
      <c r="L265" s="15"/>
      <c r="M265" s="15"/>
      <c r="N265" s="15"/>
      <c r="O265" s="15"/>
      <c r="P265" s="15"/>
      <c r="Q265" s="15"/>
      <c r="R265" s="15"/>
      <c r="S265" s="15"/>
      <c r="T265" s="15"/>
      <c r="U265" s="15"/>
      <c r="V265" s="15"/>
      <c r="W265" s="15"/>
      <c r="X265" s="14"/>
      <c r="Y265" s="14"/>
      <c r="Z265" s="435"/>
      <c r="AA265" s="3"/>
      <c r="AB265" s="3"/>
      <c r="AC265" s="3"/>
      <c r="AD265" s="3"/>
      <c r="AE265" s="3"/>
    </row>
    <row r="266" ht="15.75" customHeight="1">
      <c r="G266" s="424"/>
      <c r="J266" s="425"/>
      <c r="K266" s="188"/>
      <c r="L266" s="15"/>
      <c r="M266" s="15"/>
      <c r="N266" s="15"/>
      <c r="O266" s="15"/>
      <c r="P266" s="15"/>
      <c r="Q266" s="15"/>
      <c r="R266" s="15"/>
      <c r="S266" s="15"/>
      <c r="T266" s="15"/>
      <c r="U266" s="15"/>
      <c r="V266" s="15"/>
      <c r="W266" s="15"/>
      <c r="X266" s="14"/>
      <c r="Y266" s="14"/>
      <c r="Z266" s="435"/>
      <c r="AA266" s="3"/>
      <c r="AB266" s="3"/>
      <c r="AC266" s="3"/>
      <c r="AD266" s="3"/>
      <c r="AE266" s="3"/>
    </row>
    <row r="267" ht="15.75" customHeight="1">
      <c r="G267" s="424"/>
      <c r="J267" s="425"/>
      <c r="K267" s="188"/>
      <c r="L267" s="15"/>
      <c r="M267" s="15"/>
      <c r="N267" s="15"/>
      <c r="O267" s="15"/>
      <c r="P267" s="15"/>
      <c r="Q267" s="15"/>
      <c r="R267" s="15"/>
      <c r="S267" s="15"/>
      <c r="T267" s="15"/>
      <c r="U267" s="15"/>
      <c r="V267" s="15"/>
      <c r="W267" s="15"/>
      <c r="X267" s="14"/>
      <c r="Y267" s="14"/>
      <c r="Z267" s="435"/>
      <c r="AA267" s="3"/>
      <c r="AB267" s="3"/>
      <c r="AC267" s="3"/>
      <c r="AD267" s="3"/>
      <c r="AE267" s="3"/>
    </row>
    <row r="268" ht="15.75" customHeight="1">
      <c r="G268" s="424"/>
      <c r="J268" s="425"/>
      <c r="K268" s="188"/>
      <c r="L268" s="15"/>
      <c r="M268" s="15"/>
      <c r="N268" s="15"/>
      <c r="O268" s="15"/>
      <c r="P268" s="15"/>
      <c r="Q268" s="15"/>
      <c r="R268" s="15"/>
      <c r="S268" s="15"/>
      <c r="T268" s="15"/>
      <c r="U268" s="15"/>
      <c r="V268" s="15"/>
      <c r="W268" s="15"/>
      <c r="X268" s="14"/>
      <c r="Y268" s="14"/>
      <c r="Z268" s="435"/>
      <c r="AA268" s="3"/>
      <c r="AB268" s="3"/>
      <c r="AC268" s="3"/>
      <c r="AD268" s="3"/>
      <c r="AE268" s="3"/>
    </row>
    <row r="269" ht="15.75" customHeight="1">
      <c r="G269" s="424"/>
      <c r="J269" s="425"/>
      <c r="K269" s="188"/>
      <c r="L269" s="15"/>
      <c r="M269" s="15"/>
      <c r="N269" s="15"/>
      <c r="O269" s="15"/>
      <c r="P269" s="15"/>
      <c r="Q269" s="15"/>
      <c r="R269" s="15"/>
      <c r="S269" s="15"/>
      <c r="T269" s="15"/>
      <c r="U269" s="15"/>
      <c r="V269" s="15"/>
      <c r="W269" s="15"/>
      <c r="X269" s="14"/>
      <c r="Y269" s="14"/>
      <c r="Z269" s="435"/>
      <c r="AA269" s="3"/>
      <c r="AB269" s="3"/>
      <c r="AC269" s="3"/>
      <c r="AD269" s="3"/>
      <c r="AE269" s="3"/>
    </row>
    <row r="270" ht="15.75" customHeight="1">
      <c r="G270" s="424"/>
      <c r="J270" s="425"/>
      <c r="K270" s="188"/>
      <c r="L270" s="15"/>
      <c r="M270" s="15"/>
      <c r="N270" s="15"/>
      <c r="O270" s="15"/>
      <c r="P270" s="15"/>
      <c r="Q270" s="15"/>
      <c r="R270" s="15"/>
      <c r="S270" s="15"/>
      <c r="T270" s="15"/>
      <c r="U270" s="15"/>
      <c r="V270" s="15"/>
      <c r="W270" s="15"/>
      <c r="X270" s="14"/>
      <c r="Y270" s="14"/>
      <c r="Z270" s="435"/>
      <c r="AA270" s="3"/>
      <c r="AB270" s="3"/>
      <c r="AC270" s="3"/>
      <c r="AD270" s="3"/>
      <c r="AE270" s="3"/>
    </row>
    <row r="271" ht="15.75" customHeight="1">
      <c r="G271" s="424"/>
      <c r="J271" s="425"/>
      <c r="K271" s="188"/>
      <c r="L271" s="15"/>
      <c r="M271" s="15"/>
      <c r="N271" s="15"/>
      <c r="O271" s="15"/>
      <c r="P271" s="15"/>
      <c r="Q271" s="15"/>
      <c r="R271" s="15"/>
      <c r="S271" s="15"/>
      <c r="T271" s="15"/>
      <c r="U271" s="15"/>
      <c r="V271" s="15"/>
      <c r="W271" s="15"/>
      <c r="X271" s="14"/>
      <c r="Y271" s="14"/>
      <c r="Z271" s="435"/>
      <c r="AA271" s="3"/>
      <c r="AB271" s="3"/>
      <c r="AC271" s="3"/>
      <c r="AD271" s="3"/>
      <c r="AE271" s="3"/>
    </row>
    <row r="272" ht="15.75" customHeight="1">
      <c r="G272" s="424"/>
      <c r="J272" s="425"/>
      <c r="K272" s="188"/>
      <c r="L272" s="15"/>
      <c r="M272" s="15"/>
      <c r="N272" s="15"/>
      <c r="O272" s="15"/>
      <c r="P272" s="15"/>
      <c r="Q272" s="15"/>
      <c r="R272" s="15"/>
      <c r="S272" s="15"/>
      <c r="T272" s="15"/>
      <c r="U272" s="15"/>
      <c r="V272" s="15"/>
      <c r="W272" s="15"/>
      <c r="X272" s="14"/>
      <c r="Y272" s="14"/>
      <c r="Z272" s="435"/>
      <c r="AA272" s="3"/>
      <c r="AB272" s="3"/>
      <c r="AC272" s="3"/>
      <c r="AD272" s="3"/>
      <c r="AE272" s="3"/>
    </row>
    <row r="273" ht="15.75" customHeight="1">
      <c r="G273" s="424"/>
      <c r="J273" s="425"/>
      <c r="K273" s="188"/>
      <c r="L273" s="15"/>
      <c r="M273" s="15"/>
      <c r="N273" s="15"/>
      <c r="O273" s="15"/>
      <c r="P273" s="15"/>
      <c r="Q273" s="15"/>
      <c r="R273" s="15"/>
      <c r="S273" s="15"/>
      <c r="T273" s="15"/>
      <c r="U273" s="15"/>
      <c r="V273" s="15"/>
      <c r="W273" s="15"/>
      <c r="X273" s="14"/>
      <c r="Y273" s="14"/>
      <c r="Z273" s="435"/>
      <c r="AA273" s="3"/>
      <c r="AB273" s="3"/>
      <c r="AC273" s="3"/>
      <c r="AD273" s="3"/>
      <c r="AE273" s="3"/>
    </row>
    <row r="274" ht="15.75" customHeight="1">
      <c r="G274" s="424"/>
      <c r="J274" s="425"/>
      <c r="K274" s="188"/>
      <c r="L274" s="15"/>
      <c r="M274" s="15"/>
      <c r="N274" s="15"/>
      <c r="O274" s="15"/>
      <c r="P274" s="15"/>
      <c r="Q274" s="15"/>
      <c r="R274" s="15"/>
      <c r="S274" s="15"/>
      <c r="T274" s="15"/>
      <c r="U274" s="15"/>
      <c r="V274" s="15"/>
      <c r="W274" s="15"/>
      <c r="X274" s="14"/>
      <c r="Y274" s="14"/>
      <c r="Z274" s="435"/>
      <c r="AA274" s="3"/>
      <c r="AB274" s="3"/>
      <c r="AC274" s="3"/>
      <c r="AD274" s="3"/>
      <c r="AE274" s="3"/>
    </row>
    <row r="275" ht="15.75" customHeight="1">
      <c r="G275" s="424"/>
      <c r="J275" s="425"/>
      <c r="K275" s="188"/>
      <c r="L275" s="15"/>
      <c r="M275" s="15"/>
      <c r="N275" s="15"/>
      <c r="O275" s="15"/>
      <c r="P275" s="15"/>
      <c r="Q275" s="15"/>
      <c r="R275" s="15"/>
      <c r="S275" s="15"/>
      <c r="T275" s="15"/>
      <c r="U275" s="15"/>
      <c r="V275" s="15"/>
      <c r="W275" s="15"/>
      <c r="X275" s="14"/>
      <c r="Y275" s="14"/>
      <c r="Z275" s="435"/>
      <c r="AA275" s="3"/>
      <c r="AB275" s="3"/>
      <c r="AC275" s="3"/>
      <c r="AD275" s="3"/>
      <c r="AE275" s="3"/>
    </row>
    <row r="276" ht="15.75" customHeight="1">
      <c r="G276" s="424"/>
      <c r="J276" s="425"/>
      <c r="K276" s="188"/>
      <c r="L276" s="15"/>
      <c r="M276" s="15"/>
      <c r="N276" s="15"/>
      <c r="O276" s="15"/>
      <c r="P276" s="15"/>
      <c r="Q276" s="15"/>
      <c r="R276" s="15"/>
      <c r="S276" s="15"/>
      <c r="T276" s="15"/>
      <c r="U276" s="15"/>
      <c r="V276" s="15"/>
      <c r="W276" s="15"/>
      <c r="X276" s="14"/>
      <c r="Y276" s="14"/>
      <c r="Z276" s="435"/>
      <c r="AA276" s="3"/>
      <c r="AB276" s="3"/>
      <c r="AC276" s="3"/>
      <c r="AD276" s="3"/>
      <c r="AE276" s="3"/>
    </row>
    <row r="277" ht="15.75" customHeight="1">
      <c r="G277" s="424"/>
      <c r="J277" s="425"/>
      <c r="K277" s="188"/>
      <c r="L277" s="15"/>
      <c r="M277" s="15"/>
      <c r="N277" s="15"/>
      <c r="O277" s="15"/>
      <c r="P277" s="15"/>
      <c r="Q277" s="15"/>
      <c r="R277" s="15"/>
      <c r="S277" s="15"/>
      <c r="T277" s="15"/>
      <c r="U277" s="15"/>
      <c r="V277" s="15"/>
      <c r="W277" s="15"/>
      <c r="X277" s="14"/>
      <c r="Y277" s="14"/>
      <c r="Z277" s="435"/>
      <c r="AA277" s="3"/>
      <c r="AB277" s="3"/>
      <c r="AC277" s="3"/>
      <c r="AD277" s="3"/>
      <c r="AE277" s="3"/>
    </row>
    <row r="278" ht="15.75" customHeight="1">
      <c r="G278" s="424"/>
      <c r="J278" s="425"/>
      <c r="K278" s="188"/>
      <c r="L278" s="15"/>
      <c r="M278" s="15"/>
      <c r="N278" s="15"/>
      <c r="O278" s="15"/>
      <c r="P278" s="15"/>
      <c r="Q278" s="15"/>
      <c r="R278" s="15"/>
      <c r="S278" s="15"/>
      <c r="T278" s="15"/>
      <c r="U278" s="15"/>
      <c r="V278" s="15"/>
      <c r="W278" s="15"/>
      <c r="X278" s="14"/>
      <c r="Y278" s="14"/>
      <c r="Z278" s="435"/>
      <c r="AA278" s="3"/>
      <c r="AB278" s="3"/>
      <c r="AC278" s="3"/>
      <c r="AD278" s="3"/>
      <c r="AE278" s="3"/>
    </row>
    <row r="279" ht="15.75" customHeight="1">
      <c r="G279" s="424"/>
      <c r="J279" s="425"/>
      <c r="K279" s="188"/>
      <c r="L279" s="15"/>
      <c r="M279" s="15"/>
      <c r="N279" s="15"/>
      <c r="O279" s="15"/>
      <c r="P279" s="15"/>
      <c r="Q279" s="15"/>
      <c r="R279" s="15"/>
      <c r="S279" s="15"/>
      <c r="T279" s="15"/>
      <c r="U279" s="15"/>
      <c r="V279" s="15"/>
      <c r="W279" s="15"/>
      <c r="X279" s="14"/>
      <c r="Y279" s="14"/>
      <c r="Z279" s="435"/>
      <c r="AA279" s="3"/>
      <c r="AB279" s="3"/>
      <c r="AC279" s="3"/>
      <c r="AD279" s="3"/>
      <c r="AE279" s="3"/>
    </row>
    <row r="280" ht="15.75" customHeight="1">
      <c r="G280" s="424"/>
      <c r="J280" s="425"/>
      <c r="K280" s="188"/>
      <c r="L280" s="15"/>
      <c r="M280" s="15"/>
      <c r="N280" s="15"/>
      <c r="O280" s="15"/>
      <c r="P280" s="15"/>
      <c r="Q280" s="15"/>
      <c r="R280" s="15"/>
      <c r="S280" s="15"/>
      <c r="T280" s="15"/>
      <c r="U280" s="15"/>
      <c r="V280" s="15"/>
      <c r="W280" s="15"/>
      <c r="X280" s="14"/>
      <c r="Y280" s="14"/>
      <c r="Z280" s="435"/>
      <c r="AA280" s="3"/>
      <c r="AB280" s="3"/>
      <c r="AC280" s="3"/>
      <c r="AD280" s="3"/>
      <c r="AE280" s="3"/>
    </row>
    <row r="281" ht="15.75" customHeight="1">
      <c r="G281" s="424"/>
      <c r="J281" s="425"/>
      <c r="K281" s="188"/>
      <c r="L281" s="15"/>
      <c r="M281" s="15"/>
      <c r="N281" s="15"/>
      <c r="O281" s="15"/>
      <c r="P281" s="15"/>
      <c r="Q281" s="15"/>
      <c r="R281" s="15"/>
      <c r="S281" s="15"/>
      <c r="T281" s="15"/>
      <c r="U281" s="15"/>
      <c r="V281" s="15"/>
      <c r="W281" s="15"/>
      <c r="X281" s="14"/>
      <c r="Y281" s="14"/>
      <c r="Z281" s="435"/>
      <c r="AA281" s="3"/>
      <c r="AB281" s="3"/>
      <c r="AC281" s="3"/>
      <c r="AD281" s="3"/>
      <c r="AE281" s="3"/>
    </row>
    <row r="282" ht="15.75" customHeight="1">
      <c r="G282" s="424"/>
      <c r="J282" s="425"/>
      <c r="K282" s="188"/>
      <c r="L282" s="15"/>
      <c r="M282" s="15"/>
      <c r="N282" s="15"/>
      <c r="O282" s="15"/>
      <c r="P282" s="15"/>
      <c r="Q282" s="15"/>
      <c r="R282" s="15"/>
      <c r="S282" s="15"/>
      <c r="T282" s="15"/>
      <c r="U282" s="15"/>
      <c r="V282" s="15"/>
      <c r="W282" s="15"/>
      <c r="X282" s="14"/>
      <c r="Y282" s="14"/>
      <c r="Z282" s="435"/>
      <c r="AA282" s="3"/>
      <c r="AB282" s="3"/>
      <c r="AC282" s="3"/>
      <c r="AD282" s="3"/>
      <c r="AE282" s="3"/>
    </row>
    <row r="283" ht="15.75" customHeight="1">
      <c r="G283" s="424"/>
      <c r="J283" s="425"/>
      <c r="K283" s="188"/>
      <c r="L283" s="15"/>
      <c r="M283" s="15"/>
      <c r="N283" s="15"/>
      <c r="O283" s="15"/>
      <c r="P283" s="15"/>
      <c r="Q283" s="15"/>
      <c r="R283" s="15"/>
      <c r="S283" s="15"/>
      <c r="T283" s="15"/>
      <c r="U283" s="15"/>
      <c r="V283" s="15"/>
      <c r="W283" s="15"/>
      <c r="X283" s="14"/>
      <c r="Y283" s="14"/>
      <c r="Z283" s="435"/>
      <c r="AA283" s="3"/>
      <c r="AB283" s="3"/>
      <c r="AC283" s="3"/>
      <c r="AD283" s="3"/>
      <c r="AE283" s="3"/>
    </row>
    <row r="284" ht="15.75" customHeight="1">
      <c r="G284" s="424"/>
      <c r="J284" s="425"/>
      <c r="K284" s="188"/>
      <c r="L284" s="15"/>
      <c r="M284" s="15"/>
      <c r="N284" s="15"/>
      <c r="O284" s="15"/>
      <c r="P284" s="15"/>
      <c r="Q284" s="15"/>
      <c r="R284" s="15"/>
      <c r="S284" s="15"/>
      <c r="T284" s="15"/>
      <c r="U284" s="15"/>
      <c r="V284" s="15"/>
      <c r="W284" s="15"/>
      <c r="X284" s="14"/>
      <c r="Y284" s="14"/>
      <c r="Z284" s="435"/>
      <c r="AA284" s="3"/>
      <c r="AB284" s="3"/>
      <c r="AC284" s="3"/>
      <c r="AD284" s="3"/>
      <c r="AE284" s="3"/>
    </row>
    <row r="285" ht="15.75" customHeight="1">
      <c r="G285" s="424"/>
      <c r="J285" s="425"/>
      <c r="K285" s="188"/>
      <c r="L285" s="15"/>
      <c r="M285" s="15"/>
      <c r="N285" s="15"/>
      <c r="O285" s="15"/>
      <c r="P285" s="15"/>
      <c r="Q285" s="15"/>
      <c r="R285" s="15"/>
      <c r="S285" s="15"/>
      <c r="T285" s="15"/>
      <c r="U285" s="15"/>
      <c r="V285" s="15"/>
      <c r="W285" s="15"/>
      <c r="X285" s="14"/>
      <c r="Y285" s="14"/>
      <c r="Z285" s="435"/>
      <c r="AA285" s="3"/>
      <c r="AB285" s="3"/>
      <c r="AC285" s="3"/>
      <c r="AD285" s="3"/>
      <c r="AE285" s="3"/>
    </row>
    <row r="286" ht="15.75" customHeight="1">
      <c r="G286" s="424"/>
      <c r="J286" s="425"/>
      <c r="K286" s="188"/>
      <c r="L286" s="15"/>
      <c r="M286" s="15"/>
      <c r="N286" s="15"/>
      <c r="O286" s="15"/>
      <c r="P286" s="15"/>
      <c r="Q286" s="15"/>
      <c r="R286" s="15"/>
      <c r="S286" s="15"/>
      <c r="T286" s="15"/>
      <c r="U286" s="15"/>
      <c r="V286" s="15"/>
      <c r="W286" s="15"/>
      <c r="X286" s="14"/>
      <c r="Y286" s="14"/>
      <c r="Z286" s="435"/>
      <c r="AA286" s="3"/>
      <c r="AB286" s="3"/>
      <c r="AC286" s="3"/>
      <c r="AD286" s="3"/>
      <c r="AE286" s="3"/>
    </row>
    <row r="287" ht="15.75" customHeight="1">
      <c r="G287" s="424"/>
      <c r="J287" s="425"/>
      <c r="K287" s="188"/>
      <c r="L287" s="15"/>
      <c r="M287" s="15"/>
      <c r="N287" s="15"/>
      <c r="O287" s="15"/>
      <c r="P287" s="15"/>
      <c r="Q287" s="15"/>
      <c r="R287" s="15"/>
      <c r="S287" s="15"/>
      <c r="T287" s="15"/>
      <c r="U287" s="15"/>
      <c r="V287" s="15"/>
      <c r="W287" s="15"/>
      <c r="X287" s="14"/>
      <c r="Y287" s="14"/>
      <c r="Z287" s="435"/>
      <c r="AA287" s="3"/>
      <c r="AB287" s="3"/>
      <c r="AC287" s="3"/>
      <c r="AD287" s="3"/>
      <c r="AE287" s="3"/>
    </row>
    <row r="288" ht="15.75" customHeight="1">
      <c r="G288" s="424"/>
      <c r="J288" s="425"/>
      <c r="K288" s="188"/>
      <c r="L288" s="15"/>
      <c r="M288" s="15"/>
      <c r="N288" s="15"/>
      <c r="O288" s="15"/>
      <c r="P288" s="15"/>
      <c r="Q288" s="15"/>
      <c r="R288" s="15"/>
      <c r="S288" s="15"/>
      <c r="T288" s="15"/>
      <c r="U288" s="15"/>
      <c r="V288" s="15"/>
      <c r="W288" s="15"/>
      <c r="X288" s="14"/>
      <c r="Y288" s="14"/>
      <c r="Z288" s="435"/>
      <c r="AA288" s="3"/>
      <c r="AB288" s="3"/>
      <c r="AC288" s="3"/>
      <c r="AD288" s="3"/>
      <c r="AE288" s="3"/>
    </row>
    <row r="289" ht="15.75" customHeight="1">
      <c r="G289" s="424"/>
      <c r="J289" s="425"/>
      <c r="K289" s="188"/>
      <c r="L289" s="15"/>
      <c r="M289" s="15"/>
      <c r="N289" s="15"/>
      <c r="O289" s="15"/>
      <c r="P289" s="15"/>
      <c r="Q289" s="15"/>
      <c r="R289" s="15"/>
      <c r="S289" s="15"/>
      <c r="T289" s="15"/>
      <c r="U289" s="15"/>
      <c r="V289" s="15"/>
      <c r="W289" s="15"/>
      <c r="X289" s="14"/>
      <c r="Y289" s="14"/>
      <c r="Z289" s="435"/>
      <c r="AA289" s="3"/>
      <c r="AB289" s="3"/>
      <c r="AC289" s="3"/>
      <c r="AD289" s="3"/>
      <c r="AE289" s="3"/>
    </row>
    <row r="290" ht="15.75" customHeight="1">
      <c r="G290" s="424"/>
      <c r="J290" s="425"/>
      <c r="K290" s="188"/>
      <c r="L290" s="15"/>
      <c r="M290" s="15"/>
      <c r="N290" s="15"/>
      <c r="O290" s="15"/>
      <c r="P290" s="15"/>
      <c r="Q290" s="15"/>
      <c r="R290" s="15"/>
      <c r="S290" s="15"/>
      <c r="T290" s="15"/>
      <c r="U290" s="15"/>
      <c r="V290" s="15"/>
      <c r="W290" s="15"/>
      <c r="X290" s="14"/>
      <c r="Y290" s="14"/>
      <c r="Z290" s="435"/>
      <c r="AA290" s="3"/>
      <c r="AB290" s="3"/>
      <c r="AC290" s="3"/>
      <c r="AD290" s="3"/>
      <c r="AE290" s="3"/>
    </row>
    <row r="291" ht="15.75" customHeight="1">
      <c r="G291" s="424"/>
      <c r="J291" s="425"/>
      <c r="K291" s="188"/>
      <c r="L291" s="15"/>
      <c r="M291" s="15"/>
      <c r="N291" s="15"/>
      <c r="O291" s="15"/>
      <c r="P291" s="15"/>
      <c r="Q291" s="15"/>
      <c r="R291" s="15"/>
      <c r="S291" s="15"/>
      <c r="T291" s="15"/>
      <c r="U291" s="15"/>
      <c r="V291" s="15"/>
      <c r="W291" s="15"/>
      <c r="X291" s="14"/>
      <c r="Y291" s="14"/>
      <c r="Z291" s="435"/>
      <c r="AA291" s="3"/>
      <c r="AB291" s="3"/>
      <c r="AC291" s="3"/>
      <c r="AD291" s="3"/>
      <c r="AE291" s="3"/>
    </row>
    <row r="292" ht="15.75" customHeight="1">
      <c r="G292" s="424"/>
      <c r="J292" s="425"/>
      <c r="K292" s="188"/>
      <c r="L292" s="15"/>
      <c r="M292" s="15"/>
      <c r="N292" s="15"/>
      <c r="O292" s="15"/>
      <c r="P292" s="15"/>
      <c r="Q292" s="15"/>
      <c r="R292" s="15"/>
      <c r="S292" s="15"/>
      <c r="T292" s="15"/>
      <c r="U292" s="15"/>
      <c r="V292" s="15"/>
      <c r="W292" s="15"/>
      <c r="X292" s="14"/>
      <c r="Y292" s="14"/>
      <c r="Z292" s="435"/>
      <c r="AA292" s="3"/>
      <c r="AB292" s="3"/>
      <c r="AC292" s="3"/>
      <c r="AD292" s="3"/>
      <c r="AE292" s="3"/>
    </row>
    <row r="293" ht="15.75" customHeight="1">
      <c r="G293" s="424"/>
      <c r="J293" s="425"/>
      <c r="K293" s="188"/>
      <c r="L293" s="15"/>
      <c r="M293" s="15"/>
      <c r="N293" s="15"/>
      <c r="O293" s="15"/>
      <c r="P293" s="15"/>
      <c r="Q293" s="15"/>
      <c r="R293" s="15"/>
      <c r="S293" s="15"/>
      <c r="T293" s="15"/>
      <c r="U293" s="15"/>
      <c r="V293" s="15"/>
      <c r="W293" s="15"/>
      <c r="X293" s="14"/>
      <c r="Y293" s="14"/>
      <c r="Z293" s="435"/>
      <c r="AA293" s="3"/>
      <c r="AB293" s="3"/>
      <c r="AC293" s="3"/>
      <c r="AD293" s="3"/>
      <c r="AE293" s="3"/>
    </row>
    <row r="294" ht="15.75" customHeight="1">
      <c r="G294" s="424"/>
      <c r="J294" s="425"/>
      <c r="K294" s="188"/>
      <c r="L294" s="15"/>
      <c r="M294" s="15"/>
      <c r="N294" s="15"/>
      <c r="O294" s="15"/>
      <c r="P294" s="15"/>
      <c r="Q294" s="15"/>
      <c r="R294" s="15"/>
      <c r="S294" s="15"/>
      <c r="T294" s="15"/>
      <c r="U294" s="15"/>
      <c r="V294" s="15"/>
      <c r="W294" s="15"/>
      <c r="X294" s="14"/>
      <c r="Y294" s="14"/>
      <c r="Z294" s="435"/>
      <c r="AA294" s="3"/>
      <c r="AB294" s="3"/>
      <c r="AC294" s="3"/>
      <c r="AD294" s="3"/>
      <c r="AE294" s="3"/>
    </row>
    <row r="295" ht="15.75" customHeight="1">
      <c r="G295" s="424"/>
      <c r="J295" s="425"/>
      <c r="K295" s="188"/>
      <c r="L295" s="15"/>
      <c r="M295" s="15"/>
      <c r="N295" s="15"/>
      <c r="O295" s="15"/>
      <c r="P295" s="15"/>
      <c r="Q295" s="15"/>
      <c r="R295" s="15"/>
      <c r="S295" s="15"/>
      <c r="T295" s="15"/>
      <c r="U295" s="15"/>
      <c r="V295" s="15"/>
      <c r="W295" s="15"/>
      <c r="X295" s="14"/>
      <c r="Y295" s="14"/>
      <c r="Z295" s="435"/>
      <c r="AA295" s="3"/>
      <c r="AB295" s="3"/>
      <c r="AC295" s="3"/>
      <c r="AD295" s="3"/>
      <c r="AE295" s="3"/>
    </row>
    <row r="296" ht="15.75" customHeight="1">
      <c r="G296" s="424"/>
      <c r="J296" s="425"/>
      <c r="K296" s="188"/>
      <c r="L296" s="15"/>
      <c r="M296" s="15"/>
      <c r="N296" s="15"/>
      <c r="O296" s="15"/>
      <c r="P296" s="15"/>
      <c r="Q296" s="15"/>
      <c r="R296" s="15"/>
      <c r="S296" s="15"/>
      <c r="T296" s="15"/>
      <c r="U296" s="15"/>
      <c r="V296" s="15"/>
      <c r="W296" s="15"/>
      <c r="X296" s="14"/>
      <c r="Y296" s="14"/>
      <c r="Z296" s="435"/>
      <c r="AA296" s="3"/>
      <c r="AB296" s="3"/>
      <c r="AC296" s="3"/>
      <c r="AD296" s="3"/>
      <c r="AE296" s="3"/>
    </row>
    <row r="297" ht="15.75" customHeight="1">
      <c r="G297" s="424"/>
      <c r="J297" s="425"/>
      <c r="K297" s="188"/>
      <c r="L297" s="15"/>
      <c r="M297" s="15"/>
      <c r="N297" s="15"/>
      <c r="O297" s="15"/>
      <c r="P297" s="15"/>
      <c r="Q297" s="15"/>
      <c r="R297" s="15"/>
      <c r="S297" s="15"/>
      <c r="T297" s="15"/>
      <c r="U297" s="15"/>
      <c r="V297" s="15"/>
      <c r="W297" s="15"/>
      <c r="X297" s="14"/>
      <c r="Y297" s="14"/>
      <c r="Z297" s="435"/>
      <c r="AA297" s="3"/>
      <c r="AB297" s="3"/>
      <c r="AC297" s="3"/>
      <c r="AD297" s="3"/>
      <c r="AE297" s="3"/>
    </row>
    <row r="298" ht="15.75" customHeight="1">
      <c r="G298" s="424"/>
      <c r="J298" s="425"/>
      <c r="K298" s="188"/>
      <c r="L298" s="15"/>
      <c r="M298" s="15"/>
      <c r="N298" s="15"/>
      <c r="O298" s="15"/>
      <c r="P298" s="15"/>
      <c r="Q298" s="15"/>
      <c r="R298" s="15"/>
      <c r="S298" s="15"/>
      <c r="T298" s="15"/>
      <c r="U298" s="15"/>
      <c r="V298" s="15"/>
      <c r="W298" s="15"/>
      <c r="X298" s="14"/>
      <c r="Y298" s="14"/>
      <c r="Z298" s="435"/>
      <c r="AA298" s="3"/>
      <c r="AB298" s="3"/>
      <c r="AC298" s="3"/>
      <c r="AD298" s="3"/>
      <c r="AE298" s="3"/>
    </row>
    <row r="299" ht="15.75" customHeight="1">
      <c r="G299" s="424"/>
      <c r="J299" s="425"/>
      <c r="K299" s="188"/>
      <c r="L299" s="15"/>
      <c r="M299" s="15"/>
      <c r="N299" s="15"/>
      <c r="O299" s="15"/>
      <c r="P299" s="15"/>
      <c r="Q299" s="15"/>
      <c r="R299" s="15"/>
      <c r="S299" s="15"/>
      <c r="T299" s="15"/>
      <c r="U299" s="15"/>
      <c r="V299" s="15"/>
      <c r="W299" s="15"/>
      <c r="X299" s="14"/>
      <c r="Y299" s="14"/>
      <c r="Z299" s="435"/>
      <c r="AA299" s="3"/>
      <c r="AB299" s="3"/>
      <c r="AC299" s="3"/>
      <c r="AD299" s="3"/>
      <c r="AE299" s="3"/>
    </row>
    <row r="300" ht="15.75" customHeight="1">
      <c r="G300" s="424"/>
      <c r="J300" s="425"/>
      <c r="K300" s="188"/>
      <c r="L300" s="15"/>
      <c r="M300" s="15"/>
      <c r="N300" s="15"/>
      <c r="O300" s="15"/>
      <c r="P300" s="15"/>
      <c r="Q300" s="15"/>
      <c r="R300" s="15"/>
      <c r="S300" s="15"/>
      <c r="T300" s="15"/>
      <c r="U300" s="15"/>
      <c r="V300" s="15"/>
      <c r="W300" s="15"/>
      <c r="X300" s="14"/>
      <c r="Y300" s="14"/>
      <c r="Z300" s="435"/>
      <c r="AA300" s="3"/>
      <c r="AB300" s="3"/>
      <c r="AC300" s="3"/>
      <c r="AD300" s="3"/>
      <c r="AE300" s="3"/>
    </row>
    <row r="301" ht="15.75" customHeight="1">
      <c r="G301" s="424"/>
      <c r="J301" s="425"/>
      <c r="K301" s="188"/>
      <c r="L301" s="15"/>
      <c r="M301" s="15"/>
      <c r="N301" s="15"/>
      <c r="O301" s="15"/>
      <c r="P301" s="15"/>
      <c r="Q301" s="15"/>
      <c r="R301" s="15"/>
      <c r="S301" s="15"/>
      <c r="T301" s="15"/>
      <c r="U301" s="15"/>
      <c r="V301" s="15"/>
      <c r="W301" s="15"/>
      <c r="X301" s="14"/>
      <c r="Y301" s="14"/>
      <c r="Z301" s="435"/>
      <c r="AA301" s="3"/>
      <c r="AB301" s="3"/>
      <c r="AC301" s="3"/>
      <c r="AD301" s="3"/>
      <c r="AE301" s="3"/>
    </row>
    <row r="302" ht="15.75" customHeight="1">
      <c r="G302" s="424"/>
      <c r="J302" s="425"/>
      <c r="K302" s="188"/>
      <c r="L302" s="15"/>
      <c r="M302" s="15"/>
      <c r="N302" s="15"/>
      <c r="O302" s="15"/>
      <c r="P302" s="15"/>
      <c r="Q302" s="15"/>
      <c r="R302" s="15"/>
      <c r="S302" s="15"/>
      <c r="T302" s="15"/>
      <c r="U302" s="15"/>
      <c r="V302" s="15"/>
      <c r="W302" s="15"/>
      <c r="X302" s="14"/>
      <c r="Y302" s="14"/>
      <c r="Z302" s="435"/>
      <c r="AA302" s="3"/>
      <c r="AB302" s="3"/>
      <c r="AC302" s="3"/>
      <c r="AD302" s="3"/>
      <c r="AE302" s="3"/>
    </row>
    <row r="303" ht="15.75" customHeight="1">
      <c r="G303" s="424"/>
      <c r="J303" s="425"/>
      <c r="K303" s="188"/>
      <c r="L303" s="15"/>
      <c r="M303" s="15"/>
      <c r="N303" s="15"/>
      <c r="O303" s="15"/>
      <c r="P303" s="15"/>
      <c r="Q303" s="15"/>
      <c r="R303" s="15"/>
      <c r="S303" s="15"/>
      <c r="T303" s="15"/>
      <c r="U303" s="15"/>
      <c r="V303" s="15"/>
      <c r="W303" s="15"/>
      <c r="X303" s="14"/>
      <c r="Y303" s="14"/>
      <c r="Z303" s="435"/>
      <c r="AA303" s="3"/>
      <c r="AB303" s="3"/>
      <c r="AC303" s="3"/>
      <c r="AD303" s="3"/>
      <c r="AE303" s="3"/>
    </row>
    <row r="304" ht="15.75" customHeight="1">
      <c r="G304" s="424"/>
      <c r="J304" s="425"/>
      <c r="K304" s="188"/>
      <c r="L304" s="15"/>
      <c r="M304" s="15"/>
      <c r="N304" s="15"/>
      <c r="O304" s="15"/>
      <c r="P304" s="15"/>
      <c r="Q304" s="15"/>
      <c r="R304" s="15"/>
      <c r="S304" s="15"/>
      <c r="T304" s="15"/>
      <c r="U304" s="15"/>
      <c r="V304" s="15"/>
      <c r="W304" s="15"/>
      <c r="X304" s="14"/>
      <c r="Y304" s="14"/>
      <c r="Z304" s="435"/>
      <c r="AA304" s="3"/>
      <c r="AB304" s="3"/>
      <c r="AC304" s="3"/>
      <c r="AD304" s="3"/>
      <c r="AE304" s="3"/>
    </row>
    <row r="305" ht="15.75" customHeight="1">
      <c r="G305" s="424"/>
      <c r="J305" s="425"/>
      <c r="K305" s="188"/>
      <c r="L305" s="15"/>
      <c r="M305" s="15"/>
      <c r="N305" s="15"/>
      <c r="O305" s="15"/>
      <c r="P305" s="15"/>
      <c r="Q305" s="15"/>
      <c r="R305" s="15"/>
      <c r="S305" s="15"/>
      <c r="T305" s="15"/>
      <c r="U305" s="15"/>
      <c r="V305" s="15"/>
      <c r="W305" s="15"/>
      <c r="X305" s="14"/>
      <c r="Y305" s="14"/>
      <c r="Z305" s="435"/>
      <c r="AA305" s="3"/>
      <c r="AB305" s="3"/>
      <c r="AC305" s="3"/>
      <c r="AD305" s="3"/>
      <c r="AE305" s="3"/>
    </row>
    <row r="306" ht="15.75" customHeight="1">
      <c r="G306" s="424"/>
      <c r="J306" s="425"/>
      <c r="K306" s="188"/>
      <c r="L306" s="15"/>
      <c r="M306" s="15"/>
      <c r="N306" s="15"/>
      <c r="O306" s="15"/>
      <c r="P306" s="15"/>
      <c r="Q306" s="15"/>
      <c r="R306" s="15"/>
      <c r="S306" s="15"/>
      <c r="T306" s="15"/>
      <c r="U306" s="15"/>
      <c r="V306" s="15"/>
      <c r="W306" s="15"/>
      <c r="X306" s="14"/>
      <c r="Y306" s="14"/>
      <c r="Z306" s="435"/>
      <c r="AA306" s="3"/>
      <c r="AB306" s="3"/>
      <c r="AC306" s="3"/>
      <c r="AD306" s="3"/>
      <c r="AE306" s="3"/>
    </row>
    <row r="307" ht="15.75" customHeight="1">
      <c r="G307" s="424"/>
      <c r="J307" s="425"/>
      <c r="K307" s="188"/>
      <c r="L307" s="15"/>
      <c r="M307" s="15"/>
      <c r="N307" s="15"/>
      <c r="O307" s="15"/>
      <c r="P307" s="15"/>
      <c r="Q307" s="15"/>
      <c r="R307" s="15"/>
      <c r="S307" s="15"/>
      <c r="T307" s="15"/>
      <c r="U307" s="15"/>
      <c r="V307" s="15"/>
      <c r="W307" s="15"/>
      <c r="X307" s="14"/>
      <c r="Y307" s="14"/>
      <c r="Z307" s="435"/>
      <c r="AA307" s="3"/>
      <c r="AB307" s="3"/>
      <c r="AC307" s="3"/>
      <c r="AD307" s="3"/>
      <c r="AE307" s="3"/>
    </row>
    <row r="308" ht="15.75" customHeight="1">
      <c r="G308" s="424"/>
      <c r="J308" s="425"/>
      <c r="K308" s="188"/>
      <c r="L308" s="15"/>
      <c r="M308" s="15"/>
      <c r="N308" s="15"/>
      <c r="O308" s="15"/>
      <c r="P308" s="15"/>
      <c r="Q308" s="15"/>
      <c r="R308" s="15"/>
      <c r="S308" s="15"/>
      <c r="T308" s="15"/>
      <c r="U308" s="15"/>
      <c r="V308" s="15"/>
      <c r="W308" s="15"/>
      <c r="X308" s="14"/>
      <c r="Y308" s="14"/>
      <c r="Z308" s="435"/>
      <c r="AA308" s="3"/>
      <c r="AB308" s="3"/>
      <c r="AC308" s="3"/>
      <c r="AD308" s="3"/>
      <c r="AE308" s="3"/>
    </row>
    <row r="309" ht="15.75" customHeight="1">
      <c r="G309" s="424"/>
      <c r="J309" s="425"/>
      <c r="K309" s="188"/>
      <c r="L309" s="15"/>
      <c r="M309" s="15"/>
      <c r="N309" s="15"/>
      <c r="O309" s="15"/>
      <c r="P309" s="15"/>
      <c r="Q309" s="15"/>
      <c r="R309" s="15"/>
      <c r="S309" s="15"/>
      <c r="T309" s="15"/>
      <c r="U309" s="15"/>
      <c r="V309" s="15"/>
      <c r="W309" s="15"/>
      <c r="X309" s="14"/>
      <c r="Y309" s="14"/>
      <c r="Z309" s="435"/>
      <c r="AA309" s="3"/>
      <c r="AB309" s="3"/>
      <c r="AC309" s="3"/>
      <c r="AD309" s="3"/>
      <c r="AE309" s="3"/>
    </row>
    <row r="310" ht="15.75" customHeight="1">
      <c r="G310" s="424"/>
      <c r="J310" s="425"/>
      <c r="K310" s="188"/>
      <c r="L310" s="15"/>
      <c r="M310" s="15"/>
      <c r="N310" s="15"/>
      <c r="O310" s="15"/>
      <c r="P310" s="15"/>
      <c r="Q310" s="15"/>
      <c r="R310" s="15"/>
      <c r="S310" s="15"/>
      <c r="T310" s="15"/>
      <c r="U310" s="15"/>
      <c r="V310" s="15"/>
      <c r="W310" s="15"/>
      <c r="X310" s="14"/>
      <c r="Y310" s="14"/>
      <c r="Z310" s="435"/>
      <c r="AA310" s="3"/>
      <c r="AB310" s="3"/>
      <c r="AC310" s="3"/>
      <c r="AD310" s="3"/>
      <c r="AE310" s="3"/>
    </row>
    <row r="311" ht="15.75" customHeight="1">
      <c r="G311" s="424"/>
      <c r="J311" s="425"/>
      <c r="K311" s="188"/>
      <c r="L311" s="15"/>
      <c r="M311" s="15"/>
      <c r="N311" s="15"/>
      <c r="O311" s="15"/>
      <c r="P311" s="15"/>
      <c r="Q311" s="15"/>
      <c r="R311" s="15"/>
      <c r="S311" s="15"/>
      <c r="T311" s="15"/>
      <c r="U311" s="15"/>
      <c r="V311" s="15"/>
      <c r="W311" s="15"/>
      <c r="X311" s="14"/>
      <c r="Y311" s="14"/>
      <c r="Z311" s="435"/>
      <c r="AA311" s="3"/>
      <c r="AB311" s="3"/>
      <c r="AC311" s="3"/>
      <c r="AD311" s="3"/>
      <c r="AE311" s="3"/>
    </row>
    <row r="312" ht="15.75" customHeight="1">
      <c r="G312" s="424"/>
      <c r="J312" s="425"/>
      <c r="K312" s="188"/>
      <c r="L312" s="15"/>
      <c r="M312" s="15"/>
      <c r="N312" s="15"/>
      <c r="O312" s="15"/>
      <c r="P312" s="15"/>
      <c r="Q312" s="15"/>
      <c r="R312" s="15"/>
      <c r="S312" s="15"/>
      <c r="T312" s="15"/>
      <c r="U312" s="15"/>
      <c r="V312" s="15"/>
      <c r="W312" s="15"/>
      <c r="X312" s="14"/>
      <c r="Y312" s="14"/>
      <c r="Z312" s="435"/>
      <c r="AA312" s="3"/>
      <c r="AB312" s="3"/>
      <c r="AC312" s="3"/>
      <c r="AD312" s="3"/>
      <c r="AE312" s="3"/>
    </row>
    <row r="313" ht="15.75" customHeight="1">
      <c r="G313" s="424"/>
      <c r="J313" s="425"/>
      <c r="K313" s="188"/>
      <c r="L313" s="15"/>
      <c r="M313" s="15"/>
      <c r="N313" s="15"/>
      <c r="O313" s="15"/>
      <c r="P313" s="15"/>
      <c r="Q313" s="15"/>
      <c r="R313" s="15"/>
      <c r="S313" s="15"/>
      <c r="T313" s="15"/>
      <c r="U313" s="15"/>
      <c r="V313" s="15"/>
      <c r="W313" s="15"/>
      <c r="X313" s="14"/>
      <c r="Y313" s="14"/>
      <c r="Z313" s="435"/>
      <c r="AA313" s="3"/>
      <c r="AB313" s="3"/>
      <c r="AC313" s="3"/>
      <c r="AD313" s="3"/>
      <c r="AE313" s="3"/>
    </row>
    <row r="314" ht="15.75" customHeight="1">
      <c r="G314" s="424"/>
      <c r="J314" s="425"/>
      <c r="K314" s="188"/>
      <c r="L314" s="15"/>
      <c r="M314" s="15"/>
      <c r="N314" s="15"/>
      <c r="O314" s="15"/>
      <c r="P314" s="15"/>
      <c r="Q314" s="15"/>
      <c r="R314" s="15"/>
      <c r="S314" s="15"/>
      <c r="T314" s="15"/>
      <c r="U314" s="15"/>
      <c r="V314" s="15"/>
      <c r="W314" s="15"/>
      <c r="X314" s="14"/>
      <c r="Y314" s="14"/>
      <c r="Z314" s="435"/>
      <c r="AA314" s="3"/>
      <c r="AB314" s="3"/>
      <c r="AC314" s="3"/>
      <c r="AD314" s="3"/>
      <c r="AE314" s="3"/>
    </row>
    <row r="315" ht="15.75" customHeight="1">
      <c r="G315" s="424"/>
      <c r="J315" s="425"/>
      <c r="K315" s="188"/>
      <c r="L315" s="15"/>
      <c r="M315" s="15"/>
      <c r="N315" s="15"/>
      <c r="O315" s="15"/>
      <c r="P315" s="15"/>
      <c r="Q315" s="15"/>
      <c r="R315" s="15"/>
      <c r="S315" s="15"/>
      <c r="T315" s="15"/>
      <c r="U315" s="15"/>
      <c r="V315" s="15"/>
      <c r="W315" s="15"/>
      <c r="X315" s="14"/>
      <c r="Y315" s="14"/>
      <c r="Z315" s="435"/>
      <c r="AA315" s="3"/>
      <c r="AB315" s="3"/>
      <c r="AC315" s="3"/>
      <c r="AD315" s="3"/>
      <c r="AE315" s="3"/>
    </row>
    <row r="316" ht="15.75" customHeight="1">
      <c r="G316" s="424"/>
      <c r="J316" s="425"/>
      <c r="K316" s="188"/>
      <c r="L316" s="15"/>
      <c r="M316" s="15"/>
      <c r="N316" s="15"/>
      <c r="O316" s="15"/>
      <c r="P316" s="15"/>
      <c r="Q316" s="15"/>
      <c r="R316" s="15"/>
      <c r="S316" s="15"/>
      <c r="T316" s="15"/>
      <c r="U316" s="15"/>
      <c r="V316" s="15"/>
      <c r="W316" s="15"/>
      <c r="X316" s="14"/>
      <c r="Y316" s="14"/>
      <c r="Z316" s="435"/>
      <c r="AA316" s="3"/>
      <c r="AB316" s="3"/>
      <c r="AC316" s="3"/>
      <c r="AD316" s="3"/>
      <c r="AE316" s="3"/>
    </row>
    <row r="317" ht="15.75" customHeight="1">
      <c r="G317" s="424"/>
      <c r="J317" s="425"/>
      <c r="K317" s="188"/>
      <c r="L317" s="15"/>
      <c r="M317" s="15"/>
      <c r="N317" s="15"/>
      <c r="O317" s="15"/>
      <c r="P317" s="15"/>
      <c r="Q317" s="15"/>
      <c r="R317" s="15"/>
      <c r="S317" s="15"/>
      <c r="T317" s="15"/>
      <c r="U317" s="15"/>
      <c r="V317" s="15"/>
      <c r="W317" s="15"/>
      <c r="X317" s="14"/>
      <c r="Y317" s="14"/>
      <c r="Z317" s="435"/>
      <c r="AA317" s="3"/>
      <c r="AB317" s="3"/>
      <c r="AC317" s="3"/>
      <c r="AD317" s="3"/>
      <c r="AE317" s="3"/>
    </row>
    <row r="318" ht="15.75" customHeight="1">
      <c r="G318" s="424"/>
      <c r="J318" s="425"/>
      <c r="K318" s="188"/>
      <c r="L318" s="15"/>
      <c r="M318" s="15"/>
      <c r="N318" s="15"/>
      <c r="O318" s="15"/>
      <c r="P318" s="15"/>
      <c r="Q318" s="15"/>
      <c r="R318" s="15"/>
      <c r="S318" s="15"/>
      <c r="T318" s="15"/>
      <c r="U318" s="15"/>
      <c r="V318" s="15"/>
      <c r="W318" s="15"/>
      <c r="X318" s="14"/>
      <c r="Y318" s="14"/>
      <c r="Z318" s="435"/>
      <c r="AA318" s="3"/>
      <c r="AB318" s="3"/>
      <c r="AC318" s="3"/>
      <c r="AD318" s="3"/>
      <c r="AE318" s="3"/>
    </row>
    <row r="319" ht="15.75" customHeight="1">
      <c r="G319" s="424"/>
      <c r="J319" s="425"/>
      <c r="K319" s="188"/>
      <c r="L319" s="15"/>
      <c r="M319" s="15"/>
      <c r="N319" s="15"/>
      <c r="O319" s="15"/>
      <c r="P319" s="15"/>
      <c r="Q319" s="15"/>
      <c r="R319" s="15"/>
      <c r="S319" s="15"/>
      <c r="T319" s="15"/>
      <c r="U319" s="15"/>
      <c r="V319" s="15"/>
      <c r="W319" s="15"/>
      <c r="X319" s="14"/>
      <c r="Y319" s="14"/>
      <c r="Z319" s="435"/>
      <c r="AA319" s="3"/>
      <c r="AB319" s="3"/>
      <c r="AC319" s="3"/>
      <c r="AD319" s="3"/>
      <c r="AE319" s="3"/>
    </row>
    <row r="320" ht="15.75" customHeight="1">
      <c r="G320" s="424"/>
      <c r="J320" s="425"/>
      <c r="K320" s="188"/>
      <c r="L320" s="15"/>
      <c r="M320" s="15"/>
      <c r="N320" s="15"/>
      <c r="O320" s="15"/>
      <c r="P320" s="15"/>
      <c r="Q320" s="15"/>
      <c r="R320" s="15"/>
      <c r="S320" s="15"/>
      <c r="T320" s="15"/>
      <c r="U320" s="15"/>
      <c r="V320" s="15"/>
      <c r="W320" s="15"/>
      <c r="X320" s="14"/>
      <c r="Y320" s="14"/>
      <c r="Z320" s="435"/>
      <c r="AA320" s="3"/>
      <c r="AB320" s="3"/>
      <c r="AC320" s="3"/>
      <c r="AD320" s="3"/>
      <c r="AE320" s="3"/>
    </row>
    <row r="321" ht="15.75" customHeight="1">
      <c r="G321" s="424"/>
      <c r="J321" s="425"/>
      <c r="K321" s="188"/>
      <c r="L321" s="15"/>
      <c r="M321" s="15"/>
      <c r="N321" s="15"/>
      <c r="O321" s="15"/>
      <c r="P321" s="15"/>
      <c r="Q321" s="15"/>
      <c r="R321" s="15"/>
      <c r="S321" s="15"/>
      <c r="T321" s="15"/>
      <c r="U321" s="15"/>
      <c r="V321" s="15"/>
      <c r="W321" s="15"/>
      <c r="X321" s="14"/>
      <c r="Y321" s="14"/>
      <c r="Z321" s="435"/>
      <c r="AA321" s="3"/>
      <c r="AB321" s="3"/>
      <c r="AC321" s="3"/>
      <c r="AD321" s="3"/>
      <c r="AE321" s="3"/>
    </row>
    <row r="322" ht="15.75" customHeight="1">
      <c r="G322" s="424"/>
      <c r="J322" s="425"/>
      <c r="K322" s="188"/>
      <c r="L322" s="15"/>
      <c r="M322" s="15"/>
      <c r="N322" s="15"/>
      <c r="O322" s="15"/>
      <c r="P322" s="15"/>
      <c r="Q322" s="15"/>
      <c r="R322" s="15"/>
      <c r="S322" s="15"/>
      <c r="T322" s="15"/>
      <c r="U322" s="15"/>
      <c r="V322" s="15"/>
      <c r="W322" s="15"/>
      <c r="X322" s="14"/>
      <c r="Y322" s="14"/>
      <c r="Z322" s="435"/>
      <c r="AA322" s="3"/>
      <c r="AB322" s="3"/>
      <c r="AC322" s="3"/>
      <c r="AD322" s="3"/>
      <c r="AE322" s="3"/>
    </row>
    <row r="323" ht="15.75" customHeight="1">
      <c r="G323" s="424"/>
      <c r="J323" s="425"/>
      <c r="K323" s="188"/>
      <c r="L323" s="15"/>
      <c r="M323" s="15"/>
      <c r="N323" s="15"/>
      <c r="O323" s="15"/>
      <c r="P323" s="15"/>
      <c r="Q323" s="15"/>
      <c r="R323" s="15"/>
      <c r="S323" s="15"/>
      <c r="T323" s="15"/>
      <c r="U323" s="15"/>
      <c r="V323" s="15"/>
      <c r="W323" s="15"/>
      <c r="X323" s="14"/>
      <c r="Y323" s="14"/>
      <c r="Z323" s="435"/>
      <c r="AA323" s="3"/>
      <c r="AB323" s="3"/>
      <c r="AC323" s="3"/>
      <c r="AD323" s="3"/>
      <c r="AE323" s="3"/>
    </row>
    <row r="324" ht="15.75" customHeight="1">
      <c r="G324" s="424"/>
      <c r="J324" s="425"/>
      <c r="K324" s="188"/>
      <c r="L324" s="15"/>
      <c r="M324" s="15"/>
      <c r="N324" s="15"/>
      <c r="O324" s="15"/>
      <c r="P324" s="15"/>
      <c r="Q324" s="15"/>
      <c r="R324" s="15"/>
      <c r="S324" s="15"/>
      <c r="T324" s="15"/>
      <c r="U324" s="15"/>
      <c r="V324" s="15"/>
      <c r="W324" s="15"/>
      <c r="X324" s="14"/>
      <c r="Y324" s="14"/>
      <c r="Z324" s="435"/>
      <c r="AA324" s="3"/>
      <c r="AB324" s="3"/>
      <c r="AC324" s="3"/>
      <c r="AD324" s="3"/>
      <c r="AE324" s="3"/>
    </row>
    <row r="325" ht="15.75" customHeight="1">
      <c r="G325" s="424"/>
      <c r="J325" s="425"/>
      <c r="K325" s="188"/>
      <c r="L325" s="15"/>
      <c r="M325" s="15"/>
      <c r="N325" s="15"/>
      <c r="O325" s="15"/>
      <c r="P325" s="15"/>
      <c r="Q325" s="15"/>
      <c r="R325" s="15"/>
      <c r="S325" s="15"/>
      <c r="T325" s="15"/>
      <c r="U325" s="15"/>
      <c r="V325" s="15"/>
      <c r="W325" s="15"/>
      <c r="X325" s="14"/>
      <c r="Y325" s="14"/>
      <c r="Z325" s="435"/>
      <c r="AA325" s="3"/>
      <c r="AB325" s="3"/>
      <c r="AC325" s="3"/>
      <c r="AD325" s="3"/>
      <c r="AE325" s="3"/>
    </row>
    <row r="326" ht="15.75" customHeight="1">
      <c r="G326" s="424"/>
      <c r="J326" s="425"/>
      <c r="K326" s="188"/>
      <c r="L326" s="15"/>
      <c r="M326" s="15"/>
      <c r="N326" s="15"/>
      <c r="O326" s="15"/>
      <c r="P326" s="15"/>
      <c r="Q326" s="15"/>
      <c r="R326" s="15"/>
      <c r="S326" s="15"/>
      <c r="T326" s="15"/>
      <c r="U326" s="15"/>
      <c r="V326" s="15"/>
      <c r="W326" s="15"/>
      <c r="X326" s="14"/>
      <c r="Y326" s="14"/>
      <c r="Z326" s="435"/>
      <c r="AA326" s="3"/>
      <c r="AB326" s="3"/>
      <c r="AC326" s="3"/>
      <c r="AD326" s="3"/>
      <c r="AE326" s="3"/>
    </row>
    <row r="327" ht="15.75" customHeight="1">
      <c r="G327" s="424"/>
      <c r="J327" s="425"/>
      <c r="K327" s="188"/>
      <c r="L327" s="15"/>
      <c r="M327" s="15"/>
      <c r="N327" s="15"/>
      <c r="O327" s="15"/>
      <c r="P327" s="15"/>
      <c r="Q327" s="15"/>
      <c r="R327" s="15"/>
      <c r="S327" s="15"/>
      <c r="T327" s="15"/>
      <c r="U327" s="15"/>
      <c r="V327" s="15"/>
      <c r="W327" s="15"/>
      <c r="X327" s="14"/>
      <c r="Y327" s="14"/>
      <c r="Z327" s="435"/>
      <c r="AA327" s="3"/>
      <c r="AB327" s="3"/>
      <c r="AC327" s="3"/>
      <c r="AD327" s="3"/>
      <c r="AE327" s="3"/>
    </row>
    <row r="328" ht="15.75" customHeight="1">
      <c r="G328" s="424"/>
      <c r="J328" s="425"/>
      <c r="K328" s="188"/>
      <c r="L328" s="15"/>
      <c r="M328" s="15"/>
      <c r="N328" s="15"/>
      <c r="O328" s="15"/>
      <c r="P328" s="15"/>
      <c r="Q328" s="15"/>
      <c r="R328" s="15"/>
      <c r="S328" s="15"/>
      <c r="T328" s="15"/>
      <c r="U328" s="15"/>
      <c r="V328" s="15"/>
      <c r="W328" s="15"/>
      <c r="X328" s="14"/>
      <c r="Y328" s="14"/>
      <c r="Z328" s="435"/>
      <c r="AA328" s="3"/>
      <c r="AB328" s="3"/>
      <c r="AC328" s="3"/>
      <c r="AD328" s="3"/>
      <c r="AE328" s="3"/>
    </row>
    <row r="329" ht="15.75" customHeight="1">
      <c r="G329" s="424"/>
      <c r="J329" s="425"/>
      <c r="K329" s="188"/>
      <c r="L329" s="15"/>
      <c r="M329" s="15"/>
      <c r="N329" s="15"/>
      <c r="O329" s="15"/>
      <c r="P329" s="15"/>
      <c r="Q329" s="15"/>
      <c r="R329" s="15"/>
      <c r="S329" s="15"/>
      <c r="T329" s="15"/>
      <c r="U329" s="15"/>
      <c r="V329" s="15"/>
      <c r="W329" s="15"/>
      <c r="X329" s="14"/>
      <c r="Y329" s="14"/>
      <c r="Z329" s="435"/>
      <c r="AA329" s="3"/>
      <c r="AB329" s="3"/>
      <c r="AC329" s="3"/>
      <c r="AD329" s="3"/>
      <c r="AE329" s="3"/>
    </row>
    <row r="330" ht="15.75" customHeight="1">
      <c r="G330" s="424"/>
      <c r="J330" s="425"/>
      <c r="K330" s="188"/>
      <c r="L330" s="15"/>
      <c r="M330" s="15"/>
      <c r="N330" s="15"/>
      <c r="O330" s="15"/>
      <c r="P330" s="15"/>
      <c r="Q330" s="15"/>
      <c r="R330" s="15"/>
      <c r="S330" s="15"/>
      <c r="T330" s="15"/>
      <c r="U330" s="15"/>
      <c r="V330" s="15"/>
      <c r="W330" s="15"/>
      <c r="X330" s="14"/>
      <c r="Y330" s="14"/>
      <c r="Z330" s="435"/>
      <c r="AA330" s="3"/>
      <c r="AB330" s="3"/>
      <c r="AC330" s="3"/>
      <c r="AD330" s="3"/>
      <c r="AE330" s="3"/>
    </row>
    <row r="331" ht="15.75" customHeight="1">
      <c r="G331" s="424"/>
      <c r="J331" s="425"/>
      <c r="K331" s="188"/>
      <c r="L331" s="15"/>
      <c r="M331" s="15"/>
      <c r="N331" s="15"/>
      <c r="O331" s="15"/>
      <c r="P331" s="15"/>
      <c r="Q331" s="15"/>
      <c r="R331" s="15"/>
      <c r="S331" s="15"/>
      <c r="T331" s="15"/>
      <c r="U331" s="15"/>
      <c r="V331" s="15"/>
      <c r="W331" s="15"/>
      <c r="X331" s="14"/>
      <c r="Y331" s="14"/>
      <c r="Z331" s="435"/>
      <c r="AA331" s="3"/>
      <c r="AB331" s="3"/>
      <c r="AC331" s="3"/>
      <c r="AD331" s="3"/>
      <c r="AE331" s="3"/>
    </row>
    <row r="332" ht="15.75" customHeight="1">
      <c r="G332" s="424"/>
      <c r="J332" s="425"/>
      <c r="K332" s="188"/>
      <c r="L332" s="15"/>
      <c r="M332" s="15"/>
      <c r="N332" s="15"/>
      <c r="O332" s="15"/>
      <c r="P332" s="15"/>
      <c r="Q332" s="15"/>
      <c r="R332" s="15"/>
      <c r="S332" s="15"/>
      <c r="T332" s="15"/>
      <c r="U332" s="15"/>
      <c r="V332" s="15"/>
      <c r="W332" s="15"/>
      <c r="X332" s="14"/>
      <c r="Y332" s="14"/>
      <c r="Z332" s="435"/>
      <c r="AA332" s="3"/>
      <c r="AB332" s="3"/>
      <c r="AC332" s="3"/>
      <c r="AD332" s="3"/>
      <c r="AE332" s="3"/>
    </row>
    <row r="333" ht="15.75" customHeight="1">
      <c r="G333" s="424"/>
      <c r="J333" s="425"/>
      <c r="K333" s="188"/>
      <c r="L333" s="15"/>
      <c r="M333" s="15"/>
      <c r="N333" s="15"/>
      <c r="O333" s="15"/>
      <c r="P333" s="15"/>
      <c r="Q333" s="15"/>
      <c r="R333" s="15"/>
      <c r="S333" s="15"/>
      <c r="T333" s="15"/>
      <c r="U333" s="15"/>
      <c r="V333" s="15"/>
      <c r="W333" s="15"/>
      <c r="X333" s="14"/>
      <c r="Y333" s="14"/>
      <c r="Z333" s="435"/>
      <c r="AA333" s="3"/>
      <c r="AB333" s="3"/>
      <c r="AC333" s="3"/>
      <c r="AD333" s="3"/>
      <c r="AE333" s="3"/>
    </row>
    <row r="334" ht="15.75" customHeight="1">
      <c r="G334" s="424"/>
      <c r="J334" s="425"/>
      <c r="K334" s="188"/>
      <c r="L334" s="15"/>
      <c r="M334" s="15"/>
      <c r="N334" s="15"/>
      <c r="O334" s="15"/>
      <c r="P334" s="15"/>
      <c r="Q334" s="15"/>
      <c r="R334" s="15"/>
      <c r="S334" s="15"/>
      <c r="T334" s="15"/>
      <c r="U334" s="15"/>
      <c r="V334" s="15"/>
      <c r="W334" s="15"/>
      <c r="X334" s="14"/>
      <c r="Y334" s="14"/>
      <c r="Z334" s="435"/>
      <c r="AA334" s="3"/>
      <c r="AB334" s="3"/>
      <c r="AC334" s="3"/>
      <c r="AD334" s="3"/>
      <c r="AE334" s="3"/>
    </row>
    <row r="335" ht="15.75" customHeight="1">
      <c r="G335" s="424"/>
      <c r="J335" s="425"/>
      <c r="K335" s="188"/>
      <c r="L335" s="15"/>
      <c r="M335" s="15"/>
      <c r="N335" s="15"/>
      <c r="O335" s="15"/>
      <c r="P335" s="15"/>
      <c r="Q335" s="15"/>
      <c r="R335" s="15"/>
      <c r="S335" s="15"/>
      <c r="T335" s="15"/>
      <c r="U335" s="15"/>
      <c r="V335" s="15"/>
      <c r="W335" s="15"/>
      <c r="X335" s="14"/>
      <c r="Y335" s="14"/>
      <c r="Z335" s="435"/>
      <c r="AA335" s="3"/>
      <c r="AB335" s="3"/>
      <c r="AC335" s="3"/>
      <c r="AD335" s="3"/>
      <c r="AE335" s="3"/>
    </row>
    <row r="336" ht="15.75" customHeight="1">
      <c r="G336" s="424"/>
      <c r="J336" s="425"/>
      <c r="K336" s="188"/>
      <c r="L336" s="15"/>
      <c r="M336" s="15"/>
      <c r="N336" s="15"/>
      <c r="O336" s="15"/>
      <c r="P336" s="15"/>
      <c r="Q336" s="15"/>
      <c r="R336" s="15"/>
      <c r="S336" s="15"/>
      <c r="T336" s="15"/>
      <c r="U336" s="15"/>
      <c r="V336" s="15"/>
      <c r="W336" s="15"/>
      <c r="X336" s="14"/>
      <c r="Y336" s="14"/>
      <c r="Z336" s="435"/>
      <c r="AA336" s="3"/>
      <c r="AB336" s="3"/>
      <c r="AC336" s="3"/>
      <c r="AD336" s="3"/>
      <c r="AE336" s="3"/>
    </row>
    <row r="337" ht="15.75" customHeight="1">
      <c r="G337" s="424"/>
      <c r="J337" s="425"/>
      <c r="K337" s="188"/>
      <c r="L337" s="15"/>
      <c r="M337" s="15"/>
      <c r="N337" s="15"/>
      <c r="O337" s="15"/>
      <c r="P337" s="15"/>
      <c r="Q337" s="15"/>
      <c r="R337" s="15"/>
      <c r="S337" s="15"/>
      <c r="T337" s="15"/>
      <c r="U337" s="15"/>
      <c r="V337" s="15"/>
      <c r="W337" s="15"/>
      <c r="X337" s="14"/>
      <c r="Y337" s="14"/>
      <c r="Z337" s="435"/>
      <c r="AA337" s="3"/>
      <c r="AB337" s="3"/>
      <c r="AC337" s="3"/>
      <c r="AD337" s="3"/>
      <c r="AE337" s="3"/>
    </row>
    <row r="338" ht="15.75" customHeight="1">
      <c r="G338" s="424"/>
      <c r="J338" s="425"/>
      <c r="K338" s="188"/>
      <c r="L338" s="15"/>
      <c r="M338" s="15"/>
      <c r="N338" s="15"/>
      <c r="O338" s="15"/>
      <c r="P338" s="15"/>
      <c r="Q338" s="15"/>
      <c r="R338" s="15"/>
      <c r="S338" s="15"/>
      <c r="T338" s="15"/>
      <c r="U338" s="15"/>
      <c r="V338" s="15"/>
      <c r="W338" s="15"/>
      <c r="X338" s="14"/>
      <c r="Y338" s="14"/>
      <c r="Z338" s="435"/>
      <c r="AA338" s="3"/>
      <c r="AB338" s="3"/>
      <c r="AC338" s="3"/>
      <c r="AD338" s="3"/>
      <c r="AE338" s="3"/>
    </row>
    <row r="339" ht="15.75" customHeight="1">
      <c r="G339" s="424"/>
      <c r="J339" s="425"/>
      <c r="K339" s="188"/>
      <c r="L339" s="15"/>
      <c r="M339" s="15"/>
      <c r="N339" s="15"/>
      <c r="O339" s="15"/>
      <c r="P339" s="15"/>
      <c r="Q339" s="15"/>
      <c r="R339" s="15"/>
      <c r="S339" s="15"/>
      <c r="T339" s="15"/>
      <c r="U339" s="15"/>
      <c r="V339" s="15"/>
      <c r="W339" s="15"/>
      <c r="X339" s="14"/>
      <c r="Y339" s="14"/>
      <c r="Z339" s="435"/>
      <c r="AA339" s="3"/>
      <c r="AB339" s="3"/>
      <c r="AC339" s="3"/>
      <c r="AD339" s="3"/>
      <c r="AE339" s="3"/>
    </row>
    <row r="340" ht="15.75" customHeight="1">
      <c r="G340" s="424"/>
      <c r="J340" s="425"/>
      <c r="K340" s="188"/>
      <c r="L340" s="15"/>
      <c r="M340" s="15"/>
      <c r="N340" s="15"/>
      <c r="O340" s="15"/>
      <c r="P340" s="15"/>
      <c r="Q340" s="15"/>
      <c r="R340" s="15"/>
      <c r="S340" s="15"/>
      <c r="T340" s="15"/>
      <c r="U340" s="15"/>
      <c r="V340" s="15"/>
      <c r="W340" s="15"/>
      <c r="X340" s="14"/>
      <c r="Y340" s="14"/>
      <c r="Z340" s="435"/>
      <c r="AA340" s="3"/>
      <c r="AB340" s="3"/>
      <c r="AC340" s="3"/>
      <c r="AD340" s="3"/>
      <c r="AE340" s="3"/>
    </row>
    <row r="341" ht="15.75" customHeight="1">
      <c r="G341" s="424"/>
      <c r="J341" s="425"/>
      <c r="K341" s="188"/>
      <c r="L341" s="15"/>
      <c r="M341" s="15"/>
      <c r="N341" s="15"/>
      <c r="O341" s="15"/>
      <c r="P341" s="15"/>
      <c r="Q341" s="15"/>
      <c r="R341" s="15"/>
      <c r="S341" s="15"/>
      <c r="T341" s="15"/>
      <c r="U341" s="15"/>
      <c r="V341" s="15"/>
      <c r="W341" s="15"/>
      <c r="X341" s="14"/>
      <c r="Y341" s="14"/>
      <c r="Z341" s="435"/>
      <c r="AA341" s="3"/>
      <c r="AB341" s="3"/>
      <c r="AC341" s="3"/>
      <c r="AD341" s="3"/>
      <c r="AE341" s="3"/>
    </row>
    <row r="342" ht="15.75" customHeight="1">
      <c r="G342" s="424"/>
      <c r="J342" s="425"/>
      <c r="K342" s="188"/>
      <c r="L342" s="15"/>
      <c r="M342" s="15"/>
      <c r="N342" s="15"/>
      <c r="O342" s="15"/>
      <c r="P342" s="15"/>
      <c r="Q342" s="15"/>
      <c r="R342" s="15"/>
      <c r="S342" s="15"/>
      <c r="T342" s="15"/>
      <c r="U342" s="15"/>
      <c r="V342" s="15"/>
      <c r="W342" s="15"/>
      <c r="X342" s="14"/>
      <c r="Y342" s="14"/>
      <c r="Z342" s="435"/>
      <c r="AA342" s="3"/>
      <c r="AB342" s="3"/>
      <c r="AC342" s="3"/>
      <c r="AD342" s="3"/>
      <c r="AE342" s="3"/>
    </row>
    <row r="343" ht="15.75" customHeight="1">
      <c r="G343" s="424"/>
      <c r="J343" s="425"/>
      <c r="K343" s="188"/>
      <c r="L343" s="15"/>
      <c r="M343" s="15"/>
      <c r="N343" s="15"/>
      <c r="O343" s="15"/>
      <c r="P343" s="15"/>
      <c r="Q343" s="15"/>
      <c r="R343" s="15"/>
      <c r="S343" s="15"/>
      <c r="T343" s="15"/>
      <c r="U343" s="15"/>
      <c r="V343" s="15"/>
      <c r="W343" s="15"/>
      <c r="X343" s="14"/>
      <c r="Y343" s="14"/>
      <c r="Z343" s="435"/>
      <c r="AA343" s="3"/>
      <c r="AB343" s="3"/>
      <c r="AC343" s="3"/>
      <c r="AD343" s="3"/>
      <c r="AE343" s="3"/>
    </row>
    <row r="344" ht="15.75" customHeight="1">
      <c r="G344" s="424"/>
      <c r="J344" s="425"/>
      <c r="K344" s="188"/>
      <c r="L344" s="15"/>
      <c r="M344" s="15"/>
      <c r="N344" s="15"/>
      <c r="O344" s="15"/>
      <c r="P344" s="15"/>
      <c r="Q344" s="15"/>
      <c r="R344" s="15"/>
      <c r="S344" s="15"/>
      <c r="T344" s="15"/>
      <c r="U344" s="15"/>
      <c r="V344" s="15"/>
      <c r="W344" s="15"/>
      <c r="X344" s="14"/>
      <c r="Y344" s="14"/>
      <c r="Z344" s="435"/>
      <c r="AA344" s="3"/>
      <c r="AB344" s="3"/>
      <c r="AC344" s="3"/>
      <c r="AD344" s="3"/>
      <c r="AE344" s="3"/>
    </row>
    <row r="345" ht="15.75" customHeight="1">
      <c r="G345" s="424"/>
      <c r="J345" s="425"/>
      <c r="K345" s="188"/>
      <c r="L345" s="15"/>
      <c r="M345" s="15"/>
      <c r="N345" s="15"/>
      <c r="O345" s="15"/>
      <c r="P345" s="15"/>
      <c r="Q345" s="15"/>
      <c r="R345" s="15"/>
      <c r="S345" s="15"/>
      <c r="T345" s="15"/>
      <c r="U345" s="15"/>
      <c r="V345" s="15"/>
      <c r="W345" s="15"/>
      <c r="X345" s="14"/>
      <c r="Y345" s="14"/>
      <c r="Z345" s="435"/>
      <c r="AA345" s="3"/>
      <c r="AB345" s="3"/>
      <c r="AC345" s="3"/>
      <c r="AD345" s="3"/>
      <c r="AE345" s="3"/>
    </row>
    <row r="346" ht="15.75" customHeight="1">
      <c r="G346" s="424"/>
      <c r="J346" s="425"/>
      <c r="K346" s="188"/>
      <c r="L346" s="15"/>
      <c r="M346" s="15"/>
      <c r="N346" s="15"/>
      <c r="O346" s="15"/>
      <c r="P346" s="15"/>
      <c r="Q346" s="15"/>
      <c r="R346" s="15"/>
      <c r="S346" s="15"/>
      <c r="T346" s="15"/>
      <c r="U346" s="15"/>
      <c r="V346" s="15"/>
      <c r="W346" s="15"/>
      <c r="X346" s="14"/>
      <c r="Y346" s="14"/>
      <c r="Z346" s="435"/>
      <c r="AA346" s="3"/>
      <c r="AB346" s="3"/>
      <c r="AC346" s="3"/>
      <c r="AD346" s="3"/>
      <c r="AE346" s="3"/>
    </row>
    <row r="347" ht="15.75" customHeight="1">
      <c r="G347" s="424"/>
      <c r="J347" s="425"/>
      <c r="K347" s="188"/>
      <c r="L347" s="15"/>
      <c r="M347" s="15"/>
      <c r="N347" s="15"/>
      <c r="O347" s="15"/>
      <c r="P347" s="15"/>
      <c r="Q347" s="15"/>
      <c r="R347" s="15"/>
      <c r="S347" s="15"/>
      <c r="T347" s="15"/>
      <c r="U347" s="15"/>
      <c r="V347" s="15"/>
      <c r="W347" s="15"/>
      <c r="X347" s="14"/>
      <c r="Y347" s="14"/>
      <c r="Z347" s="435"/>
      <c r="AA347" s="3"/>
      <c r="AB347" s="3"/>
      <c r="AC347" s="3"/>
      <c r="AD347" s="3"/>
      <c r="AE347" s="3"/>
    </row>
    <row r="348" ht="15.75" customHeight="1">
      <c r="G348" s="424"/>
      <c r="J348" s="425"/>
      <c r="K348" s="188"/>
      <c r="L348" s="15"/>
      <c r="M348" s="15"/>
      <c r="N348" s="15"/>
      <c r="O348" s="15"/>
      <c r="P348" s="15"/>
      <c r="Q348" s="15"/>
      <c r="R348" s="15"/>
      <c r="S348" s="15"/>
      <c r="T348" s="15"/>
      <c r="U348" s="15"/>
      <c r="V348" s="15"/>
      <c r="W348" s="15"/>
      <c r="X348" s="14"/>
      <c r="Y348" s="14"/>
      <c r="Z348" s="435"/>
      <c r="AA348" s="3"/>
      <c r="AB348" s="3"/>
      <c r="AC348" s="3"/>
      <c r="AD348" s="3"/>
      <c r="AE348" s="3"/>
    </row>
    <row r="349" ht="15.75" customHeight="1">
      <c r="G349" s="424"/>
      <c r="J349" s="425"/>
      <c r="K349" s="188"/>
      <c r="L349" s="15"/>
      <c r="M349" s="15"/>
      <c r="N349" s="15"/>
      <c r="O349" s="15"/>
      <c r="P349" s="15"/>
      <c r="Q349" s="15"/>
      <c r="R349" s="15"/>
      <c r="S349" s="15"/>
      <c r="T349" s="15"/>
      <c r="U349" s="15"/>
      <c r="V349" s="15"/>
      <c r="W349" s="15"/>
      <c r="X349" s="14"/>
      <c r="Y349" s="14"/>
      <c r="Z349" s="435"/>
      <c r="AA349" s="3"/>
      <c r="AB349" s="3"/>
      <c r="AC349" s="3"/>
      <c r="AD349" s="3"/>
      <c r="AE349" s="3"/>
    </row>
    <row r="350" ht="15.75" customHeight="1">
      <c r="G350" s="424"/>
      <c r="J350" s="425"/>
      <c r="K350" s="188"/>
      <c r="L350" s="15"/>
      <c r="M350" s="15"/>
      <c r="N350" s="15"/>
      <c r="O350" s="15"/>
      <c r="P350" s="15"/>
      <c r="Q350" s="15"/>
      <c r="R350" s="15"/>
      <c r="S350" s="15"/>
      <c r="T350" s="15"/>
      <c r="U350" s="15"/>
      <c r="V350" s="15"/>
      <c r="W350" s="15"/>
      <c r="X350" s="14"/>
      <c r="Y350" s="14"/>
      <c r="Z350" s="435"/>
      <c r="AA350" s="3"/>
      <c r="AB350" s="3"/>
      <c r="AC350" s="3"/>
      <c r="AD350" s="3"/>
      <c r="AE350" s="3"/>
    </row>
    <row r="351" ht="15.75" customHeight="1">
      <c r="G351" s="424"/>
      <c r="J351" s="425"/>
      <c r="K351" s="188"/>
      <c r="L351" s="15"/>
      <c r="M351" s="15"/>
      <c r="N351" s="15"/>
      <c r="O351" s="15"/>
      <c r="P351" s="15"/>
      <c r="Q351" s="15"/>
      <c r="R351" s="15"/>
      <c r="S351" s="15"/>
      <c r="T351" s="15"/>
      <c r="U351" s="15"/>
      <c r="V351" s="15"/>
      <c r="W351" s="15"/>
      <c r="X351" s="14"/>
      <c r="Y351" s="14"/>
      <c r="Z351" s="435"/>
      <c r="AA351" s="3"/>
      <c r="AB351" s="3"/>
      <c r="AC351" s="3"/>
      <c r="AD351" s="3"/>
      <c r="AE351" s="3"/>
    </row>
    <row r="352" ht="15.75" customHeight="1">
      <c r="G352" s="424"/>
      <c r="J352" s="425"/>
      <c r="K352" s="188"/>
      <c r="L352" s="15"/>
      <c r="M352" s="15"/>
      <c r="N352" s="15"/>
      <c r="O352" s="15"/>
      <c r="P352" s="15"/>
      <c r="Q352" s="15"/>
      <c r="R352" s="15"/>
      <c r="S352" s="15"/>
      <c r="T352" s="15"/>
      <c r="U352" s="15"/>
      <c r="V352" s="15"/>
      <c r="Z352" s="435"/>
      <c r="AA352" s="3"/>
      <c r="AB352" s="3"/>
      <c r="AC352" s="3"/>
      <c r="AD352" s="3"/>
      <c r="AE352" s="3"/>
    </row>
    <row r="353" ht="15.75" customHeight="1">
      <c r="G353" s="424"/>
      <c r="J353" s="434"/>
      <c r="Z353" s="435"/>
    </row>
    <row r="354" ht="15.75" customHeight="1">
      <c r="G354" s="424"/>
      <c r="J354" s="434"/>
      <c r="Z354" s="435"/>
    </row>
    <row r="355" ht="15.75" customHeight="1">
      <c r="G355" s="424"/>
      <c r="J355" s="434"/>
      <c r="Z355" s="435"/>
    </row>
    <row r="356" ht="15.75" customHeight="1">
      <c r="G356" s="424"/>
      <c r="J356" s="434"/>
      <c r="Z356" s="435"/>
    </row>
    <row r="357" ht="15.75" customHeight="1">
      <c r="G357" s="424"/>
      <c r="J357" s="434"/>
      <c r="Z357" s="435"/>
    </row>
    <row r="358" ht="15.75" customHeight="1">
      <c r="G358" s="424"/>
      <c r="J358" s="434"/>
      <c r="Z358" s="435"/>
    </row>
    <row r="359" ht="15.75" customHeight="1">
      <c r="G359" s="424"/>
      <c r="J359" s="434"/>
      <c r="Z359" s="435"/>
    </row>
    <row r="360" ht="15.75" customHeight="1">
      <c r="G360" s="424"/>
      <c r="J360" s="434"/>
      <c r="Z360" s="435"/>
    </row>
    <row r="361" ht="15.75" customHeight="1">
      <c r="G361" s="424"/>
      <c r="J361" s="434"/>
      <c r="Z361" s="435"/>
    </row>
    <row r="362" ht="15.75" customHeight="1">
      <c r="G362" s="424"/>
      <c r="J362" s="434"/>
      <c r="Z362" s="435"/>
    </row>
    <row r="363" ht="15.75" customHeight="1">
      <c r="G363" s="424"/>
      <c r="J363" s="434"/>
      <c r="Z363" s="435"/>
    </row>
    <row r="364" ht="15.75" customHeight="1">
      <c r="G364" s="424"/>
      <c r="J364" s="434"/>
      <c r="Z364" s="435"/>
    </row>
    <row r="365" ht="15.75" customHeight="1">
      <c r="G365" s="424"/>
      <c r="J365" s="434"/>
      <c r="Z365" s="435"/>
    </row>
    <row r="366" ht="15.75" customHeight="1">
      <c r="G366" s="424"/>
      <c r="J366" s="434"/>
      <c r="Z366" s="435"/>
    </row>
    <row r="367" ht="15.75" customHeight="1">
      <c r="G367" s="424"/>
      <c r="J367" s="434"/>
      <c r="Z367" s="435"/>
    </row>
    <row r="368" ht="15.75" customHeight="1">
      <c r="G368" s="424"/>
      <c r="J368" s="434"/>
      <c r="Z368" s="435"/>
    </row>
    <row r="369" ht="15.75" customHeight="1">
      <c r="G369" s="424"/>
      <c r="J369" s="434"/>
      <c r="Z369" s="435"/>
    </row>
    <row r="370" ht="15.75" customHeight="1">
      <c r="G370" s="424"/>
      <c r="J370" s="434"/>
      <c r="Z370" s="435"/>
    </row>
    <row r="371" ht="15.75" customHeight="1">
      <c r="G371" s="424"/>
      <c r="J371" s="434"/>
      <c r="Z371" s="435"/>
    </row>
    <row r="372" ht="15.75" customHeight="1">
      <c r="G372" s="424"/>
      <c r="J372" s="434"/>
      <c r="Z372" s="435"/>
    </row>
    <row r="373" ht="15.75" customHeight="1">
      <c r="G373" s="424"/>
      <c r="J373" s="434"/>
      <c r="Z373" s="435"/>
    </row>
    <row r="374" ht="15.75" customHeight="1">
      <c r="G374" s="424"/>
      <c r="J374" s="434"/>
      <c r="Z374" s="435"/>
    </row>
    <row r="375" ht="15.75" customHeight="1">
      <c r="G375" s="424"/>
      <c r="J375" s="434"/>
      <c r="Z375" s="435"/>
    </row>
    <row r="376" ht="15.75" customHeight="1">
      <c r="G376" s="424"/>
      <c r="J376" s="434"/>
      <c r="Z376" s="435"/>
    </row>
    <row r="377" ht="15.75" customHeight="1">
      <c r="G377" s="424"/>
      <c r="J377" s="434"/>
      <c r="Z377" s="435"/>
    </row>
    <row r="378" ht="15.75" customHeight="1">
      <c r="G378" s="424"/>
      <c r="J378" s="434"/>
      <c r="Z378" s="435"/>
    </row>
    <row r="379" ht="15.75" customHeight="1">
      <c r="G379" s="424"/>
      <c r="J379" s="434"/>
      <c r="Z379" s="435"/>
    </row>
    <row r="380" ht="15.75" customHeight="1">
      <c r="G380" s="424"/>
      <c r="J380" s="434"/>
      <c r="Z380" s="435"/>
    </row>
    <row r="381" ht="15.75" customHeight="1">
      <c r="G381" s="424"/>
      <c r="J381" s="434"/>
      <c r="Z381" s="435"/>
    </row>
    <row r="382" ht="15.75" customHeight="1">
      <c r="G382" s="424"/>
      <c r="J382" s="434"/>
      <c r="Z382" s="435"/>
    </row>
    <row r="383" ht="15.75" customHeight="1">
      <c r="G383" s="424"/>
      <c r="J383" s="434"/>
      <c r="Z383" s="435"/>
    </row>
    <row r="384" ht="15.75" customHeight="1">
      <c r="G384" s="424"/>
      <c r="J384" s="434"/>
      <c r="Z384" s="435"/>
    </row>
    <row r="385" ht="15.75" customHeight="1">
      <c r="G385" s="424"/>
      <c r="J385" s="434"/>
      <c r="Z385" s="435"/>
    </row>
    <row r="386" ht="15.75" customHeight="1">
      <c r="G386" s="424"/>
      <c r="J386" s="434"/>
      <c r="Z386" s="435"/>
    </row>
    <row r="387" ht="15.75" customHeight="1">
      <c r="G387" s="424"/>
      <c r="J387" s="434"/>
      <c r="Z387" s="435"/>
    </row>
    <row r="388" ht="15.75" customHeight="1">
      <c r="G388" s="424"/>
      <c r="J388" s="434"/>
      <c r="Z388" s="435"/>
    </row>
    <row r="389" ht="15.75" customHeight="1">
      <c r="G389" s="424"/>
      <c r="J389" s="434"/>
      <c r="Z389" s="435"/>
    </row>
    <row r="390" ht="15.75" customHeight="1">
      <c r="G390" s="424"/>
      <c r="J390" s="434"/>
      <c r="Z390" s="435"/>
    </row>
    <row r="391" ht="15.75" customHeight="1">
      <c r="G391" s="424"/>
      <c r="J391" s="434"/>
      <c r="Z391" s="435"/>
    </row>
    <row r="392" ht="15.75" customHeight="1">
      <c r="G392" s="424"/>
      <c r="J392" s="434"/>
      <c r="Z392" s="435"/>
    </row>
    <row r="393" ht="15.75" customHeight="1">
      <c r="G393" s="424"/>
      <c r="J393" s="434"/>
      <c r="Z393" s="435"/>
    </row>
    <row r="394" ht="15.75" customHeight="1">
      <c r="G394" s="424"/>
      <c r="J394" s="434"/>
      <c r="Z394" s="435"/>
    </row>
    <row r="395" ht="15.75" customHeight="1">
      <c r="G395" s="424"/>
      <c r="J395" s="434"/>
      <c r="Z395" s="435"/>
    </row>
    <row r="396" ht="15.75" customHeight="1">
      <c r="G396" s="424"/>
      <c r="J396" s="434"/>
      <c r="Z396" s="435"/>
    </row>
    <row r="397" ht="15.75" customHeight="1">
      <c r="G397" s="424"/>
      <c r="J397" s="434"/>
      <c r="Z397" s="435"/>
    </row>
    <row r="398" ht="15.75" customHeight="1">
      <c r="G398" s="424"/>
      <c r="J398" s="434"/>
      <c r="Z398" s="435"/>
    </row>
    <row r="399" ht="15.75" customHeight="1">
      <c r="G399" s="424"/>
      <c r="J399" s="434"/>
      <c r="Z399" s="435"/>
    </row>
    <row r="400" ht="15.75" customHeight="1">
      <c r="G400" s="424"/>
      <c r="J400" s="434"/>
      <c r="Z400" s="435"/>
    </row>
    <row r="401" ht="15.75" customHeight="1">
      <c r="G401" s="424"/>
      <c r="J401" s="434"/>
      <c r="Z401" s="435"/>
    </row>
    <row r="402" ht="15.75" customHeight="1">
      <c r="G402" s="424"/>
      <c r="J402" s="434"/>
      <c r="Z402" s="435"/>
    </row>
    <row r="403" ht="15.75" customHeight="1">
      <c r="G403" s="424"/>
      <c r="J403" s="434"/>
      <c r="Z403" s="435"/>
    </row>
    <row r="404" ht="15.75" customHeight="1">
      <c r="G404" s="424"/>
      <c r="J404" s="434"/>
      <c r="Z404" s="435"/>
    </row>
    <row r="405" ht="15.75" customHeight="1">
      <c r="G405" s="424"/>
      <c r="J405" s="434"/>
      <c r="Z405" s="435"/>
    </row>
    <row r="406" ht="15.75" customHeight="1">
      <c r="G406" s="424"/>
      <c r="J406" s="434"/>
      <c r="Z406" s="435"/>
    </row>
    <row r="407" ht="15.75" customHeight="1">
      <c r="G407" s="424"/>
      <c r="J407" s="434"/>
      <c r="Z407" s="435"/>
    </row>
    <row r="408" ht="15.75" customHeight="1">
      <c r="G408" s="424"/>
      <c r="J408" s="434"/>
      <c r="Z408" s="435"/>
    </row>
    <row r="409" ht="15.75" customHeight="1">
      <c r="G409" s="424"/>
      <c r="J409" s="434"/>
      <c r="Z409" s="435"/>
    </row>
    <row r="410" ht="15.75" customHeight="1">
      <c r="G410" s="424"/>
      <c r="J410" s="434"/>
      <c r="Z410" s="435"/>
    </row>
    <row r="411" ht="15.75" customHeight="1">
      <c r="G411" s="424"/>
      <c r="J411" s="434"/>
      <c r="Z411" s="435"/>
    </row>
    <row r="412" ht="15.75" customHeight="1">
      <c r="G412" s="424"/>
      <c r="J412" s="434"/>
      <c r="Z412" s="435"/>
    </row>
    <row r="413" ht="15.75" customHeight="1">
      <c r="G413" s="424"/>
      <c r="J413" s="434"/>
      <c r="Z413" s="435"/>
    </row>
    <row r="414" ht="15.75" customHeight="1">
      <c r="G414" s="424"/>
      <c r="J414" s="434"/>
      <c r="Z414" s="435"/>
    </row>
    <row r="415" ht="15.75" customHeight="1">
      <c r="G415" s="424"/>
      <c r="J415" s="434"/>
      <c r="Z415" s="435"/>
    </row>
    <row r="416" ht="15.75" customHeight="1">
      <c r="G416" s="424"/>
      <c r="J416" s="434"/>
      <c r="Z416" s="435"/>
    </row>
    <row r="417" ht="15.75" customHeight="1">
      <c r="G417" s="424"/>
      <c r="J417" s="434"/>
      <c r="Z417" s="435"/>
    </row>
    <row r="418" ht="15.75" customHeight="1">
      <c r="G418" s="424"/>
      <c r="J418" s="434"/>
      <c r="Z418" s="435"/>
    </row>
    <row r="419" ht="15.75" customHeight="1">
      <c r="G419" s="424"/>
      <c r="J419" s="434"/>
      <c r="Z419" s="435"/>
    </row>
    <row r="420" ht="15.75" customHeight="1">
      <c r="G420" s="424"/>
      <c r="J420" s="434"/>
      <c r="Z420" s="435"/>
    </row>
    <row r="421" ht="15.75" customHeight="1">
      <c r="G421" s="424"/>
      <c r="J421" s="434"/>
      <c r="Z421" s="435"/>
    </row>
    <row r="422" ht="15.75" customHeight="1">
      <c r="G422" s="424"/>
      <c r="J422" s="434"/>
      <c r="Z422" s="435"/>
    </row>
    <row r="423" ht="15.75" customHeight="1">
      <c r="G423" s="424"/>
      <c r="J423" s="434"/>
      <c r="Z423" s="435"/>
    </row>
    <row r="424" ht="15.75" customHeight="1">
      <c r="G424" s="424"/>
      <c r="J424" s="434"/>
      <c r="Z424" s="435"/>
    </row>
    <row r="425" ht="15.75" customHeight="1">
      <c r="G425" s="424"/>
      <c r="J425" s="434"/>
      <c r="Z425" s="435"/>
    </row>
    <row r="426" ht="15.75" customHeight="1">
      <c r="G426" s="424"/>
      <c r="J426" s="434"/>
      <c r="Z426" s="435"/>
    </row>
    <row r="427" ht="15.75" customHeight="1">
      <c r="G427" s="424"/>
      <c r="J427" s="434"/>
      <c r="Z427" s="435"/>
    </row>
    <row r="428" ht="15.75" customHeight="1">
      <c r="G428" s="424"/>
      <c r="J428" s="434"/>
      <c r="Z428" s="435"/>
    </row>
    <row r="429" ht="15.75" customHeight="1">
      <c r="G429" s="424"/>
      <c r="J429" s="434"/>
      <c r="Z429" s="435"/>
    </row>
    <row r="430" ht="15.75" customHeight="1">
      <c r="G430" s="424"/>
      <c r="J430" s="434"/>
      <c r="Z430" s="435"/>
    </row>
    <row r="431" ht="15.75" customHeight="1">
      <c r="G431" s="424"/>
      <c r="J431" s="434"/>
      <c r="Z431" s="435"/>
    </row>
    <row r="432" ht="15.75" customHeight="1">
      <c r="G432" s="424"/>
      <c r="J432" s="434"/>
      <c r="Z432" s="435"/>
    </row>
    <row r="433" ht="15.75" customHeight="1">
      <c r="G433" s="424"/>
      <c r="J433" s="434"/>
      <c r="Z433" s="435"/>
    </row>
    <row r="434" ht="15.75" customHeight="1">
      <c r="G434" s="424"/>
      <c r="J434" s="434"/>
      <c r="Z434" s="435"/>
    </row>
    <row r="435" ht="15.75" customHeight="1">
      <c r="G435" s="424"/>
      <c r="J435" s="434"/>
      <c r="Z435" s="435"/>
    </row>
    <row r="436" ht="15.75" customHeight="1">
      <c r="G436" s="424"/>
      <c r="J436" s="434"/>
      <c r="Z436" s="435"/>
    </row>
    <row r="437" ht="15.75" customHeight="1">
      <c r="G437" s="424"/>
      <c r="J437" s="434"/>
      <c r="Z437" s="435"/>
    </row>
    <row r="438" ht="15.75" customHeight="1">
      <c r="G438" s="424"/>
      <c r="J438" s="434"/>
      <c r="Z438" s="435"/>
    </row>
    <row r="439" ht="15.75" customHeight="1">
      <c r="G439" s="424"/>
      <c r="J439" s="434"/>
      <c r="Z439" s="435"/>
    </row>
    <row r="440" ht="15.75" customHeight="1">
      <c r="G440" s="424"/>
      <c r="J440" s="434"/>
      <c r="Z440" s="435"/>
    </row>
    <row r="441" ht="15.75" customHeight="1">
      <c r="G441" s="424"/>
      <c r="J441" s="434"/>
      <c r="Z441" s="435"/>
    </row>
    <row r="442" ht="15.75" customHeight="1">
      <c r="G442" s="424"/>
      <c r="J442" s="434"/>
      <c r="Z442" s="435"/>
    </row>
    <row r="443" ht="15.75" customHeight="1">
      <c r="G443" s="424"/>
      <c r="J443" s="434"/>
      <c r="Z443" s="435"/>
    </row>
    <row r="444" ht="15.75" customHeight="1">
      <c r="G444" s="424"/>
      <c r="J444" s="434"/>
      <c r="Z444" s="435"/>
    </row>
    <row r="445" ht="15.75" customHeight="1">
      <c r="G445" s="424"/>
      <c r="J445" s="434"/>
      <c r="Z445" s="435"/>
    </row>
    <row r="446" ht="15.75" customHeight="1">
      <c r="G446" s="424"/>
      <c r="J446" s="434"/>
      <c r="Z446" s="435"/>
    </row>
    <row r="447" ht="15.75" customHeight="1">
      <c r="G447" s="424"/>
      <c r="J447" s="434"/>
      <c r="Z447" s="435"/>
    </row>
    <row r="448" ht="15.75" customHeight="1">
      <c r="G448" s="424"/>
      <c r="J448" s="434"/>
      <c r="Z448" s="435"/>
    </row>
    <row r="449" ht="15.75" customHeight="1">
      <c r="G449" s="424"/>
      <c r="J449" s="434"/>
      <c r="Z449" s="435"/>
    </row>
    <row r="450" ht="15.75" customHeight="1">
      <c r="G450" s="424"/>
      <c r="J450" s="434"/>
      <c r="Z450" s="435"/>
    </row>
    <row r="451" ht="15.75" customHeight="1">
      <c r="G451" s="424"/>
      <c r="J451" s="434"/>
      <c r="Z451" s="435"/>
    </row>
    <row r="452" ht="15.75" customHeight="1">
      <c r="G452" s="424"/>
      <c r="J452" s="434"/>
      <c r="Z452" s="435"/>
    </row>
    <row r="453" ht="15.75" customHeight="1">
      <c r="G453" s="424"/>
      <c r="J453" s="434"/>
      <c r="Z453" s="435"/>
    </row>
    <row r="454" ht="15.75" customHeight="1">
      <c r="G454" s="424"/>
      <c r="J454" s="434"/>
      <c r="Z454" s="435"/>
    </row>
    <row r="455" ht="15.75" customHeight="1">
      <c r="G455" s="424"/>
      <c r="J455" s="434"/>
      <c r="Z455" s="435"/>
    </row>
    <row r="456" ht="15.75" customHeight="1">
      <c r="G456" s="424"/>
      <c r="J456" s="434"/>
      <c r="Z456" s="435"/>
    </row>
    <row r="457" ht="15.75" customHeight="1">
      <c r="G457" s="424"/>
      <c r="J457" s="434"/>
      <c r="Z457" s="435"/>
    </row>
    <row r="458" ht="15.75" customHeight="1">
      <c r="G458" s="424"/>
      <c r="J458" s="434"/>
      <c r="Z458" s="435"/>
    </row>
    <row r="459" ht="15.75" customHeight="1">
      <c r="G459" s="424"/>
      <c r="J459" s="434"/>
      <c r="Z459" s="435"/>
    </row>
    <row r="460" ht="15.75" customHeight="1">
      <c r="G460" s="424"/>
      <c r="J460" s="434"/>
      <c r="Z460" s="435"/>
    </row>
    <row r="461" ht="15.75" customHeight="1">
      <c r="G461" s="424"/>
      <c r="J461" s="434"/>
      <c r="Z461" s="435"/>
    </row>
    <row r="462" ht="15.75" customHeight="1">
      <c r="G462" s="424"/>
      <c r="J462" s="434"/>
      <c r="Z462" s="435"/>
    </row>
    <row r="463" ht="15.75" customHeight="1">
      <c r="G463" s="424"/>
      <c r="J463" s="434"/>
      <c r="Z463" s="435"/>
    </row>
    <row r="464" ht="15.75" customHeight="1">
      <c r="G464" s="424"/>
      <c r="J464" s="434"/>
      <c r="Z464" s="435"/>
    </row>
    <row r="465" ht="15.75" customHeight="1">
      <c r="G465" s="424"/>
      <c r="J465" s="434"/>
      <c r="Z465" s="435"/>
    </row>
    <row r="466" ht="15.75" customHeight="1">
      <c r="G466" s="424"/>
      <c r="J466" s="434"/>
      <c r="Z466" s="435"/>
    </row>
    <row r="467" ht="15.75" customHeight="1">
      <c r="G467" s="424"/>
      <c r="J467" s="434"/>
      <c r="Z467" s="435"/>
    </row>
    <row r="468" ht="15.75" customHeight="1">
      <c r="G468" s="424"/>
      <c r="J468" s="434"/>
      <c r="Z468" s="435"/>
    </row>
    <row r="469" ht="15.75" customHeight="1">
      <c r="G469" s="424"/>
      <c r="J469" s="434"/>
      <c r="Z469" s="435"/>
    </row>
    <row r="470" ht="15.75" customHeight="1">
      <c r="G470" s="424"/>
      <c r="J470" s="434"/>
      <c r="Z470" s="435"/>
    </row>
    <row r="471" ht="15.75" customHeight="1">
      <c r="G471" s="424"/>
      <c r="J471" s="434"/>
      <c r="Z471" s="435"/>
    </row>
    <row r="472" ht="15.75" customHeight="1">
      <c r="G472" s="424"/>
      <c r="J472" s="434"/>
      <c r="Z472" s="435"/>
    </row>
    <row r="473" ht="15.75" customHeight="1">
      <c r="G473" s="424"/>
      <c r="J473" s="434"/>
      <c r="Z473" s="435"/>
    </row>
    <row r="474" ht="15.75" customHeight="1">
      <c r="G474" s="424"/>
      <c r="J474" s="434"/>
      <c r="Z474" s="435"/>
    </row>
    <row r="475" ht="15.75" customHeight="1">
      <c r="G475" s="424"/>
      <c r="J475" s="434"/>
      <c r="Z475" s="435"/>
    </row>
    <row r="476" ht="15.75" customHeight="1">
      <c r="G476" s="424"/>
      <c r="J476" s="434"/>
      <c r="Z476" s="435"/>
    </row>
    <row r="477" ht="15.75" customHeight="1">
      <c r="G477" s="424"/>
      <c r="J477" s="434"/>
      <c r="Z477" s="435"/>
    </row>
    <row r="478" ht="15.75" customHeight="1">
      <c r="G478" s="424"/>
      <c r="J478" s="434"/>
      <c r="Z478" s="435"/>
    </row>
    <row r="479" ht="15.75" customHeight="1">
      <c r="G479" s="424"/>
      <c r="J479" s="434"/>
      <c r="Z479" s="435"/>
    </row>
    <row r="480" ht="15.75" customHeight="1">
      <c r="G480" s="424"/>
      <c r="J480" s="434"/>
      <c r="Z480" s="435"/>
    </row>
    <row r="481" ht="15.75" customHeight="1">
      <c r="G481" s="424"/>
      <c r="J481" s="434"/>
      <c r="Z481" s="435"/>
    </row>
    <row r="482" ht="15.75" customHeight="1">
      <c r="G482" s="424"/>
      <c r="J482" s="434"/>
      <c r="Z482" s="435"/>
    </row>
    <row r="483" ht="15.75" customHeight="1">
      <c r="G483" s="424"/>
      <c r="J483" s="434"/>
      <c r="Z483" s="435"/>
    </row>
    <row r="484" ht="15.75" customHeight="1">
      <c r="G484" s="424"/>
      <c r="J484" s="434"/>
      <c r="Z484" s="435"/>
    </row>
    <row r="485" ht="15.75" customHeight="1">
      <c r="G485" s="424"/>
      <c r="J485" s="434"/>
      <c r="Z485" s="435"/>
    </row>
    <row r="486" ht="15.75" customHeight="1">
      <c r="G486" s="424"/>
      <c r="J486" s="434"/>
      <c r="Z486" s="435"/>
    </row>
    <row r="487" ht="15.75" customHeight="1">
      <c r="G487" s="424"/>
      <c r="J487" s="434"/>
      <c r="Z487" s="435"/>
    </row>
    <row r="488" ht="15.75" customHeight="1">
      <c r="G488" s="424"/>
      <c r="J488" s="434"/>
      <c r="Z488" s="435"/>
    </row>
    <row r="489" ht="15.75" customHeight="1">
      <c r="G489" s="424"/>
      <c r="J489" s="434"/>
      <c r="Z489" s="435"/>
    </row>
    <row r="490" ht="15.75" customHeight="1">
      <c r="G490" s="424"/>
      <c r="J490" s="434"/>
      <c r="Z490" s="435"/>
    </row>
    <row r="491" ht="15.75" customHeight="1">
      <c r="G491" s="424"/>
      <c r="J491" s="434"/>
      <c r="Z491" s="435"/>
    </row>
    <row r="492" ht="15.75" customHeight="1">
      <c r="G492" s="424"/>
      <c r="J492" s="434"/>
      <c r="Z492" s="435"/>
    </row>
    <row r="493" ht="15.75" customHeight="1">
      <c r="G493" s="424"/>
      <c r="J493" s="434"/>
      <c r="Z493" s="435"/>
    </row>
    <row r="494" ht="15.75" customHeight="1">
      <c r="G494" s="424"/>
      <c r="J494" s="434"/>
      <c r="Z494" s="435"/>
    </row>
    <row r="495" ht="15.75" customHeight="1">
      <c r="G495" s="424"/>
      <c r="J495" s="434"/>
      <c r="Z495" s="435"/>
    </row>
    <row r="496" ht="15.75" customHeight="1">
      <c r="G496" s="424"/>
      <c r="J496" s="434"/>
      <c r="Z496" s="435"/>
    </row>
    <row r="497" ht="15.75" customHeight="1">
      <c r="G497" s="424"/>
      <c r="J497" s="434"/>
      <c r="Z497" s="435"/>
    </row>
    <row r="498" ht="15.75" customHeight="1">
      <c r="G498" s="424"/>
      <c r="J498" s="434"/>
      <c r="Z498" s="435"/>
    </row>
    <row r="499" ht="15.75" customHeight="1">
      <c r="G499" s="424"/>
      <c r="J499" s="434"/>
      <c r="Z499" s="435"/>
    </row>
    <row r="500" ht="15.75" customHeight="1">
      <c r="G500" s="424"/>
      <c r="J500" s="434"/>
      <c r="Z500" s="435"/>
    </row>
    <row r="501" ht="15.75" customHeight="1">
      <c r="G501" s="424"/>
      <c r="J501" s="434"/>
      <c r="Z501" s="435"/>
    </row>
    <row r="502" ht="15.75" customHeight="1">
      <c r="G502" s="424"/>
      <c r="J502" s="434"/>
      <c r="Z502" s="435"/>
    </row>
    <row r="503" ht="15.75" customHeight="1">
      <c r="G503" s="424"/>
      <c r="J503" s="434"/>
      <c r="Z503" s="435"/>
    </row>
    <row r="504" ht="15.75" customHeight="1">
      <c r="G504" s="424"/>
      <c r="J504" s="434"/>
      <c r="Z504" s="435"/>
    </row>
    <row r="505" ht="15.75" customHeight="1">
      <c r="G505" s="424"/>
      <c r="J505" s="434"/>
      <c r="Z505" s="435"/>
    </row>
    <row r="506" ht="15.75" customHeight="1">
      <c r="G506" s="424"/>
      <c r="J506" s="434"/>
      <c r="Z506" s="435"/>
    </row>
    <row r="507" ht="15.75" customHeight="1">
      <c r="G507" s="424"/>
      <c r="J507" s="434"/>
      <c r="Z507" s="435"/>
    </row>
    <row r="508" ht="15.75" customHeight="1">
      <c r="G508" s="424"/>
      <c r="J508" s="434"/>
      <c r="Z508" s="435"/>
    </row>
    <row r="509" ht="15.75" customHeight="1">
      <c r="G509" s="424"/>
      <c r="J509" s="434"/>
      <c r="Z509" s="435"/>
    </row>
    <row r="510" ht="15.75" customHeight="1">
      <c r="G510" s="424"/>
      <c r="J510" s="434"/>
      <c r="Z510" s="435"/>
    </row>
    <row r="511" ht="15.75" customHeight="1">
      <c r="G511" s="424"/>
      <c r="J511" s="434"/>
      <c r="Z511" s="435"/>
    </row>
    <row r="512" ht="15.75" customHeight="1">
      <c r="G512" s="424"/>
      <c r="J512" s="434"/>
      <c r="Z512" s="435"/>
    </row>
    <row r="513" ht="15.75" customHeight="1">
      <c r="G513" s="424"/>
      <c r="J513" s="434"/>
      <c r="Z513" s="435"/>
    </row>
    <row r="514" ht="15.75" customHeight="1">
      <c r="G514" s="424"/>
      <c r="J514" s="434"/>
      <c r="Z514" s="435"/>
    </row>
    <row r="515" ht="15.75" customHeight="1">
      <c r="G515" s="424"/>
      <c r="J515" s="434"/>
      <c r="Z515" s="435"/>
    </row>
    <row r="516" ht="15.75" customHeight="1">
      <c r="G516" s="424"/>
      <c r="J516" s="434"/>
      <c r="Z516" s="435"/>
    </row>
    <row r="517" ht="15.75" customHeight="1">
      <c r="G517" s="424"/>
      <c r="J517" s="434"/>
      <c r="Z517" s="435"/>
    </row>
    <row r="518" ht="15.75" customHeight="1">
      <c r="G518" s="424"/>
      <c r="J518" s="434"/>
      <c r="Z518" s="435"/>
    </row>
    <row r="519" ht="15.75" customHeight="1">
      <c r="G519" s="424"/>
      <c r="J519" s="434"/>
      <c r="Z519" s="435"/>
    </row>
    <row r="520" ht="15.75" customHeight="1">
      <c r="G520" s="424"/>
      <c r="J520" s="434"/>
      <c r="Z520" s="435"/>
    </row>
    <row r="521" ht="15.75" customHeight="1">
      <c r="G521" s="424"/>
      <c r="J521" s="434"/>
      <c r="Z521" s="435"/>
    </row>
    <row r="522" ht="15.75" customHeight="1">
      <c r="G522" s="424"/>
      <c r="J522" s="434"/>
      <c r="Z522" s="435"/>
    </row>
    <row r="523" ht="15.75" customHeight="1">
      <c r="G523" s="424"/>
      <c r="J523" s="434"/>
      <c r="Z523" s="435"/>
    </row>
    <row r="524" ht="15.75" customHeight="1">
      <c r="G524" s="424"/>
      <c r="J524" s="434"/>
      <c r="Z524" s="435"/>
    </row>
    <row r="525" ht="15.75" customHeight="1">
      <c r="G525" s="424"/>
      <c r="J525" s="434"/>
      <c r="Z525" s="435"/>
    </row>
    <row r="526" ht="15.75" customHeight="1">
      <c r="G526" s="424"/>
      <c r="J526" s="434"/>
      <c r="Z526" s="435"/>
    </row>
    <row r="527" ht="15.75" customHeight="1">
      <c r="G527" s="424"/>
      <c r="J527" s="434"/>
      <c r="Z527" s="435"/>
    </row>
    <row r="528" ht="15.75" customHeight="1">
      <c r="G528" s="424"/>
      <c r="J528" s="434"/>
      <c r="Z528" s="435"/>
    </row>
    <row r="529" ht="15.75" customHeight="1">
      <c r="G529" s="424"/>
      <c r="J529" s="434"/>
      <c r="Z529" s="435"/>
    </row>
    <row r="530" ht="15.75" customHeight="1">
      <c r="G530" s="424"/>
      <c r="J530" s="434"/>
      <c r="Z530" s="435"/>
    </row>
    <row r="531" ht="15.75" customHeight="1">
      <c r="G531" s="424"/>
      <c r="J531" s="434"/>
      <c r="Z531" s="435"/>
    </row>
    <row r="532" ht="15.75" customHeight="1">
      <c r="G532" s="424"/>
      <c r="J532" s="434"/>
      <c r="Z532" s="435"/>
    </row>
    <row r="533" ht="15.75" customHeight="1">
      <c r="G533" s="424"/>
      <c r="J533" s="434"/>
      <c r="Z533" s="435"/>
    </row>
    <row r="534" ht="15.75" customHeight="1">
      <c r="G534" s="424"/>
      <c r="J534" s="434"/>
      <c r="Z534" s="435"/>
    </row>
    <row r="535" ht="15.75" customHeight="1">
      <c r="G535" s="424"/>
      <c r="J535" s="434"/>
      <c r="Z535" s="435"/>
    </row>
    <row r="536" ht="15.75" customHeight="1">
      <c r="G536" s="424"/>
      <c r="J536" s="434"/>
      <c r="Z536" s="435"/>
    </row>
    <row r="537" ht="15.75" customHeight="1">
      <c r="G537" s="424"/>
      <c r="J537" s="434"/>
      <c r="Z537" s="435"/>
    </row>
    <row r="538" ht="15.75" customHeight="1">
      <c r="G538" s="424"/>
      <c r="J538" s="434"/>
      <c r="Z538" s="435"/>
    </row>
    <row r="539" ht="15.75" customHeight="1">
      <c r="G539" s="424"/>
      <c r="J539" s="434"/>
      <c r="Z539" s="435"/>
    </row>
    <row r="540" ht="15.75" customHeight="1">
      <c r="G540" s="424"/>
      <c r="J540" s="434"/>
      <c r="Z540" s="435"/>
    </row>
    <row r="541" ht="15.75" customHeight="1">
      <c r="G541" s="424"/>
      <c r="J541" s="434"/>
      <c r="Z541" s="435"/>
    </row>
    <row r="542" ht="15.75" customHeight="1">
      <c r="G542" s="424"/>
      <c r="J542" s="434"/>
      <c r="Z542" s="435"/>
    </row>
    <row r="543" ht="15.75" customHeight="1">
      <c r="G543" s="424"/>
      <c r="J543" s="434"/>
      <c r="Z543" s="435"/>
    </row>
    <row r="544" ht="15.75" customHeight="1">
      <c r="G544" s="424"/>
      <c r="J544" s="434"/>
      <c r="Z544" s="435"/>
    </row>
    <row r="545" ht="15.75" customHeight="1">
      <c r="G545" s="424"/>
      <c r="J545" s="434"/>
      <c r="Z545" s="435"/>
    </row>
    <row r="546" ht="15.75" customHeight="1">
      <c r="G546" s="424"/>
      <c r="J546" s="434"/>
      <c r="Z546" s="435"/>
    </row>
    <row r="547" ht="15.75" customHeight="1">
      <c r="G547" s="424"/>
      <c r="J547" s="434"/>
      <c r="Z547" s="435"/>
    </row>
    <row r="548" ht="15.75" customHeight="1">
      <c r="G548" s="424"/>
      <c r="J548" s="434"/>
      <c r="Z548" s="435"/>
    </row>
    <row r="549" ht="15.75" customHeight="1">
      <c r="G549" s="424"/>
      <c r="J549" s="434"/>
      <c r="Z549" s="435"/>
    </row>
    <row r="550" ht="15.75" customHeight="1">
      <c r="G550" s="424"/>
      <c r="J550" s="434"/>
      <c r="Z550" s="435"/>
    </row>
    <row r="551" ht="15.75" customHeight="1">
      <c r="G551" s="424"/>
      <c r="J551" s="434"/>
      <c r="Z551" s="435"/>
    </row>
    <row r="552" ht="15.75" customHeight="1">
      <c r="G552" s="424"/>
      <c r="J552" s="434"/>
      <c r="Z552" s="435"/>
    </row>
    <row r="553" ht="15.75" customHeight="1">
      <c r="G553" s="424"/>
      <c r="J553" s="434"/>
      <c r="Z553" s="435"/>
    </row>
    <row r="554" ht="15.75" customHeight="1">
      <c r="G554" s="424"/>
      <c r="J554" s="434"/>
      <c r="Z554" s="435"/>
    </row>
    <row r="555" ht="15.75" customHeight="1">
      <c r="G555" s="424"/>
      <c r="J555" s="434"/>
      <c r="Z555" s="435"/>
    </row>
    <row r="556" ht="15.75" customHeight="1">
      <c r="G556" s="424"/>
      <c r="J556" s="434"/>
      <c r="Z556" s="435"/>
    </row>
    <row r="557" ht="15.75" customHeight="1">
      <c r="G557" s="424"/>
      <c r="J557" s="434"/>
      <c r="Z557" s="435"/>
    </row>
    <row r="558" ht="15.75" customHeight="1">
      <c r="G558" s="424"/>
      <c r="J558" s="434"/>
      <c r="Z558" s="435"/>
    </row>
    <row r="559" ht="15.75" customHeight="1">
      <c r="G559" s="424"/>
      <c r="J559" s="434"/>
      <c r="Z559" s="435"/>
    </row>
    <row r="560" ht="15.75" customHeight="1">
      <c r="G560" s="424"/>
      <c r="J560" s="434"/>
      <c r="Z560" s="435"/>
    </row>
    <row r="561" ht="15.75" customHeight="1">
      <c r="G561" s="424"/>
      <c r="J561" s="434"/>
      <c r="Z561" s="435"/>
    </row>
    <row r="562" ht="15.75" customHeight="1">
      <c r="G562" s="424"/>
      <c r="J562" s="434"/>
      <c r="Z562" s="435"/>
    </row>
    <row r="563" ht="15.75" customHeight="1">
      <c r="G563" s="424"/>
      <c r="J563" s="434"/>
      <c r="Z563" s="435"/>
    </row>
    <row r="564" ht="15.75" customHeight="1">
      <c r="G564" s="424"/>
      <c r="J564" s="434"/>
      <c r="Z564" s="435"/>
    </row>
    <row r="565" ht="15.75" customHeight="1">
      <c r="G565" s="424"/>
      <c r="J565" s="434"/>
      <c r="Z565" s="435"/>
    </row>
    <row r="566" ht="15.75" customHeight="1">
      <c r="G566" s="424"/>
      <c r="J566" s="434"/>
      <c r="Z566" s="435"/>
    </row>
    <row r="567" ht="15.75" customHeight="1">
      <c r="G567" s="424"/>
      <c r="J567" s="434"/>
      <c r="Z567" s="435"/>
    </row>
    <row r="568" ht="15.75" customHeight="1">
      <c r="G568" s="424"/>
      <c r="J568" s="434"/>
      <c r="Z568" s="435"/>
    </row>
    <row r="569" ht="15.75" customHeight="1">
      <c r="G569" s="424"/>
      <c r="J569" s="434"/>
      <c r="Z569" s="435"/>
    </row>
    <row r="570" ht="15.75" customHeight="1">
      <c r="G570" s="424"/>
      <c r="J570" s="434"/>
      <c r="Z570" s="435"/>
    </row>
    <row r="571" ht="15.75" customHeight="1">
      <c r="G571" s="424"/>
      <c r="J571" s="434"/>
      <c r="Z571" s="435"/>
    </row>
    <row r="572" ht="15.75" customHeight="1">
      <c r="G572" s="424"/>
      <c r="J572" s="434"/>
      <c r="Z572" s="435"/>
    </row>
    <row r="573" ht="15.75" customHeight="1">
      <c r="G573" s="424"/>
      <c r="J573" s="434"/>
      <c r="Z573" s="435"/>
    </row>
    <row r="574" ht="15.75" customHeight="1">
      <c r="G574" s="424"/>
      <c r="J574" s="434"/>
      <c r="Z574" s="435"/>
    </row>
    <row r="575" ht="15.75" customHeight="1">
      <c r="G575" s="424"/>
      <c r="J575" s="434"/>
      <c r="Z575" s="435"/>
    </row>
    <row r="576" ht="15.75" customHeight="1">
      <c r="G576" s="424"/>
      <c r="J576" s="434"/>
      <c r="Z576" s="435"/>
    </row>
    <row r="577" ht="15.75" customHeight="1">
      <c r="G577" s="424"/>
      <c r="J577" s="434"/>
      <c r="Z577" s="435"/>
    </row>
    <row r="578" ht="15.75" customHeight="1">
      <c r="G578" s="424"/>
      <c r="J578" s="434"/>
      <c r="Z578" s="435"/>
    </row>
    <row r="579" ht="15.75" customHeight="1">
      <c r="G579" s="424"/>
      <c r="J579" s="434"/>
      <c r="Z579" s="435"/>
    </row>
    <row r="580" ht="15.75" customHeight="1">
      <c r="G580" s="424"/>
      <c r="J580" s="434"/>
      <c r="Z580" s="435"/>
    </row>
    <row r="581" ht="15.75" customHeight="1">
      <c r="G581" s="424"/>
      <c r="J581" s="434"/>
      <c r="Z581" s="435"/>
    </row>
    <row r="582" ht="15.75" customHeight="1">
      <c r="G582" s="424"/>
      <c r="J582" s="434"/>
      <c r="Z582" s="435"/>
    </row>
    <row r="583" ht="15.75" customHeight="1">
      <c r="G583" s="424"/>
      <c r="J583" s="434"/>
      <c r="Z583" s="435"/>
    </row>
    <row r="584" ht="15.75" customHeight="1">
      <c r="G584" s="424"/>
      <c r="J584" s="434"/>
      <c r="Z584" s="435"/>
    </row>
    <row r="585" ht="15.75" customHeight="1">
      <c r="G585" s="424"/>
      <c r="J585" s="434"/>
      <c r="Z585" s="435"/>
    </row>
    <row r="586" ht="15.75" customHeight="1">
      <c r="G586" s="424"/>
      <c r="J586" s="434"/>
      <c r="Z586" s="435"/>
    </row>
    <row r="587" ht="15.75" customHeight="1">
      <c r="G587" s="424"/>
      <c r="J587" s="434"/>
      <c r="Z587" s="435"/>
    </row>
    <row r="588" ht="15.75" customHeight="1">
      <c r="G588" s="424"/>
      <c r="J588" s="434"/>
      <c r="Z588" s="435"/>
    </row>
    <row r="589" ht="15.75" customHeight="1">
      <c r="G589" s="424"/>
      <c r="J589" s="434"/>
      <c r="Z589" s="435"/>
    </row>
    <row r="590" ht="15.75" customHeight="1">
      <c r="G590" s="424"/>
      <c r="J590" s="434"/>
      <c r="Z590" s="435"/>
    </row>
    <row r="591" ht="15.75" customHeight="1">
      <c r="G591" s="424"/>
      <c r="J591" s="434"/>
      <c r="Z591" s="435"/>
    </row>
    <row r="592" ht="15.75" customHeight="1">
      <c r="G592" s="424"/>
      <c r="J592" s="434"/>
      <c r="Z592" s="435"/>
    </row>
    <row r="593" ht="15.75" customHeight="1">
      <c r="G593" s="424"/>
      <c r="J593" s="434"/>
      <c r="Z593" s="435"/>
    </row>
    <row r="594" ht="15.75" customHeight="1">
      <c r="G594" s="424"/>
      <c r="J594" s="434"/>
      <c r="Z594" s="435"/>
    </row>
    <row r="595" ht="15.75" customHeight="1">
      <c r="G595" s="424"/>
      <c r="J595" s="434"/>
      <c r="Z595" s="435"/>
    </row>
    <row r="596" ht="15.75" customHeight="1">
      <c r="G596" s="424"/>
      <c r="J596" s="434"/>
      <c r="Z596" s="435"/>
    </row>
    <row r="597" ht="15.75" customHeight="1">
      <c r="G597" s="424"/>
      <c r="J597" s="434"/>
      <c r="Z597" s="435"/>
    </row>
    <row r="598" ht="15.75" customHeight="1">
      <c r="G598" s="424"/>
      <c r="J598" s="434"/>
      <c r="Z598" s="435"/>
    </row>
    <row r="599" ht="15.75" customHeight="1">
      <c r="G599" s="424"/>
      <c r="J599" s="434"/>
      <c r="Z599" s="435"/>
    </row>
    <row r="600" ht="15.75" customHeight="1">
      <c r="G600" s="424"/>
      <c r="J600" s="434"/>
      <c r="Z600" s="435"/>
    </row>
    <row r="601" ht="15.75" customHeight="1">
      <c r="G601" s="424"/>
      <c r="J601" s="434"/>
      <c r="Z601" s="435"/>
    </row>
    <row r="602" ht="15.75" customHeight="1">
      <c r="G602" s="424"/>
      <c r="J602" s="434"/>
      <c r="Z602" s="435"/>
    </row>
    <row r="603" ht="15.75" customHeight="1">
      <c r="G603" s="424"/>
      <c r="J603" s="434"/>
      <c r="Z603" s="435"/>
    </row>
    <row r="604" ht="15.75" customHeight="1">
      <c r="G604" s="424"/>
      <c r="J604" s="434"/>
      <c r="Z604" s="435"/>
    </row>
    <row r="605" ht="15.75" customHeight="1">
      <c r="G605" s="424"/>
      <c r="J605" s="434"/>
      <c r="Z605" s="435"/>
    </row>
    <row r="606" ht="15.75" customHeight="1">
      <c r="G606" s="424"/>
      <c r="J606" s="434"/>
      <c r="Z606" s="435"/>
    </row>
    <row r="607" ht="15.75" customHeight="1">
      <c r="G607" s="424"/>
      <c r="J607" s="434"/>
      <c r="Z607" s="435"/>
    </row>
    <row r="608" ht="15.75" customHeight="1">
      <c r="G608" s="424"/>
      <c r="J608" s="434"/>
      <c r="Z608" s="435"/>
    </row>
    <row r="609" ht="15.75" customHeight="1">
      <c r="G609" s="424"/>
      <c r="J609" s="434"/>
      <c r="Z609" s="435"/>
    </row>
    <row r="610" ht="15.75" customHeight="1">
      <c r="G610" s="424"/>
      <c r="J610" s="434"/>
      <c r="Z610" s="435"/>
    </row>
    <row r="611" ht="15.75" customHeight="1">
      <c r="G611" s="424"/>
      <c r="J611" s="434"/>
      <c r="Z611" s="435"/>
    </row>
    <row r="612" ht="15.75" customHeight="1">
      <c r="G612" s="424"/>
      <c r="J612" s="434"/>
      <c r="Z612" s="435"/>
    </row>
    <row r="613" ht="15.75" customHeight="1">
      <c r="G613" s="424"/>
      <c r="J613" s="434"/>
      <c r="Z613" s="435"/>
    </row>
    <row r="614" ht="15.75" customHeight="1">
      <c r="G614" s="424"/>
      <c r="J614" s="434"/>
      <c r="Z614" s="435"/>
    </row>
    <row r="615" ht="15.75" customHeight="1">
      <c r="G615" s="424"/>
      <c r="J615" s="434"/>
      <c r="Z615" s="435"/>
    </row>
    <row r="616" ht="15.75" customHeight="1">
      <c r="G616" s="424"/>
      <c r="J616" s="434"/>
      <c r="Z616" s="435"/>
    </row>
    <row r="617" ht="15.75" customHeight="1">
      <c r="G617" s="424"/>
      <c r="J617" s="434"/>
      <c r="Z617" s="435"/>
    </row>
    <row r="618" ht="15.75" customHeight="1">
      <c r="G618" s="424"/>
      <c r="J618" s="434"/>
      <c r="Z618" s="435"/>
    </row>
    <row r="619" ht="15.75" customHeight="1">
      <c r="G619" s="424"/>
      <c r="J619" s="434"/>
      <c r="Z619" s="435"/>
    </row>
    <row r="620" ht="15.75" customHeight="1">
      <c r="G620" s="424"/>
      <c r="J620" s="434"/>
      <c r="Z620" s="435"/>
    </row>
    <row r="621" ht="15.75" customHeight="1">
      <c r="G621" s="424"/>
      <c r="J621" s="434"/>
      <c r="Z621" s="435"/>
    </row>
    <row r="622" ht="15.75" customHeight="1">
      <c r="G622" s="424"/>
      <c r="J622" s="434"/>
      <c r="Z622" s="435"/>
    </row>
    <row r="623" ht="15.75" customHeight="1">
      <c r="G623" s="424"/>
      <c r="J623" s="434"/>
      <c r="Z623" s="435"/>
    </row>
    <row r="624" ht="15.75" customHeight="1">
      <c r="G624" s="424"/>
      <c r="J624" s="434"/>
      <c r="Z624" s="435"/>
    </row>
    <row r="625" ht="15.75" customHeight="1">
      <c r="G625" s="424"/>
      <c r="J625" s="434"/>
      <c r="Z625" s="435"/>
    </row>
    <row r="626" ht="15.75" customHeight="1">
      <c r="G626" s="424"/>
      <c r="J626" s="434"/>
      <c r="Z626" s="435"/>
    </row>
    <row r="627" ht="15.75" customHeight="1">
      <c r="G627" s="424"/>
      <c r="J627" s="434"/>
      <c r="Z627" s="435"/>
    </row>
    <row r="628" ht="15.75" customHeight="1">
      <c r="G628" s="424"/>
      <c r="J628" s="434"/>
      <c r="Z628" s="435"/>
    </row>
    <row r="629" ht="15.75" customHeight="1">
      <c r="G629" s="424"/>
      <c r="J629" s="434"/>
      <c r="Z629" s="435"/>
    </row>
    <row r="630" ht="15.75" customHeight="1">
      <c r="G630" s="424"/>
      <c r="J630" s="434"/>
      <c r="Z630" s="435"/>
    </row>
    <row r="631" ht="15.75" customHeight="1">
      <c r="G631" s="424"/>
      <c r="J631" s="434"/>
      <c r="Z631" s="435"/>
    </row>
    <row r="632" ht="15.75" customHeight="1">
      <c r="G632" s="424"/>
      <c r="J632" s="434"/>
      <c r="Z632" s="435"/>
    </row>
    <row r="633" ht="15.75" customHeight="1">
      <c r="G633" s="424"/>
      <c r="J633" s="434"/>
      <c r="Z633" s="435"/>
    </row>
    <row r="634" ht="15.75" customHeight="1">
      <c r="G634" s="424"/>
      <c r="J634" s="434"/>
      <c r="Z634" s="435"/>
    </row>
    <row r="635" ht="15.75" customHeight="1">
      <c r="G635" s="424"/>
      <c r="J635" s="434"/>
      <c r="Z635" s="435"/>
    </row>
    <row r="636" ht="15.75" customHeight="1">
      <c r="G636" s="424"/>
      <c r="J636" s="434"/>
      <c r="Z636" s="435"/>
    </row>
    <row r="637" ht="15.75" customHeight="1">
      <c r="G637" s="424"/>
      <c r="J637" s="434"/>
      <c r="Z637" s="435"/>
    </row>
    <row r="638" ht="15.75" customHeight="1">
      <c r="G638" s="424"/>
      <c r="J638" s="434"/>
      <c r="Z638" s="435"/>
    </row>
    <row r="639" ht="15.75" customHeight="1">
      <c r="G639" s="424"/>
      <c r="J639" s="434"/>
      <c r="Z639" s="435"/>
    </row>
    <row r="640" ht="15.75" customHeight="1">
      <c r="G640" s="424"/>
      <c r="J640" s="434"/>
      <c r="Z640" s="435"/>
    </row>
    <row r="641" ht="15.75" customHeight="1">
      <c r="G641" s="424"/>
      <c r="J641" s="434"/>
      <c r="Z641" s="435"/>
    </row>
    <row r="642" ht="15.75" customHeight="1">
      <c r="G642" s="424"/>
      <c r="J642" s="434"/>
      <c r="Z642" s="435"/>
    </row>
    <row r="643" ht="15.75" customHeight="1">
      <c r="G643" s="424"/>
      <c r="J643" s="434"/>
      <c r="Z643" s="435"/>
    </row>
    <row r="644" ht="15.75" customHeight="1">
      <c r="G644" s="424"/>
      <c r="J644" s="434"/>
      <c r="Z644" s="435"/>
    </row>
    <row r="645" ht="15.75" customHeight="1">
      <c r="G645" s="424"/>
      <c r="J645" s="434"/>
      <c r="Z645" s="435"/>
    </row>
    <row r="646" ht="15.75" customHeight="1">
      <c r="G646" s="424"/>
      <c r="J646" s="434"/>
      <c r="Z646" s="435"/>
    </row>
    <row r="647" ht="15.75" customHeight="1">
      <c r="G647" s="424"/>
      <c r="J647" s="434"/>
      <c r="Z647" s="435"/>
    </row>
    <row r="648" ht="15.75" customHeight="1">
      <c r="G648" s="424"/>
      <c r="J648" s="434"/>
      <c r="Z648" s="435"/>
    </row>
    <row r="649" ht="15.75" customHeight="1">
      <c r="G649" s="424"/>
      <c r="J649" s="434"/>
      <c r="Z649" s="435"/>
    </row>
    <row r="650" ht="15.75" customHeight="1">
      <c r="G650" s="424"/>
      <c r="J650" s="434"/>
      <c r="Z650" s="435"/>
    </row>
    <row r="651" ht="15.75" customHeight="1">
      <c r="G651" s="424"/>
      <c r="J651" s="434"/>
      <c r="Z651" s="435"/>
    </row>
    <row r="652" ht="15.75" customHeight="1">
      <c r="G652" s="424"/>
      <c r="J652" s="434"/>
      <c r="Z652" s="435"/>
    </row>
    <row r="653" ht="15.75" customHeight="1">
      <c r="G653" s="424"/>
      <c r="J653" s="434"/>
      <c r="Z653" s="435"/>
    </row>
    <row r="654" ht="15.75" customHeight="1">
      <c r="G654" s="424"/>
      <c r="J654" s="434"/>
      <c r="Z654" s="435"/>
    </row>
    <row r="655" ht="15.75" customHeight="1">
      <c r="G655" s="424"/>
      <c r="J655" s="434"/>
      <c r="Z655" s="435"/>
    </row>
    <row r="656" ht="15.75" customHeight="1">
      <c r="G656" s="424"/>
      <c r="J656" s="434"/>
      <c r="Z656" s="435"/>
    </row>
    <row r="657" ht="15.75" customHeight="1">
      <c r="G657" s="424"/>
      <c r="J657" s="434"/>
      <c r="Z657" s="435"/>
    </row>
    <row r="658" ht="15.75" customHeight="1">
      <c r="G658" s="424"/>
      <c r="J658" s="434"/>
      <c r="Z658" s="435"/>
    </row>
    <row r="659" ht="15.75" customHeight="1">
      <c r="G659" s="424"/>
      <c r="J659" s="434"/>
      <c r="Z659" s="435"/>
    </row>
    <row r="660" ht="15.75" customHeight="1">
      <c r="G660" s="424"/>
      <c r="J660" s="434"/>
      <c r="Z660" s="435"/>
    </row>
    <row r="661" ht="15.75" customHeight="1">
      <c r="G661" s="424"/>
      <c r="J661" s="434"/>
      <c r="Z661" s="435"/>
    </row>
    <row r="662" ht="15.75" customHeight="1">
      <c r="G662" s="424"/>
      <c r="J662" s="434"/>
      <c r="Z662" s="435"/>
    </row>
    <row r="663" ht="15.75" customHeight="1">
      <c r="G663" s="424"/>
      <c r="J663" s="434"/>
      <c r="Z663" s="435"/>
    </row>
    <row r="664" ht="15.75" customHeight="1">
      <c r="G664" s="424"/>
      <c r="J664" s="434"/>
      <c r="Z664" s="435"/>
    </row>
    <row r="665" ht="15.75" customHeight="1">
      <c r="G665" s="424"/>
      <c r="J665" s="434"/>
      <c r="Z665" s="435"/>
    </row>
    <row r="666" ht="15.75" customHeight="1">
      <c r="G666" s="424"/>
      <c r="J666" s="434"/>
      <c r="Z666" s="435"/>
    </row>
    <row r="667" ht="15.75" customHeight="1">
      <c r="G667" s="424"/>
      <c r="J667" s="434"/>
      <c r="Z667" s="435"/>
    </row>
    <row r="668" ht="15.75" customHeight="1">
      <c r="G668" s="424"/>
      <c r="J668" s="434"/>
      <c r="Z668" s="435"/>
    </row>
    <row r="669" ht="15.75" customHeight="1">
      <c r="G669" s="424"/>
      <c r="J669" s="434"/>
      <c r="Z669" s="435"/>
    </row>
    <row r="670" ht="15.75" customHeight="1">
      <c r="G670" s="424"/>
      <c r="J670" s="434"/>
      <c r="Z670" s="435"/>
    </row>
    <row r="671" ht="15.75" customHeight="1">
      <c r="G671" s="424"/>
      <c r="J671" s="434"/>
      <c r="Z671" s="435"/>
    </row>
    <row r="672" ht="15.75" customHeight="1">
      <c r="G672" s="424"/>
      <c r="J672" s="434"/>
      <c r="Z672" s="435"/>
    </row>
    <row r="673" ht="15.75" customHeight="1">
      <c r="G673" s="424"/>
      <c r="J673" s="434"/>
      <c r="Z673" s="435"/>
    </row>
    <row r="674" ht="15.75" customHeight="1">
      <c r="G674" s="424"/>
      <c r="J674" s="434"/>
      <c r="Z674" s="435"/>
    </row>
    <row r="675" ht="15.75" customHeight="1">
      <c r="G675" s="424"/>
      <c r="J675" s="434"/>
      <c r="Z675" s="435"/>
    </row>
    <row r="676" ht="15.75" customHeight="1">
      <c r="G676" s="424"/>
      <c r="J676" s="434"/>
      <c r="Z676" s="435"/>
    </row>
    <row r="677" ht="15.75" customHeight="1">
      <c r="G677" s="424"/>
      <c r="J677" s="434"/>
      <c r="Z677" s="435"/>
    </row>
    <row r="678" ht="15.75" customHeight="1">
      <c r="G678" s="424"/>
      <c r="J678" s="434"/>
      <c r="Z678" s="435"/>
    </row>
    <row r="679" ht="15.75" customHeight="1">
      <c r="G679" s="424"/>
      <c r="J679" s="434"/>
      <c r="Z679" s="435"/>
    </row>
    <row r="680" ht="15.75" customHeight="1">
      <c r="G680" s="424"/>
      <c r="J680" s="434"/>
      <c r="Z680" s="435"/>
    </row>
    <row r="681" ht="15.75" customHeight="1">
      <c r="G681" s="424"/>
      <c r="J681" s="434"/>
      <c r="Z681" s="435"/>
    </row>
    <row r="682" ht="15.75" customHeight="1">
      <c r="G682" s="424"/>
      <c r="J682" s="434"/>
      <c r="Z682" s="435"/>
    </row>
    <row r="683" ht="15.75" customHeight="1">
      <c r="G683" s="424"/>
      <c r="J683" s="434"/>
      <c r="Z683" s="435"/>
    </row>
    <row r="684" ht="15.75" customHeight="1">
      <c r="G684" s="424"/>
      <c r="J684" s="434"/>
      <c r="Z684" s="435"/>
    </row>
    <row r="685" ht="15.75" customHeight="1">
      <c r="G685" s="424"/>
      <c r="J685" s="434"/>
      <c r="Z685" s="435"/>
    </row>
    <row r="686" ht="15.75" customHeight="1">
      <c r="G686" s="424"/>
      <c r="J686" s="434"/>
      <c r="Z686" s="435"/>
    </row>
    <row r="687" ht="15.75" customHeight="1">
      <c r="G687" s="424"/>
      <c r="J687" s="434"/>
      <c r="Z687" s="435"/>
    </row>
    <row r="688" ht="15.75" customHeight="1">
      <c r="G688" s="424"/>
      <c r="J688" s="434"/>
      <c r="Z688" s="435"/>
    </row>
    <row r="689" ht="15.75" customHeight="1">
      <c r="G689" s="424"/>
      <c r="J689" s="434"/>
      <c r="Z689" s="435"/>
    </row>
    <row r="690" ht="15.75" customHeight="1">
      <c r="G690" s="424"/>
      <c r="J690" s="434"/>
      <c r="Z690" s="435"/>
    </row>
    <row r="691" ht="15.75" customHeight="1">
      <c r="G691" s="424"/>
      <c r="J691" s="434"/>
      <c r="Z691" s="435"/>
    </row>
    <row r="692" ht="15.75" customHeight="1">
      <c r="G692" s="424"/>
      <c r="J692" s="434"/>
      <c r="Z692" s="435"/>
    </row>
    <row r="693" ht="15.75" customHeight="1">
      <c r="G693" s="424"/>
      <c r="J693" s="434"/>
      <c r="Z693" s="435"/>
    </row>
    <row r="694" ht="15.75" customHeight="1">
      <c r="G694" s="424"/>
      <c r="J694" s="434"/>
      <c r="Z694" s="435"/>
    </row>
    <row r="695" ht="15.75" customHeight="1">
      <c r="G695" s="424"/>
      <c r="J695" s="434"/>
      <c r="Z695" s="435"/>
    </row>
    <row r="696" ht="15.75" customHeight="1">
      <c r="G696" s="424"/>
      <c r="J696" s="434"/>
      <c r="Z696" s="435"/>
    </row>
    <row r="697" ht="15.75" customHeight="1">
      <c r="G697" s="424"/>
      <c r="J697" s="434"/>
      <c r="Z697" s="435"/>
    </row>
    <row r="698" ht="15.75" customHeight="1">
      <c r="G698" s="424"/>
      <c r="J698" s="434"/>
      <c r="Z698" s="435"/>
    </row>
    <row r="699" ht="15.75" customHeight="1">
      <c r="G699" s="424"/>
      <c r="J699" s="434"/>
      <c r="Z699" s="435"/>
    </row>
    <row r="700" ht="15.75" customHeight="1">
      <c r="G700" s="424"/>
      <c r="J700" s="434"/>
      <c r="Z700" s="435"/>
    </row>
    <row r="701" ht="15.75" customHeight="1">
      <c r="G701" s="424"/>
      <c r="J701" s="434"/>
      <c r="Z701" s="435"/>
    </row>
    <row r="702" ht="15.75" customHeight="1">
      <c r="G702" s="424"/>
      <c r="J702" s="434"/>
      <c r="Z702" s="435"/>
    </row>
    <row r="703" ht="15.75" customHeight="1">
      <c r="G703" s="424"/>
      <c r="J703" s="434"/>
      <c r="Z703" s="435"/>
    </row>
    <row r="704" ht="15.75" customHeight="1">
      <c r="G704" s="424"/>
      <c r="J704" s="434"/>
      <c r="Z704" s="435"/>
    </row>
    <row r="705" ht="15.75" customHeight="1">
      <c r="G705" s="424"/>
      <c r="J705" s="434"/>
      <c r="Z705" s="435"/>
    </row>
    <row r="706" ht="15.75" customHeight="1">
      <c r="G706" s="424"/>
      <c r="J706" s="434"/>
      <c r="Z706" s="435"/>
    </row>
    <row r="707" ht="15.75" customHeight="1">
      <c r="G707" s="424"/>
      <c r="J707" s="434"/>
      <c r="Z707" s="435"/>
    </row>
    <row r="708" ht="15.75" customHeight="1">
      <c r="G708" s="424"/>
      <c r="J708" s="434"/>
      <c r="Z708" s="435"/>
    </row>
    <row r="709" ht="15.75" customHeight="1">
      <c r="G709" s="424"/>
      <c r="J709" s="434"/>
      <c r="Z709" s="435"/>
    </row>
    <row r="710" ht="15.75" customHeight="1">
      <c r="G710" s="424"/>
      <c r="J710" s="434"/>
      <c r="Z710" s="435"/>
    </row>
    <row r="711" ht="15.75" customHeight="1">
      <c r="G711" s="424"/>
      <c r="J711" s="434"/>
      <c r="Z711" s="435"/>
    </row>
    <row r="712" ht="15.75" customHeight="1">
      <c r="G712" s="424"/>
      <c r="J712" s="434"/>
      <c r="Z712" s="435"/>
    </row>
    <row r="713" ht="15.75" customHeight="1">
      <c r="G713" s="424"/>
      <c r="J713" s="434"/>
      <c r="Z713" s="435"/>
    </row>
    <row r="714" ht="15.75" customHeight="1">
      <c r="G714" s="424"/>
      <c r="J714" s="434"/>
      <c r="Z714" s="435"/>
    </row>
    <row r="715" ht="15.75" customHeight="1">
      <c r="G715" s="424"/>
      <c r="J715" s="434"/>
      <c r="Z715" s="435"/>
    </row>
    <row r="716" ht="15.75" customHeight="1">
      <c r="G716" s="424"/>
      <c r="J716" s="434"/>
      <c r="Z716" s="435"/>
    </row>
    <row r="717" ht="15.75" customHeight="1">
      <c r="G717" s="424"/>
      <c r="J717" s="434"/>
      <c r="Z717" s="435"/>
    </row>
    <row r="718" ht="15.75" customHeight="1">
      <c r="G718" s="424"/>
      <c r="J718" s="434"/>
      <c r="Z718" s="435"/>
    </row>
    <row r="719" ht="15.75" customHeight="1">
      <c r="G719" s="424"/>
      <c r="J719" s="434"/>
      <c r="Z719" s="435"/>
    </row>
    <row r="720" ht="15.75" customHeight="1">
      <c r="G720" s="424"/>
      <c r="J720" s="434"/>
      <c r="Z720" s="435"/>
    </row>
    <row r="721" ht="15.75" customHeight="1">
      <c r="G721" s="424"/>
      <c r="J721" s="434"/>
      <c r="Z721" s="435"/>
    </row>
    <row r="722" ht="15.75" customHeight="1">
      <c r="G722" s="424"/>
      <c r="J722" s="434"/>
      <c r="Z722" s="435"/>
    </row>
    <row r="723" ht="15.75" customHeight="1">
      <c r="G723" s="424"/>
      <c r="J723" s="434"/>
      <c r="Z723" s="435"/>
    </row>
    <row r="724" ht="15.75" customHeight="1">
      <c r="G724" s="424"/>
      <c r="J724" s="434"/>
      <c r="Z724" s="435"/>
    </row>
    <row r="725" ht="15.75" customHeight="1">
      <c r="G725" s="424"/>
      <c r="J725" s="434"/>
      <c r="Z725" s="435"/>
    </row>
    <row r="726" ht="15.75" customHeight="1">
      <c r="G726" s="424"/>
      <c r="J726" s="434"/>
      <c r="Z726" s="435"/>
    </row>
    <row r="727" ht="15.75" customHeight="1">
      <c r="G727" s="424"/>
      <c r="J727" s="434"/>
      <c r="Z727" s="435"/>
    </row>
    <row r="728" ht="15.75" customHeight="1">
      <c r="G728" s="424"/>
      <c r="J728" s="434"/>
      <c r="Z728" s="435"/>
    </row>
    <row r="729" ht="15.75" customHeight="1">
      <c r="G729" s="424"/>
      <c r="J729" s="434"/>
      <c r="Z729" s="435"/>
    </row>
    <row r="730" ht="15.75" customHeight="1">
      <c r="G730" s="424"/>
      <c r="J730" s="434"/>
      <c r="Z730" s="435"/>
    </row>
    <row r="731" ht="15.75" customHeight="1">
      <c r="G731" s="424"/>
      <c r="J731" s="434"/>
      <c r="Z731" s="435"/>
    </row>
    <row r="732" ht="15.75" customHeight="1">
      <c r="G732" s="424"/>
      <c r="J732" s="434"/>
      <c r="Z732" s="435"/>
    </row>
    <row r="733" ht="15.75" customHeight="1">
      <c r="G733" s="424"/>
      <c r="J733" s="434"/>
      <c r="Z733" s="435"/>
    </row>
    <row r="734" ht="15.75" customHeight="1">
      <c r="G734" s="424"/>
      <c r="J734" s="434"/>
      <c r="Z734" s="435"/>
    </row>
    <row r="735" ht="15.75" customHeight="1">
      <c r="G735" s="424"/>
      <c r="J735" s="434"/>
      <c r="Z735" s="435"/>
    </row>
    <row r="736" ht="15.75" customHeight="1">
      <c r="G736" s="424"/>
      <c r="J736" s="434"/>
      <c r="Z736" s="435"/>
    </row>
    <row r="737" ht="15.75" customHeight="1">
      <c r="G737" s="424"/>
      <c r="J737" s="434"/>
      <c r="Z737" s="435"/>
    </row>
    <row r="738" ht="15.75" customHeight="1">
      <c r="G738" s="424"/>
      <c r="J738" s="434"/>
      <c r="Z738" s="435"/>
    </row>
    <row r="739" ht="15.75" customHeight="1">
      <c r="G739" s="424"/>
      <c r="J739" s="434"/>
      <c r="Z739" s="435"/>
    </row>
    <row r="740" ht="15.75" customHeight="1">
      <c r="G740" s="424"/>
      <c r="J740" s="434"/>
      <c r="Z740" s="435"/>
    </row>
    <row r="741" ht="15.75" customHeight="1">
      <c r="G741" s="424"/>
      <c r="J741" s="434"/>
      <c r="Z741" s="435"/>
    </row>
    <row r="742" ht="15.75" customHeight="1">
      <c r="G742" s="424"/>
      <c r="J742" s="434"/>
      <c r="Z742" s="435"/>
    </row>
    <row r="743" ht="15.75" customHeight="1">
      <c r="G743" s="424"/>
      <c r="J743" s="434"/>
      <c r="Z743" s="435"/>
    </row>
    <row r="744" ht="15.75" customHeight="1">
      <c r="G744" s="424"/>
      <c r="J744" s="434"/>
      <c r="Z744" s="435"/>
    </row>
    <row r="745" ht="15.75" customHeight="1">
      <c r="G745" s="424"/>
      <c r="J745" s="434"/>
      <c r="Z745" s="435"/>
    </row>
    <row r="746" ht="15.75" customHeight="1">
      <c r="G746" s="424"/>
      <c r="J746" s="434"/>
      <c r="Z746" s="435"/>
    </row>
    <row r="747" ht="15.75" customHeight="1">
      <c r="G747" s="424"/>
      <c r="J747" s="434"/>
      <c r="Z747" s="435"/>
    </row>
    <row r="748" ht="15.75" customHeight="1">
      <c r="G748" s="424"/>
      <c r="J748" s="434"/>
      <c r="Z748" s="435"/>
    </row>
    <row r="749" ht="15.75" customHeight="1">
      <c r="G749" s="424"/>
      <c r="J749" s="434"/>
      <c r="Z749" s="435"/>
    </row>
    <row r="750" ht="15.75" customHeight="1">
      <c r="G750" s="424"/>
      <c r="J750" s="434"/>
      <c r="Z750" s="435"/>
    </row>
    <row r="751" ht="15.75" customHeight="1">
      <c r="G751" s="424"/>
      <c r="J751" s="434"/>
      <c r="Z751" s="435"/>
    </row>
    <row r="752" ht="15.75" customHeight="1">
      <c r="G752" s="424"/>
      <c r="J752" s="434"/>
      <c r="Z752" s="435"/>
    </row>
    <row r="753" ht="15.75" customHeight="1">
      <c r="G753" s="424"/>
      <c r="J753" s="434"/>
      <c r="Z753" s="435"/>
    </row>
    <row r="754" ht="15.75" customHeight="1">
      <c r="G754" s="424"/>
      <c r="J754" s="434"/>
      <c r="Z754" s="435"/>
    </row>
    <row r="755" ht="15.75" customHeight="1">
      <c r="G755" s="424"/>
      <c r="J755" s="434"/>
      <c r="Z755" s="435"/>
    </row>
    <row r="756" ht="15.75" customHeight="1">
      <c r="G756" s="424"/>
      <c r="J756" s="434"/>
      <c r="Z756" s="435"/>
    </row>
    <row r="757" ht="15.75" customHeight="1">
      <c r="G757" s="424"/>
      <c r="J757" s="434"/>
      <c r="Z757" s="435"/>
    </row>
    <row r="758" ht="15.75" customHeight="1">
      <c r="G758" s="424"/>
      <c r="J758" s="434"/>
      <c r="Z758" s="435"/>
    </row>
    <row r="759" ht="15.75" customHeight="1">
      <c r="G759" s="424"/>
      <c r="J759" s="434"/>
      <c r="Z759" s="435"/>
    </row>
    <row r="760" ht="15.75" customHeight="1">
      <c r="G760" s="424"/>
      <c r="J760" s="434"/>
      <c r="Z760" s="435"/>
    </row>
    <row r="761" ht="15.75" customHeight="1">
      <c r="G761" s="424"/>
      <c r="J761" s="434"/>
      <c r="Z761" s="435"/>
    </row>
    <row r="762" ht="15.75" customHeight="1">
      <c r="G762" s="424"/>
      <c r="J762" s="434"/>
      <c r="Z762" s="435"/>
    </row>
    <row r="763" ht="15.75" customHeight="1">
      <c r="G763" s="424"/>
      <c r="J763" s="434"/>
      <c r="Z763" s="435"/>
    </row>
    <row r="764" ht="15.75" customHeight="1">
      <c r="G764" s="424"/>
      <c r="J764" s="434"/>
      <c r="Z764" s="435"/>
    </row>
    <row r="765" ht="15.75" customHeight="1">
      <c r="G765" s="424"/>
      <c r="J765" s="434"/>
      <c r="Z765" s="435"/>
    </row>
    <row r="766" ht="15.75" customHeight="1">
      <c r="G766" s="424"/>
      <c r="J766" s="434"/>
      <c r="Z766" s="435"/>
    </row>
    <row r="767" ht="15.75" customHeight="1">
      <c r="G767" s="424"/>
      <c r="J767" s="434"/>
      <c r="Z767" s="435"/>
    </row>
    <row r="768" ht="15.75" customHeight="1">
      <c r="G768" s="424"/>
      <c r="J768" s="434"/>
      <c r="Z768" s="435"/>
    </row>
    <row r="769" ht="15.75" customHeight="1">
      <c r="G769" s="424"/>
      <c r="J769" s="434"/>
      <c r="Z769" s="435"/>
    </row>
    <row r="770" ht="15.75" customHeight="1">
      <c r="G770" s="424"/>
      <c r="J770" s="434"/>
      <c r="Z770" s="435"/>
    </row>
    <row r="771" ht="15.75" customHeight="1">
      <c r="G771" s="424"/>
      <c r="J771" s="434"/>
      <c r="Z771" s="435"/>
    </row>
    <row r="772" ht="15.75" customHeight="1">
      <c r="G772" s="424"/>
      <c r="J772" s="434"/>
      <c r="Z772" s="435"/>
    </row>
    <row r="773" ht="15.75" customHeight="1">
      <c r="G773" s="424"/>
      <c r="J773" s="434"/>
      <c r="Z773" s="435"/>
    </row>
    <row r="774" ht="15.75" customHeight="1">
      <c r="G774" s="424"/>
      <c r="J774" s="434"/>
      <c r="Z774" s="435"/>
    </row>
    <row r="775" ht="15.75" customHeight="1">
      <c r="G775" s="424"/>
      <c r="J775" s="434"/>
      <c r="Z775" s="435"/>
    </row>
    <row r="776" ht="15.75" customHeight="1">
      <c r="G776" s="424"/>
      <c r="J776" s="434"/>
      <c r="Z776" s="435"/>
    </row>
    <row r="777" ht="15.75" customHeight="1">
      <c r="G777" s="424"/>
      <c r="J777" s="434"/>
      <c r="Z777" s="435"/>
    </row>
    <row r="778" ht="15.75" customHeight="1">
      <c r="G778" s="424"/>
      <c r="J778" s="434"/>
      <c r="Z778" s="435"/>
    </row>
    <row r="779" ht="15.75" customHeight="1">
      <c r="G779" s="424"/>
      <c r="J779" s="434"/>
      <c r="Z779" s="435"/>
    </row>
    <row r="780" ht="15.75" customHeight="1">
      <c r="G780" s="424"/>
      <c r="J780" s="434"/>
      <c r="Z780" s="435"/>
    </row>
    <row r="781" ht="15.75" customHeight="1">
      <c r="G781" s="424"/>
      <c r="J781" s="434"/>
      <c r="Z781" s="435"/>
    </row>
    <row r="782" ht="15.75" customHeight="1">
      <c r="G782" s="424"/>
      <c r="J782" s="434"/>
      <c r="Z782" s="435"/>
    </row>
    <row r="783" ht="15.75" customHeight="1">
      <c r="G783" s="424"/>
      <c r="J783" s="434"/>
      <c r="Z783" s="435"/>
    </row>
    <row r="784" ht="15.75" customHeight="1">
      <c r="G784" s="424"/>
      <c r="J784" s="434"/>
      <c r="Z784" s="435"/>
    </row>
    <row r="785" ht="15.75" customHeight="1">
      <c r="G785" s="424"/>
      <c r="J785" s="434"/>
      <c r="Z785" s="435"/>
    </row>
    <row r="786" ht="15.75" customHeight="1">
      <c r="G786" s="424"/>
      <c r="J786" s="434"/>
      <c r="Z786" s="435"/>
    </row>
    <row r="787" ht="15.75" customHeight="1">
      <c r="G787" s="424"/>
      <c r="J787" s="434"/>
      <c r="Z787" s="435"/>
    </row>
    <row r="788" ht="15.75" customHeight="1">
      <c r="G788" s="424"/>
      <c r="J788" s="434"/>
      <c r="Z788" s="435"/>
    </row>
    <row r="789" ht="15.75" customHeight="1">
      <c r="G789" s="424"/>
      <c r="J789" s="434"/>
      <c r="Z789" s="435"/>
    </row>
    <row r="790" ht="15.75" customHeight="1">
      <c r="G790" s="424"/>
      <c r="J790" s="434"/>
      <c r="Z790" s="435"/>
    </row>
    <row r="791" ht="15.75" customHeight="1">
      <c r="G791" s="424"/>
      <c r="J791" s="434"/>
      <c r="Z791" s="435"/>
    </row>
    <row r="792" ht="15.75" customHeight="1">
      <c r="G792" s="424"/>
      <c r="J792" s="434"/>
      <c r="Z792" s="435"/>
    </row>
    <row r="793" ht="15.75" customHeight="1">
      <c r="G793" s="424"/>
      <c r="J793" s="434"/>
      <c r="Z793" s="435"/>
    </row>
    <row r="794" ht="15.75" customHeight="1">
      <c r="G794" s="424"/>
      <c r="J794" s="434"/>
      <c r="Z794" s="435"/>
    </row>
    <row r="795" ht="15.75" customHeight="1">
      <c r="G795" s="424"/>
      <c r="J795" s="434"/>
      <c r="Z795" s="435"/>
    </row>
    <row r="796" ht="15.75" customHeight="1">
      <c r="G796" s="424"/>
      <c r="J796" s="434"/>
      <c r="Z796" s="435"/>
    </row>
    <row r="797" ht="15.75" customHeight="1">
      <c r="G797" s="424"/>
      <c r="J797" s="434"/>
      <c r="Z797" s="435"/>
    </row>
    <row r="798" ht="15.75" customHeight="1">
      <c r="G798" s="424"/>
      <c r="J798" s="434"/>
      <c r="Z798" s="435"/>
    </row>
    <row r="799" ht="15.75" customHeight="1">
      <c r="G799" s="424"/>
      <c r="J799" s="434"/>
      <c r="Z799" s="435"/>
    </row>
    <row r="800" ht="15.75" customHeight="1">
      <c r="G800" s="424"/>
      <c r="J800" s="434"/>
      <c r="Z800" s="435"/>
    </row>
    <row r="801" ht="15.75" customHeight="1">
      <c r="G801" s="424"/>
      <c r="J801" s="434"/>
      <c r="Z801" s="435"/>
    </row>
    <row r="802" ht="15.75" customHeight="1">
      <c r="G802" s="424"/>
      <c r="J802" s="434"/>
      <c r="Z802" s="435"/>
    </row>
    <row r="803" ht="15.75" customHeight="1">
      <c r="G803" s="424"/>
      <c r="J803" s="434"/>
      <c r="Z803" s="435"/>
    </row>
    <row r="804" ht="15.75" customHeight="1">
      <c r="G804" s="424"/>
      <c r="J804" s="434"/>
      <c r="Z804" s="435"/>
    </row>
    <row r="805" ht="15.75" customHeight="1">
      <c r="G805" s="424"/>
      <c r="J805" s="434"/>
      <c r="Z805" s="435"/>
    </row>
    <row r="806" ht="15.75" customHeight="1">
      <c r="G806" s="424"/>
      <c r="J806" s="434"/>
      <c r="Z806" s="435"/>
    </row>
    <row r="807" ht="15.75" customHeight="1">
      <c r="G807" s="424"/>
      <c r="J807" s="434"/>
      <c r="Z807" s="435"/>
    </row>
    <row r="808" ht="15.75" customHeight="1">
      <c r="G808" s="424"/>
      <c r="J808" s="434"/>
      <c r="Z808" s="435"/>
    </row>
    <row r="809" ht="15.75" customHeight="1">
      <c r="G809" s="424"/>
      <c r="J809" s="434"/>
      <c r="Z809" s="435"/>
    </row>
    <row r="810" ht="15.75" customHeight="1">
      <c r="G810" s="424"/>
      <c r="J810" s="434"/>
      <c r="Z810" s="435"/>
    </row>
    <row r="811" ht="15.75" customHeight="1">
      <c r="G811" s="424"/>
      <c r="J811" s="434"/>
      <c r="Z811" s="435"/>
    </row>
    <row r="812" ht="15.75" customHeight="1">
      <c r="G812" s="424"/>
      <c r="J812" s="434"/>
      <c r="Z812" s="435"/>
    </row>
    <row r="813" ht="15.75" customHeight="1">
      <c r="G813" s="424"/>
      <c r="J813" s="434"/>
      <c r="Z813" s="435"/>
    </row>
    <row r="814" ht="15.75" customHeight="1">
      <c r="G814" s="424"/>
      <c r="J814" s="434"/>
      <c r="Z814" s="435"/>
    </row>
    <row r="815" ht="15.75" customHeight="1">
      <c r="G815" s="424"/>
      <c r="J815" s="434"/>
      <c r="Z815" s="435"/>
    </row>
    <row r="816" ht="15.75" customHeight="1">
      <c r="G816" s="424"/>
      <c r="J816" s="434"/>
      <c r="Z816" s="435"/>
    </row>
    <row r="817" ht="15.75" customHeight="1">
      <c r="G817" s="424"/>
      <c r="J817" s="434"/>
      <c r="Z817" s="435"/>
    </row>
    <row r="818" ht="15.75" customHeight="1">
      <c r="G818" s="424"/>
      <c r="J818" s="434"/>
      <c r="Z818" s="435"/>
    </row>
    <row r="819" ht="15.75" customHeight="1">
      <c r="G819" s="424"/>
      <c r="J819" s="434"/>
      <c r="Z819" s="435"/>
    </row>
    <row r="820" ht="15.75" customHeight="1">
      <c r="G820" s="424"/>
      <c r="J820" s="434"/>
      <c r="Z820" s="435"/>
    </row>
    <row r="821" ht="15.75" customHeight="1">
      <c r="G821" s="424"/>
      <c r="J821" s="434"/>
      <c r="Z821" s="435"/>
    </row>
    <row r="822" ht="15.75" customHeight="1">
      <c r="G822" s="424"/>
      <c r="J822" s="434"/>
      <c r="Z822" s="435"/>
    </row>
    <row r="823" ht="15.75" customHeight="1">
      <c r="G823" s="424"/>
      <c r="J823" s="434"/>
      <c r="Z823" s="435"/>
    </row>
    <row r="824" ht="15.75" customHeight="1">
      <c r="G824" s="424"/>
      <c r="J824" s="434"/>
      <c r="Z824" s="435"/>
    </row>
    <row r="825" ht="15.75" customHeight="1">
      <c r="G825" s="424"/>
      <c r="J825" s="434"/>
      <c r="Z825" s="435"/>
    </row>
    <row r="826" ht="15.75" customHeight="1">
      <c r="G826" s="424"/>
      <c r="J826" s="434"/>
      <c r="Z826" s="435"/>
    </row>
    <row r="827" ht="15.75" customHeight="1">
      <c r="G827" s="424"/>
      <c r="J827" s="434"/>
      <c r="Z827" s="435"/>
    </row>
    <row r="828" ht="15.75" customHeight="1">
      <c r="G828" s="424"/>
      <c r="J828" s="434"/>
      <c r="Z828" s="435"/>
    </row>
    <row r="829" ht="15.75" customHeight="1">
      <c r="G829" s="424"/>
      <c r="J829" s="434"/>
      <c r="Z829" s="435"/>
    </row>
    <row r="830" ht="15.75" customHeight="1">
      <c r="G830" s="424"/>
      <c r="J830" s="434"/>
      <c r="Z830" s="435"/>
    </row>
    <row r="831" ht="15.75" customHeight="1">
      <c r="G831" s="424"/>
      <c r="J831" s="434"/>
      <c r="Z831" s="435"/>
    </row>
    <row r="832" ht="15.75" customHeight="1">
      <c r="G832" s="424"/>
      <c r="J832" s="434"/>
      <c r="Z832" s="435"/>
    </row>
    <row r="833" ht="15.75" customHeight="1">
      <c r="G833" s="424"/>
      <c r="J833" s="434"/>
      <c r="Z833" s="435"/>
    </row>
    <row r="834" ht="15.75" customHeight="1">
      <c r="G834" s="424"/>
      <c r="J834" s="434"/>
      <c r="Z834" s="435"/>
    </row>
    <row r="835" ht="15.75" customHeight="1">
      <c r="G835" s="424"/>
      <c r="J835" s="434"/>
      <c r="Z835" s="435"/>
    </row>
    <row r="836" ht="15.75" customHeight="1">
      <c r="G836" s="424"/>
      <c r="J836" s="434"/>
      <c r="Z836" s="435"/>
    </row>
    <row r="837" ht="15.75" customHeight="1">
      <c r="G837" s="424"/>
      <c r="J837" s="434"/>
      <c r="Z837" s="435"/>
    </row>
    <row r="838" ht="15.75" customHeight="1">
      <c r="G838" s="424"/>
      <c r="J838" s="434"/>
      <c r="Z838" s="435"/>
    </row>
    <row r="839" ht="15.75" customHeight="1">
      <c r="G839" s="424"/>
      <c r="J839" s="434"/>
      <c r="Z839" s="435"/>
    </row>
    <row r="840" ht="15.75" customHeight="1">
      <c r="G840" s="424"/>
      <c r="J840" s="434"/>
      <c r="Z840" s="435"/>
    </row>
    <row r="841" ht="15.75" customHeight="1">
      <c r="G841" s="424"/>
      <c r="J841" s="434"/>
      <c r="Z841" s="435"/>
    </row>
    <row r="842" ht="15.75" customHeight="1">
      <c r="G842" s="424"/>
      <c r="J842" s="434"/>
      <c r="Z842" s="435"/>
    </row>
    <row r="843" ht="15.75" customHeight="1">
      <c r="G843" s="424"/>
      <c r="J843" s="434"/>
      <c r="Z843" s="435"/>
    </row>
    <row r="844" ht="15.75" customHeight="1">
      <c r="G844" s="424"/>
      <c r="J844" s="434"/>
      <c r="Z844" s="435"/>
    </row>
    <row r="845" ht="15.75" customHeight="1">
      <c r="G845" s="424"/>
      <c r="J845" s="434"/>
      <c r="Z845" s="435"/>
    </row>
    <row r="846" ht="15.75" customHeight="1">
      <c r="G846" s="424"/>
      <c r="J846" s="434"/>
      <c r="Z846" s="435"/>
    </row>
    <row r="847" ht="15.75" customHeight="1">
      <c r="G847" s="424"/>
      <c r="J847" s="434"/>
      <c r="Z847" s="435"/>
    </row>
    <row r="848" ht="15.75" customHeight="1">
      <c r="G848" s="424"/>
      <c r="J848" s="434"/>
      <c r="Z848" s="435"/>
    </row>
    <row r="849" ht="15.75" customHeight="1">
      <c r="G849" s="424"/>
      <c r="J849" s="434"/>
      <c r="Z849" s="435"/>
    </row>
    <row r="850" ht="15.75" customHeight="1">
      <c r="G850" s="424"/>
      <c r="J850" s="434"/>
      <c r="Z850" s="435"/>
    </row>
    <row r="851" ht="15.75" customHeight="1">
      <c r="G851" s="424"/>
      <c r="J851" s="434"/>
      <c r="Z851" s="435"/>
    </row>
    <row r="852" ht="15.75" customHeight="1">
      <c r="G852" s="424"/>
      <c r="J852" s="434"/>
      <c r="Z852" s="435"/>
    </row>
    <row r="853" ht="15.75" customHeight="1">
      <c r="G853" s="424"/>
      <c r="J853" s="434"/>
      <c r="Z853" s="435"/>
    </row>
    <row r="854" ht="15.75" customHeight="1">
      <c r="G854" s="424"/>
      <c r="J854" s="434"/>
      <c r="Z854" s="435"/>
    </row>
    <row r="855" ht="15.75" customHeight="1">
      <c r="G855" s="424"/>
      <c r="J855" s="434"/>
      <c r="Z855" s="435"/>
    </row>
    <row r="856" ht="15.75" customHeight="1">
      <c r="G856" s="424"/>
      <c r="J856" s="434"/>
      <c r="Z856" s="435"/>
    </row>
    <row r="857" ht="15.75" customHeight="1">
      <c r="G857" s="424"/>
      <c r="J857" s="434"/>
      <c r="Z857" s="435"/>
    </row>
    <row r="858" ht="15.75" customHeight="1">
      <c r="G858" s="424"/>
      <c r="J858" s="434"/>
      <c r="Z858" s="435"/>
    </row>
    <row r="859" ht="15.75" customHeight="1">
      <c r="G859" s="424"/>
      <c r="J859" s="434"/>
      <c r="Z859" s="435"/>
    </row>
    <row r="860" ht="15.75" customHeight="1">
      <c r="G860" s="424"/>
      <c r="J860" s="434"/>
      <c r="Z860" s="435"/>
    </row>
    <row r="861" ht="15.75" customHeight="1">
      <c r="G861" s="424"/>
      <c r="J861" s="434"/>
      <c r="Z861" s="435"/>
    </row>
    <row r="862" ht="15.75" customHeight="1">
      <c r="G862" s="424"/>
      <c r="J862" s="434"/>
      <c r="Z862" s="435"/>
    </row>
    <row r="863" ht="15.75" customHeight="1">
      <c r="G863" s="424"/>
      <c r="J863" s="434"/>
      <c r="Z863" s="435"/>
    </row>
    <row r="864" ht="15.75" customHeight="1">
      <c r="G864" s="424"/>
      <c r="J864" s="434"/>
      <c r="Z864" s="435"/>
    </row>
    <row r="865" ht="15.75" customHeight="1">
      <c r="G865" s="424"/>
      <c r="J865" s="434"/>
      <c r="Z865" s="435"/>
    </row>
    <row r="866" ht="15.75" customHeight="1">
      <c r="G866" s="424"/>
      <c r="J866" s="434"/>
      <c r="Z866" s="435"/>
    </row>
    <row r="867" ht="15.75" customHeight="1">
      <c r="G867" s="424"/>
      <c r="J867" s="434"/>
      <c r="Z867" s="435"/>
    </row>
    <row r="868" ht="15.75" customHeight="1">
      <c r="G868" s="424"/>
      <c r="J868" s="434"/>
      <c r="Z868" s="435"/>
    </row>
    <row r="869" ht="15.75" customHeight="1">
      <c r="G869" s="424"/>
      <c r="J869" s="434"/>
      <c r="Z869" s="435"/>
    </row>
    <row r="870" ht="15.75" customHeight="1">
      <c r="G870" s="424"/>
      <c r="J870" s="434"/>
      <c r="Z870" s="435"/>
    </row>
    <row r="871" ht="15.75" customHeight="1">
      <c r="G871" s="424"/>
      <c r="J871" s="434"/>
      <c r="Z871" s="435"/>
    </row>
    <row r="872" ht="15.75" customHeight="1">
      <c r="G872" s="424"/>
      <c r="J872" s="434"/>
      <c r="Z872" s="435"/>
    </row>
    <row r="873" ht="15.75" customHeight="1">
      <c r="G873" s="424"/>
      <c r="J873" s="434"/>
      <c r="Z873" s="435"/>
    </row>
    <row r="874" ht="15.75" customHeight="1">
      <c r="G874" s="424"/>
      <c r="J874" s="434"/>
      <c r="Z874" s="435"/>
    </row>
    <row r="875" ht="15.75" customHeight="1">
      <c r="G875" s="424"/>
      <c r="J875" s="434"/>
      <c r="Z875" s="435"/>
    </row>
    <row r="876" ht="15.75" customHeight="1">
      <c r="G876" s="424"/>
      <c r="J876" s="434"/>
      <c r="Z876" s="435"/>
    </row>
    <row r="877" ht="15.75" customHeight="1">
      <c r="G877" s="424"/>
      <c r="J877" s="434"/>
      <c r="Z877" s="435"/>
    </row>
    <row r="878" ht="15.75" customHeight="1">
      <c r="G878" s="424"/>
      <c r="J878" s="434"/>
      <c r="Z878" s="435"/>
    </row>
    <row r="879" ht="15.75" customHeight="1">
      <c r="G879" s="424"/>
      <c r="J879" s="434"/>
      <c r="Z879" s="435"/>
    </row>
    <row r="880" ht="15.75" customHeight="1">
      <c r="G880" s="424"/>
      <c r="J880" s="434"/>
      <c r="Z880" s="435"/>
    </row>
    <row r="881" ht="15.75" customHeight="1">
      <c r="G881" s="424"/>
      <c r="J881" s="434"/>
      <c r="Z881" s="435"/>
    </row>
    <row r="882" ht="15.75" customHeight="1">
      <c r="G882" s="424"/>
      <c r="J882" s="434"/>
      <c r="Z882" s="435"/>
    </row>
    <row r="883" ht="15.75" customHeight="1">
      <c r="G883" s="424"/>
      <c r="J883" s="434"/>
      <c r="Z883" s="435"/>
    </row>
    <row r="884" ht="15.75" customHeight="1">
      <c r="G884" s="424"/>
      <c r="J884" s="434"/>
      <c r="Z884" s="435"/>
    </row>
    <row r="885" ht="15.75" customHeight="1">
      <c r="G885" s="424"/>
      <c r="J885" s="434"/>
      <c r="Z885" s="435"/>
    </row>
    <row r="886" ht="15.75" customHeight="1">
      <c r="G886" s="424"/>
      <c r="J886" s="434"/>
      <c r="Z886" s="435"/>
    </row>
    <row r="887" ht="15.75" customHeight="1">
      <c r="G887" s="424"/>
      <c r="J887" s="434"/>
      <c r="Z887" s="435"/>
    </row>
    <row r="888" ht="15.75" customHeight="1">
      <c r="G888" s="424"/>
      <c r="J888" s="434"/>
      <c r="Z888" s="435"/>
    </row>
    <row r="889" ht="15.75" customHeight="1">
      <c r="G889" s="424"/>
      <c r="J889" s="434"/>
      <c r="Z889" s="435"/>
    </row>
    <row r="890" ht="15.75" customHeight="1">
      <c r="G890" s="424"/>
      <c r="J890" s="434"/>
      <c r="Z890" s="435"/>
    </row>
    <row r="891" ht="15.75" customHeight="1">
      <c r="G891" s="424"/>
      <c r="J891" s="434"/>
      <c r="Z891" s="435"/>
    </row>
    <row r="892" ht="15.75" customHeight="1">
      <c r="G892" s="424"/>
      <c r="J892" s="434"/>
      <c r="Z892" s="435"/>
    </row>
    <row r="893" ht="15.75" customHeight="1">
      <c r="G893" s="424"/>
      <c r="J893" s="434"/>
      <c r="Z893" s="435"/>
    </row>
    <row r="894" ht="15.75" customHeight="1">
      <c r="G894" s="424"/>
      <c r="J894" s="434"/>
      <c r="Z894" s="435"/>
    </row>
    <row r="895" ht="15.75" customHeight="1">
      <c r="G895" s="424"/>
      <c r="J895" s="434"/>
      <c r="Z895" s="435"/>
    </row>
    <row r="896" ht="15.75" customHeight="1">
      <c r="G896" s="424"/>
      <c r="J896" s="434"/>
      <c r="Z896" s="435"/>
    </row>
    <row r="897" ht="15.75" customHeight="1">
      <c r="G897" s="424"/>
      <c r="J897" s="434"/>
      <c r="Z897" s="435"/>
    </row>
    <row r="898" ht="15.75" customHeight="1">
      <c r="G898" s="424"/>
      <c r="J898" s="434"/>
      <c r="Z898" s="435"/>
    </row>
    <row r="899" ht="15.75" customHeight="1">
      <c r="G899" s="424"/>
      <c r="J899" s="434"/>
      <c r="Z899" s="435"/>
    </row>
    <row r="900" ht="15.75" customHeight="1">
      <c r="G900" s="424"/>
      <c r="J900" s="434"/>
      <c r="Z900" s="435"/>
    </row>
    <row r="901" ht="15.75" customHeight="1">
      <c r="G901" s="424"/>
      <c r="J901" s="434"/>
      <c r="Z901" s="435"/>
    </row>
    <row r="902" ht="15.75" customHeight="1">
      <c r="G902" s="424"/>
      <c r="J902" s="434"/>
      <c r="Z902" s="435"/>
    </row>
    <row r="903" ht="15.75" customHeight="1">
      <c r="G903" s="424"/>
      <c r="J903" s="434"/>
      <c r="Z903" s="435"/>
    </row>
    <row r="904" ht="15.75" customHeight="1">
      <c r="G904" s="424"/>
      <c r="J904" s="434"/>
      <c r="Z904" s="435"/>
    </row>
    <row r="905" ht="15.75" customHeight="1">
      <c r="G905" s="424"/>
      <c r="J905" s="434"/>
      <c r="Z905" s="435"/>
    </row>
    <row r="906" ht="15.75" customHeight="1">
      <c r="G906" s="424"/>
      <c r="J906" s="434"/>
      <c r="Z906" s="435"/>
    </row>
    <row r="907" ht="15.75" customHeight="1">
      <c r="G907" s="424"/>
      <c r="J907" s="434"/>
      <c r="Z907" s="435"/>
    </row>
    <row r="908" ht="15.75" customHeight="1">
      <c r="G908" s="424"/>
      <c r="J908" s="434"/>
      <c r="Z908" s="435"/>
    </row>
    <row r="909" ht="15.75" customHeight="1">
      <c r="G909" s="424"/>
      <c r="J909" s="434"/>
      <c r="Z909" s="435"/>
    </row>
    <row r="910" ht="15.75" customHeight="1">
      <c r="G910" s="424"/>
      <c r="J910" s="434"/>
      <c r="Z910" s="435"/>
    </row>
    <row r="911" ht="15.75" customHeight="1">
      <c r="G911" s="424"/>
      <c r="J911" s="434"/>
      <c r="Z911" s="435"/>
    </row>
    <row r="912" ht="15.75" customHeight="1">
      <c r="G912" s="424"/>
      <c r="J912" s="434"/>
      <c r="Z912" s="435"/>
    </row>
    <row r="913" ht="15.75" customHeight="1">
      <c r="G913" s="424"/>
      <c r="J913" s="434"/>
      <c r="Z913" s="435"/>
    </row>
    <row r="914" ht="15.75" customHeight="1">
      <c r="G914" s="424"/>
      <c r="J914" s="434"/>
      <c r="Z914" s="435"/>
    </row>
    <row r="915" ht="15.75" customHeight="1">
      <c r="G915" s="424"/>
      <c r="J915" s="434"/>
      <c r="Z915" s="435"/>
    </row>
    <row r="916" ht="15.75" customHeight="1">
      <c r="G916" s="424"/>
      <c r="J916" s="434"/>
      <c r="Z916" s="435"/>
    </row>
    <row r="917" ht="15.75" customHeight="1">
      <c r="G917" s="424"/>
      <c r="J917" s="434"/>
      <c r="Z917" s="435"/>
    </row>
    <row r="918" ht="15.75" customHeight="1">
      <c r="G918" s="424"/>
      <c r="J918" s="434"/>
      <c r="Z918" s="435"/>
    </row>
    <row r="919" ht="15.75" customHeight="1">
      <c r="G919" s="424"/>
      <c r="J919" s="434"/>
      <c r="Z919" s="435"/>
    </row>
    <row r="920" ht="15.75" customHeight="1">
      <c r="G920" s="424"/>
      <c r="J920" s="434"/>
      <c r="Z920" s="435"/>
    </row>
    <row r="921" ht="15.75" customHeight="1">
      <c r="G921" s="424"/>
      <c r="J921" s="434"/>
      <c r="Z921" s="435"/>
    </row>
    <row r="922" ht="15.75" customHeight="1">
      <c r="G922" s="424"/>
      <c r="J922" s="434"/>
      <c r="Z922" s="435"/>
    </row>
    <row r="923" ht="15.75" customHeight="1">
      <c r="G923" s="424"/>
      <c r="J923" s="434"/>
      <c r="Z923" s="435"/>
    </row>
    <row r="924" ht="15.75" customHeight="1">
      <c r="G924" s="424"/>
      <c r="J924" s="434"/>
      <c r="Z924" s="435"/>
    </row>
    <row r="925" ht="15.75" customHeight="1">
      <c r="G925" s="424"/>
      <c r="J925" s="434"/>
      <c r="Z925" s="435"/>
    </row>
    <row r="926" ht="15.75" customHeight="1">
      <c r="G926" s="424"/>
      <c r="J926" s="434"/>
      <c r="Z926" s="435"/>
    </row>
    <row r="927" ht="15.75" customHeight="1">
      <c r="G927" s="424"/>
      <c r="J927" s="434"/>
      <c r="Z927" s="435"/>
    </row>
    <row r="928" ht="15.75" customHeight="1">
      <c r="G928" s="424"/>
      <c r="J928" s="434"/>
      <c r="Z928" s="435"/>
    </row>
    <row r="929" ht="15.75" customHeight="1">
      <c r="G929" s="424"/>
      <c r="J929" s="434"/>
      <c r="Z929" s="435"/>
    </row>
    <row r="930" ht="15.75" customHeight="1">
      <c r="G930" s="424"/>
      <c r="J930" s="434"/>
      <c r="Z930" s="435"/>
    </row>
    <row r="931" ht="15.75" customHeight="1">
      <c r="G931" s="424"/>
      <c r="J931" s="434"/>
      <c r="Z931" s="435"/>
    </row>
    <row r="932" ht="15.75" customHeight="1">
      <c r="G932" s="424"/>
      <c r="J932" s="434"/>
      <c r="Z932" s="435"/>
    </row>
    <row r="933" ht="15.75" customHeight="1">
      <c r="G933" s="424"/>
      <c r="J933" s="434"/>
      <c r="Z933" s="435"/>
    </row>
    <row r="934" ht="15.75" customHeight="1">
      <c r="G934" s="424"/>
      <c r="J934" s="434"/>
      <c r="Z934" s="435"/>
    </row>
    <row r="935" ht="15.75" customHeight="1">
      <c r="G935" s="424"/>
      <c r="J935" s="434"/>
      <c r="Z935" s="435"/>
    </row>
    <row r="936" ht="15.75" customHeight="1">
      <c r="G936" s="424"/>
      <c r="J936" s="434"/>
      <c r="Z936" s="435"/>
    </row>
    <row r="937" ht="15.75" customHeight="1">
      <c r="G937" s="424"/>
      <c r="J937" s="434"/>
      <c r="Z937" s="435"/>
    </row>
    <row r="938" ht="15.75" customHeight="1">
      <c r="G938" s="424"/>
      <c r="J938" s="434"/>
      <c r="Z938" s="435"/>
    </row>
    <row r="939" ht="15.75" customHeight="1">
      <c r="G939" s="424"/>
      <c r="J939" s="434"/>
      <c r="Z939" s="435"/>
    </row>
    <row r="940" ht="15.75" customHeight="1">
      <c r="G940" s="424"/>
      <c r="J940" s="434"/>
      <c r="Z940" s="435"/>
    </row>
    <row r="941" ht="15.75" customHeight="1">
      <c r="G941" s="424"/>
      <c r="J941" s="434"/>
      <c r="Z941" s="435"/>
    </row>
    <row r="942" ht="15.75" customHeight="1">
      <c r="G942" s="424"/>
      <c r="J942" s="434"/>
      <c r="Z942" s="435"/>
    </row>
    <row r="943" ht="15.75" customHeight="1">
      <c r="G943" s="424"/>
      <c r="J943" s="434"/>
      <c r="Z943" s="435"/>
    </row>
    <row r="944" ht="15.75" customHeight="1">
      <c r="G944" s="424"/>
      <c r="J944" s="434"/>
      <c r="Z944" s="435"/>
    </row>
    <row r="945" ht="15.75" customHeight="1">
      <c r="G945" s="424"/>
      <c r="J945" s="434"/>
      <c r="Z945" s="435"/>
    </row>
    <row r="946" ht="15.75" customHeight="1">
      <c r="G946" s="424"/>
      <c r="J946" s="434"/>
      <c r="Z946" s="435"/>
    </row>
    <row r="947" ht="15.75" customHeight="1">
      <c r="G947" s="424"/>
      <c r="J947" s="434"/>
      <c r="Z947" s="435"/>
    </row>
    <row r="948" ht="15.75" customHeight="1">
      <c r="G948" s="424"/>
      <c r="J948" s="434"/>
      <c r="Z948" s="435"/>
    </row>
    <row r="949" ht="15.75" customHeight="1">
      <c r="G949" s="424"/>
      <c r="J949" s="434"/>
      <c r="Z949" s="435"/>
    </row>
    <row r="950" ht="15.75" customHeight="1">
      <c r="G950" s="424"/>
      <c r="J950" s="434"/>
      <c r="Z950" s="435"/>
    </row>
    <row r="951" ht="15.75" customHeight="1">
      <c r="G951" s="424"/>
      <c r="J951" s="434"/>
      <c r="Z951" s="435"/>
    </row>
    <row r="952" ht="15.75" customHeight="1">
      <c r="G952" s="424"/>
      <c r="J952" s="434"/>
      <c r="Z952" s="435"/>
    </row>
    <row r="953" ht="15.75" customHeight="1">
      <c r="G953" s="424"/>
      <c r="J953" s="434"/>
      <c r="Z953" s="435"/>
    </row>
    <row r="954" ht="15.75" customHeight="1">
      <c r="G954" s="424"/>
      <c r="J954" s="434"/>
      <c r="Z954" s="435"/>
    </row>
    <row r="955" ht="15.75" customHeight="1">
      <c r="G955" s="424"/>
      <c r="J955" s="434"/>
      <c r="Z955" s="435"/>
    </row>
    <row r="956" ht="15.75" customHeight="1">
      <c r="G956" s="424"/>
      <c r="J956" s="434"/>
      <c r="Z956" s="435"/>
    </row>
    <row r="957" ht="15.75" customHeight="1">
      <c r="G957" s="424"/>
      <c r="J957" s="434"/>
      <c r="Z957" s="435"/>
    </row>
    <row r="958" ht="15.75" customHeight="1">
      <c r="G958" s="424"/>
      <c r="J958" s="434"/>
      <c r="Z958" s="435"/>
    </row>
    <row r="959" ht="15.75" customHeight="1">
      <c r="G959" s="424"/>
      <c r="J959" s="434"/>
      <c r="Z959" s="435"/>
    </row>
    <row r="960" ht="15.75" customHeight="1">
      <c r="G960" s="424"/>
      <c r="J960" s="434"/>
      <c r="Z960" s="435"/>
    </row>
    <row r="961" ht="15.75" customHeight="1">
      <c r="G961" s="424"/>
      <c r="J961" s="434"/>
      <c r="Z961" s="435"/>
    </row>
    <row r="962" ht="15.75" customHeight="1">
      <c r="G962" s="424"/>
      <c r="J962" s="434"/>
      <c r="Z962" s="435"/>
    </row>
    <row r="963" ht="15.75" customHeight="1">
      <c r="G963" s="424"/>
      <c r="J963" s="434"/>
      <c r="Z963" s="435"/>
    </row>
    <row r="964" ht="15.75" customHeight="1">
      <c r="G964" s="424"/>
      <c r="J964" s="434"/>
      <c r="Z964" s="435"/>
    </row>
    <row r="965" ht="15.75" customHeight="1">
      <c r="G965" s="424"/>
      <c r="J965" s="434"/>
      <c r="Z965" s="435"/>
    </row>
    <row r="966" ht="15.75" customHeight="1">
      <c r="G966" s="424"/>
      <c r="J966" s="434"/>
      <c r="Z966" s="435"/>
    </row>
    <row r="967" ht="15.75" customHeight="1">
      <c r="G967" s="424"/>
      <c r="J967" s="434"/>
      <c r="Z967" s="435"/>
    </row>
    <row r="968" ht="15.75" customHeight="1">
      <c r="G968" s="424"/>
      <c r="J968" s="434"/>
      <c r="Z968" s="435"/>
    </row>
    <row r="969" ht="15.75" customHeight="1">
      <c r="G969" s="424"/>
      <c r="J969" s="434"/>
      <c r="Z969" s="435"/>
    </row>
    <row r="970" ht="15.75" customHeight="1">
      <c r="G970" s="424"/>
      <c r="J970" s="434"/>
      <c r="Z970" s="435"/>
    </row>
    <row r="971" ht="15.75" customHeight="1">
      <c r="G971" s="424"/>
      <c r="J971" s="434"/>
      <c r="Z971" s="435"/>
    </row>
    <row r="972" ht="15.75" customHeight="1">
      <c r="G972" s="424"/>
      <c r="J972" s="434"/>
      <c r="Z972" s="435"/>
    </row>
    <row r="973" ht="15.75" customHeight="1">
      <c r="G973" s="424"/>
      <c r="J973" s="434"/>
      <c r="Z973" s="435"/>
    </row>
    <row r="974" ht="15.75" customHeight="1">
      <c r="G974" s="424"/>
      <c r="J974" s="434"/>
      <c r="Z974" s="435"/>
    </row>
    <row r="975" ht="15.75" customHeight="1">
      <c r="G975" s="424"/>
      <c r="J975" s="434"/>
      <c r="Z975" s="435"/>
    </row>
    <row r="976" ht="15.75" customHeight="1">
      <c r="G976" s="424"/>
      <c r="J976" s="434"/>
      <c r="Z976" s="435"/>
    </row>
    <row r="977" ht="15.75" customHeight="1">
      <c r="G977" s="424"/>
      <c r="J977" s="434"/>
      <c r="Z977" s="435"/>
    </row>
    <row r="978" ht="15.75" customHeight="1">
      <c r="G978" s="424"/>
      <c r="J978" s="434"/>
      <c r="Z978" s="435"/>
    </row>
    <row r="979" ht="15.75" customHeight="1">
      <c r="G979" s="424"/>
      <c r="J979" s="434"/>
      <c r="Z979" s="435"/>
    </row>
    <row r="980" ht="15.75" customHeight="1">
      <c r="G980" s="424"/>
      <c r="J980" s="434"/>
      <c r="Z980" s="435"/>
    </row>
    <row r="981" ht="15.75" customHeight="1">
      <c r="G981" s="424"/>
      <c r="J981" s="434"/>
      <c r="Z981" s="435"/>
    </row>
    <row r="982" ht="15.75" customHeight="1">
      <c r="G982" s="424"/>
      <c r="J982" s="434"/>
      <c r="Z982" s="435"/>
    </row>
    <row r="983" ht="15.75" customHeight="1">
      <c r="G983" s="424"/>
      <c r="J983" s="434"/>
      <c r="Z983" s="435"/>
    </row>
    <row r="984" ht="15.75" customHeight="1">
      <c r="G984" s="424"/>
      <c r="J984" s="434"/>
      <c r="Z984" s="435"/>
    </row>
    <row r="985" ht="15.75" customHeight="1">
      <c r="G985" s="424"/>
      <c r="J985" s="434"/>
      <c r="Z985" s="435"/>
    </row>
    <row r="986" ht="15.75" customHeight="1">
      <c r="G986" s="424"/>
      <c r="J986" s="434"/>
      <c r="Z986" s="435"/>
    </row>
    <row r="987" ht="15.75" customHeight="1">
      <c r="G987" s="424"/>
      <c r="J987" s="434"/>
      <c r="Z987" s="435"/>
    </row>
    <row r="988" ht="15.75" customHeight="1">
      <c r="G988" s="424"/>
      <c r="J988" s="434"/>
      <c r="Z988" s="435"/>
    </row>
    <row r="989" ht="15.75" customHeight="1">
      <c r="G989" s="424"/>
      <c r="J989" s="434"/>
      <c r="Z989" s="435"/>
    </row>
    <row r="990" ht="15.75" customHeight="1">
      <c r="G990" s="424"/>
      <c r="J990" s="434"/>
      <c r="Z990" s="435"/>
    </row>
    <row r="991" ht="15.75" customHeight="1">
      <c r="G991" s="424"/>
      <c r="J991" s="434"/>
      <c r="Z991" s="435"/>
    </row>
    <row r="992" ht="15.75" customHeight="1">
      <c r="G992" s="424"/>
      <c r="J992" s="434"/>
      <c r="Z992" s="435"/>
    </row>
    <row r="993" ht="15.75" customHeight="1">
      <c r="G993" s="424"/>
      <c r="J993" s="434"/>
      <c r="Z993" s="435"/>
    </row>
    <row r="994" ht="15.75" customHeight="1">
      <c r="G994" s="424"/>
      <c r="J994" s="434"/>
      <c r="Z994" s="435"/>
    </row>
    <row r="995" ht="15.75" customHeight="1">
      <c r="G995" s="424"/>
      <c r="J995" s="434"/>
      <c r="Z995" s="435"/>
    </row>
    <row r="996" ht="15.75" customHeight="1">
      <c r="G996" s="424"/>
      <c r="J996" s="434"/>
      <c r="Z996" s="435"/>
    </row>
    <row r="997" ht="15.75" customHeight="1">
      <c r="G997" s="424"/>
      <c r="J997" s="434"/>
      <c r="Z997" s="435"/>
    </row>
    <row r="998" ht="15.75" customHeight="1">
      <c r="G998" s="424"/>
      <c r="J998" s="434"/>
      <c r="Z998" s="435"/>
    </row>
    <row r="999" ht="15.75" customHeight="1">
      <c r="G999" s="424"/>
      <c r="J999" s="434"/>
      <c r="Z999" s="435"/>
    </row>
    <row r="1000" ht="15.75" customHeight="1">
      <c r="G1000" s="424"/>
      <c r="J1000" s="434"/>
      <c r="Z1000" s="435"/>
    </row>
    <row r="1001" ht="15.75" customHeight="1">
      <c r="G1001" s="424"/>
      <c r="J1001" s="434"/>
      <c r="Z1001" s="435"/>
    </row>
    <row r="1002" ht="15.75" customHeight="1">
      <c r="G1002" s="424"/>
      <c r="J1002" s="434"/>
      <c r="Z1002" s="435"/>
    </row>
    <row r="1003" ht="15.75" customHeight="1">
      <c r="G1003" s="424"/>
      <c r="J1003" s="434"/>
      <c r="Z1003" s="435"/>
    </row>
    <row r="1004" ht="15.75" customHeight="1">
      <c r="G1004" s="424"/>
      <c r="J1004" s="434"/>
      <c r="Z1004" s="435"/>
    </row>
    <row r="1005" ht="15.75" customHeight="1">
      <c r="G1005" s="424"/>
      <c r="J1005" s="434"/>
      <c r="Z1005" s="435"/>
    </row>
    <row r="1006" ht="15.75" customHeight="1">
      <c r="G1006" s="424"/>
      <c r="J1006" s="434"/>
      <c r="Z1006" s="435"/>
    </row>
    <row r="1007" ht="15.75" customHeight="1">
      <c r="G1007" s="424"/>
      <c r="J1007" s="434"/>
      <c r="Z1007" s="435"/>
    </row>
    <row r="1008" ht="15.75" customHeight="1">
      <c r="G1008" s="424"/>
      <c r="J1008" s="434"/>
      <c r="Z1008" s="435"/>
    </row>
    <row r="1009" ht="15.75" customHeight="1">
      <c r="G1009" s="424"/>
      <c r="J1009" s="434"/>
      <c r="Z1009" s="435"/>
    </row>
    <row r="1010" ht="15.75" customHeight="1">
      <c r="G1010" s="424"/>
      <c r="J1010" s="434"/>
      <c r="Z1010" s="435"/>
    </row>
    <row r="1011" ht="15.75" customHeight="1">
      <c r="G1011" s="424"/>
      <c r="J1011" s="434"/>
      <c r="Z1011" s="435"/>
    </row>
    <row r="1012" ht="15.75" customHeight="1">
      <c r="G1012" s="424"/>
      <c r="J1012" s="434"/>
      <c r="Z1012" s="435"/>
    </row>
    <row r="1013" ht="15.75" customHeight="1">
      <c r="G1013" s="424"/>
      <c r="J1013" s="434"/>
      <c r="Z1013" s="435"/>
    </row>
    <row r="1014" ht="15.75" customHeight="1">
      <c r="G1014" s="424"/>
      <c r="J1014" s="434"/>
      <c r="Z1014" s="435"/>
    </row>
    <row r="1015" ht="15.75" customHeight="1">
      <c r="G1015" s="424"/>
      <c r="J1015" s="434"/>
      <c r="Z1015" s="435"/>
    </row>
    <row r="1016" ht="15.75" customHeight="1">
      <c r="G1016" s="424"/>
      <c r="J1016" s="434"/>
      <c r="Z1016" s="435"/>
    </row>
    <row r="1017" ht="15.75" customHeight="1">
      <c r="G1017" s="424"/>
      <c r="J1017" s="434"/>
      <c r="Z1017" s="435"/>
    </row>
    <row r="1018" ht="15.75" customHeight="1">
      <c r="G1018" s="424"/>
      <c r="J1018" s="434"/>
      <c r="Z1018" s="435"/>
    </row>
    <row r="1019" ht="15.75" customHeight="1">
      <c r="G1019" s="424"/>
      <c r="J1019" s="434"/>
      <c r="Z1019" s="435"/>
    </row>
    <row r="1020" ht="15.75" customHeight="1">
      <c r="G1020" s="424"/>
      <c r="J1020" s="434"/>
      <c r="Z1020" s="435"/>
    </row>
    <row r="1021" ht="15.75" customHeight="1">
      <c r="G1021" s="424"/>
      <c r="J1021" s="434"/>
      <c r="Z1021" s="435"/>
    </row>
    <row r="1022" ht="15.75" customHeight="1">
      <c r="G1022" s="424"/>
      <c r="J1022" s="434"/>
      <c r="Z1022" s="435"/>
    </row>
    <row r="1023" ht="15.75" customHeight="1">
      <c r="G1023" s="424"/>
      <c r="J1023" s="434"/>
      <c r="Z1023" s="435"/>
    </row>
    <row r="1024" ht="15.75" customHeight="1">
      <c r="G1024" s="424"/>
      <c r="J1024" s="434"/>
      <c r="Z1024" s="435"/>
    </row>
    <row r="1025" ht="15.75" customHeight="1">
      <c r="G1025" s="424"/>
      <c r="J1025" s="434"/>
      <c r="Z1025" s="435"/>
    </row>
    <row r="1026" ht="15.75" customHeight="1">
      <c r="G1026" s="424"/>
      <c r="J1026" s="434"/>
      <c r="Z1026" s="435"/>
    </row>
    <row r="1027" ht="15.75" customHeight="1">
      <c r="G1027" s="424"/>
      <c r="J1027" s="434"/>
      <c r="Z1027" s="435"/>
    </row>
    <row r="1028" ht="15.75" customHeight="1">
      <c r="G1028" s="424"/>
      <c r="J1028" s="434"/>
      <c r="Z1028" s="435"/>
    </row>
    <row r="1029" ht="15.75" customHeight="1">
      <c r="G1029" s="424"/>
      <c r="J1029" s="434"/>
      <c r="Z1029" s="435"/>
    </row>
    <row r="1030" ht="15.75" customHeight="1">
      <c r="G1030" s="424"/>
      <c r="J1030" s="434"/>
      <c r="Z1030" s="435"/>
    </row>
    <row r="1031" ht="15.75" customHeight="1">
      <c r="G1031" s="424"/>
      <c r="J1031" s="434"/>
      <c r="Z1031" s="435"/>
    </row>
    <row r="1032" ht="15.75" customHeight="1">
      <c r="G1032" s="424"/>
      <c r="J1032" s="434"/>
      <c r="Z1032" s="435"/>
    </row>
    <row r="1033" ht="15.75" customHeight="1">
      <c r="G1033" s="424"/>
      <c r="J1033" s="434"/>
      <c r="Z1033" s="435"/>
    </row>
    <row r="1034" ht="15.75" customHeight="1">
      <c r="G1034" s="424"/>
      <c r="J1034" s="434"/>
      <c r="Z1034" s="435"/>
    </row>
    <row r="1035" ht="15.75" customHeight="1">
      <c r="G1035" s="424"/>
      <c r="J1035" s="434"/>
      <c r="Z1035" s="435"/>
    </row>
    <row r="1036" ht="15.75" customHeight="1">
      <c r="G1036" s="424"/>
      <c r="J1036" s="434"/>
      <c r="Z1036" s="435"/>
    </row>
    <row r="1037" ht="15.75" customHeight="1">
      <c r="G1037" s="424"/>
      <c r="J1037" s="434"/>
      <c r="Z1037" s="435"/>
    </row>
    <row r="1038" ht="15.75" customHeight="1">
      <c r="G1038" s="424"/>
      <c r="J1038" s="434"/>
      <c r="Z1038" s="435"/>
    </row>
    <row r="1039" ht="15.75" customHeight="1">
      <c r="G1039" s="424"/>
      <c r="J1039" s="434"/>
      <c r="Z1039" s="442"/>
    </row>
    <row r="1040" ht="15.75" customHeight="1">
      <c r="G1040" s="424"/>
      <c r="J1040" s="434"/>
      <c r="Z1040" s="442"/>
    </row>
    <row r="1041" ht="15.75" customHeight="1">
      <c r="G1041" s="424"/>
      <c r="J1041" s="434"/>
      <c r="Z1041" s="442"/>
    </row>
    <row r="1042" ht="15.75" customHeight="1">
      <c r="G1042" s="424"/>
      <c r="J1042" s="434"/>
      <c r="Z1042" s="442"/>
    </row>
    <row r="1043" ht="15.75" customHeight="1">
      <c r="G1043" s="424"/>
      <c r="J1043" s="434"/>
      <c r="Z1043" s="442"/>
    </row>
  </sheetData>
  <mergeCells count="2">
    <mergeCell ref="G1:I1"/>
    <mergeCell ref="P149:U158"/>
  </mergeCells>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1.29"/>
    <col customWidth="1" min="2" max="2" width="16.14"/>
    <col customWidth="1" min="5" max="5" width="16.0"/>
  </cols>
  <sheetData>
    <row r="1">
      <c r="A1" s="8"/>
      <c r="B1" s="25"/>
      <c r="C1" s="25"/>
      <c r="D1" s="25"/>
      <c r="E1" s="25"/>
    </row>
    <row r="2">
      <c r="A2" s="21"/>
      <c r="B2" s="25"/>
      <c r="C2" s="25"/>
      <c r="D2" s="25"/>
      <c r="E2" s="25"/>
    </row>
    <row r="3">
      <c r="A3" s="405" t="s">
        <v>9</v>
      </c>
      <c r="B3" s="369">
        <v>2025.0</v>
      </c>
      <c r="C3" s="25">
        <v>2026.0</v>
      </c>
      <c r="D3" s="25">
        <v>2027.0</v>
      </c>
      <c r="E3" s="25">
        <v>2028.0</v>
      </c>
    </row>
    <row r="4">
      <c r="A4" s="50" t="s">
        <v>61</v>
      </c>
      <c r="B4" s="381"/>
      <c r="C4" s="374">
        <v>1.0</v>
      </c>
      <c r="D4" s="378"/>
      <c r="E4" s="25"/>
    </row>
    <row r="5">
      <c r="A5" s="50" t="s">
        <v>63</v>
      </c>
      <c r="B5" s="381">
        <v>3.46450673E7</v>
      </c>
      <c r="C5" s="378">
        <v>5.0E7</v>
      </c>
      <c r="D5" s="378">
        <v>6.5E7</v>
      </c>
      <c r="E5" s="25">
        <f t="shared" ref="E5:E7" si="1">D5*1.03</f>
        <v>66950000</v>
      </c>
    </row>
    <row r="6">
      <c r="A6" s="50" t="s">
        <v>64</v>
      </c>
      <c r="B6" s="386">
        <v>329232.0</v>
      </c>
      <c r="C6" s="331">
        <v>557692.0555555556</v>
      </c>
      <c r="D6" s="331">
        <v>722222.2222222222</v>
      </c>
      <c r="E6" s="25">
        <f t="shared" si="1"/>
        <v>743888.8889</v>
      </c>
    </row>
    <row r="7">
      <c r="A7" s="91" t="s">
        <v>66</v>
      </c>
      <c r="B7" s="392">
        <f>B5*0.049</f>
        <v>1697608.298</v>
      </c>
      <c r="C7" s="378">
        <v>2450000.0000000005</v>
      </c>
      <c r="D7" s="378">
        <v>3185000.0</v>
      </c>
      <c r="E7" s="25">
        <f t="shared" si="1"/>
        <v>3280550</v>
      </c>
    </row>
    <row r="8">
      <c r="A8" s="407"/>
      <c r="B8" s="25"/>
      <c r="C8" s="378"/>
      <c r="D8" s="378"/>
      <c r="E8" s="25"/>
    </row>
    <row r="9">
      <c r="A9" s="405" t="s">
        <v>67</v>
      </c>
      <c r="B9" s="369">
        <v>2025.0</v>
      </c>
      <c r="C9" s="25">
        <v>2026.0</v>
      </c>
      <c r="D9" s="25">
        <v>2027.0</v>
      </c>
      <c r="E9" s="25">
        <v>2028.0</v>
      </c>
    </row>
    <row r="10">
      <c r="A10" s="50" t="s">
        <v>61</v>
      </c>
      <c r="B10" s="381"/>
      <c r="C10" s="374">
        <v>1.0</v>
      </c>
      <c r="D10" s="378"/>
      <c r="E10" s="25"/>
    </row>
    <row r="11">
      <c r="A11" s="50" t="s">
        <v>63</v>
      </c>
      <c r="B11" s="381" t="s">
        <v>60</v>
      </c>
      <c r="C11" s="378">
        <v>2000000.0</v>
      </c>
      <c r="D11" s="378">
        <v>4000000.0</v>
      </c>
      <c r="E11" s="25">
        <f t="shared" ref="E11:E13" si="2">D11*1.1</f>
        <v>4400000</v>
      </c>
    </row>
    <row r="12">
      <c r="A12" s="50" t="s">
        <v>64</v>
      </c>
      <c r="B12" s="386" t="s">
        <v>60</v>
      </c>
      <c r="C12" s="331">
        <v>52206.4301</v>
      </c>
      <c r="D12" s="331">
        <v>133333.33333333334</v>
      </c>
      <c r="E12" s="25">
        <f t="shared" si="2"/>
        <v>146666.6667</v>
      </c>
    </row>
    <row r="13">
      <c r="A13" s="91" t="s">
        <v>66</v>
      </c>
      <c r="B13" s="392" t="s">
        <v>60</v>
      </c>
      <c r="C13" s="378">
        <v>72502.812825</v>
      </c>
      <c r="D13" s="378">
        <v>183566.66666666666</v>
      </c>
      <c r="E13" s="25">
        <f t="shared" si="2"/>
        <v>201923.3333</v>
      </c>
    </row>
    <row r="14">
      <c r="A14" s="407"/>
      <c r="B14" s="25"/>
      <c r="C14" s="443"/>
      <c r="D14" s="443"/>
      <c r="E14" s="25"/>
    </row>
    <row r="15">
      <c r="A15" s="405" t="s">
        <v>69</v>
      </c>
      <c r="B15" s="369">
        <v>2025.0</v>
      </c>
      <c r="C15" s="25">
        <v>2026.0</v>
      </c>
      <c r="D15" s="25">
        <v>2027.0</v>
      </c>
      <c r="E15" s="25"/>
    </row>
    <row r="16">
      <c r="A16" s="50" t="s">
        <v>61</v>
      </c>
      <c r="B16" s="381"/>
      <c r="C16" s="374">
        <v>1.0</v>
      </c>
      <c r="D16" s="378"/>
      <c r="E16" s="25"/>
    </row>
    <row r="17">
      <c r="A17" s="50" t="s">
        <v>63</v>
      </c>
      <c r="B17" s="381" t="s">
        <v>60</v>
      </c>
      <c r="C17" s="378">
        <v>4000000.0</v>
      </c>
      <c r="D17" s="378">
        <v>6000000.0</v>
      </c>
      <c r="E17" s="25">
        <f t="shared" ref="E17:E19" si="3">D17*1.1</f>
        <v>6600000</v>
      </c>
    </row>
    <row r="18">
      <c r="A18" s="50" t="s">
        <v>64</v>
      </c>
      <c r="B18" s="386" t="s">
        <v>60</v>
      </c>
      <c r="C18" s="331">
        <v>22222.222222222223</v>
      </c>
      <c r="D18" s="331">
        <v>33333.333333333336</v>
      </c>
      <c r="E18" s="25">
        <f t="shared" si="3"/>
        <v>36666.66667</v>
      </c>
    </row>
    <row r="19">
      <c r="A19" s="91" t="s">
        <v>66</v>
      </c>
      <c r="B19" s="392" t="s">
        <v>60</v>
      </c>
      <c r="C19" s="378">
        <v>100000.0</v>
      </c>
      <c r="D19" s="378">
        <v>150000.0</v>
      </c>
      <c r="E19" s="25">
        <f t="shared" si="3"/>
        <v>165000</v>
      </c>
    </row>
    <row r="20">
      <c r="A20" s="8"/>
      <c r="B20" s="25"/>
      <c r="C20" s="25"/>
      <c r="D20" s="25"/>
      <c r="E20" s="25"/>
    </row>
    <row r="21" ht="15.75" customHeight="1">
      <c r="A21" s="405" t="s">
        <v>71</v>
      </c>
      <c r="B21" s="369">
        <v>2025.0</v>
      </c>
      <c r="C21" s="25">
        <v>2026.0</v>
      </c>
      <c r="D21" s="25">
        <v>2027.0</v>
      </c>
      <c r="E21" s="25"/>
    </row>
    <row r="22">
      <c r="A22" s="50" t="s">
        <v>61</v>
      </c>
      <c r="B22" s="377" t="s">
        <v>60</v>
      </c>
      <c r="C22" s="374">
        <v>1.0</v>
      </c>
      <c r="D22" s="374">
        <v>1.0</v>
      </c>
      <c r="E22" s="25"/>
    </row>
    <row r="23">
      <c r="A23" s="50" t="s">
        <v>63</v>
      </c>
      <c r="B23" s="381">
        <v>1632825.8</v>
      </c>
      <c r="C23" s="378">
        <v>4849096.225694574</v>
      </c>
      <c r="D23" s="378">
        <v>1.0E7</v>
      </c>
      <c r="E23" s="25">
        <f t="shared" ref="E23:E25" si="4">D23*1.03</f>
        <v>10300000</v>
      </c>
    </row>
    <row r="24">
      <c r="A24" s="50" t="s">
        <v>64</v>
      </c>
      <c r="B24" s="386">
        <v>15759.0</v>
      </c>
      <c r="C24" s="331">
        <v>45318.65631490257</v>
      </c>
      <c r="D24" s="331">
        <v>93457.94392523365</v>
      </c>
      <c r="E24" s="25">
        <f t="shared" si="4"/>
        <v>96261.68224</v>
      </c>
    </row>
    <row r="25">
      <c r="A25" s="91" t="s">
        <v>66</v>
      </c>
      <c r="B25" s="392">
        <f>B23*0.39</f>
        <v>636802.062</v>
      </c>
      <c r="C25" s="378">
        <v>184934.66039277337</v>
      </c>
      <c r="D25" s="378">
        <v>344465.0</v>
      </c>
      <c r="E25" s="25">
        <f t="shared" si="4"/>
        <v>354798.95</v>
      </c>
    </row>
    <row r="26">
      <c r="A26" s="8"/>
      <c r="B26" s="25"/>
      <c r="C26" s="25"/>
      <c r="D26" s="25"/>
      <c r="E26" s="25"/>
    </row>
    <row r="27">
      <c r="A27" s="405" t="s">
        <v>73</v>
      </c>
      <c r="B27" s="369">
        <v>2025.0</v>
      </c>
      <c r="C27" s="25">
        <v>2026.0</v>
      </c>
      <c r="D27" s="25">
        <v>2027.0</v>
      </c>
      <c r="E27" s="25"/>
    </row>
    <row r="28">
      <c r="A28" s="50" t="s">
        <v>61</v>
      </c>
      <c r="B28" s="377" t="s">
        <v>60</v>
      </c>
      <c r="C28" s="374">
        <v>1.0</v>
      </c>
      <c r="D28" s="374">
        <v>1.0</v>
      </c>
      <c r="E28" s="25"/>
    </row>
    <row r="29">
      <c r="A29" s="50" t="s">
        <v>63</v>
      </c>
      <c r="B29" s="381" t="s">
        <v>60</v>
      </c>
      <c r="C29" s="378">
        <v>50000.0</v>
      </c>
      <c r="D29" s="378">
        <v>1000000.0</v>
      </c>
      <c r="E29" s="25">
        <f t="shared" ref="E29:E31" si="5">D29*1.1</f>
        <v>1100000</v>
      </c>
    </row>
    <row r="30">
      <c r="A30" s="50" t="s">
        <v>64</v>
      </c>
      <c r="B30" s="386" t="s">
        <v>60</v>
      </c>
      <c r="C30" s="331">
        <v>833.3333333333333</v>
      </c>
      <c r="D30" s="331">
        <v>16666.666666666668</v>
      </c>
      <c r="E30" s="25">
        <f t="shared" si="5"/>
        <v>18333.33333</v>
      </c>
    </row>
    <row r="31">
      <c r="A31" s="91" t="s">
        <v>66</v>
      </c>
      <c r="B31" s="392" t="s">
        <v>60</v>
      </c>
      <c r="C31" s="378">
        <v>2450.0</v>
      </c>
      <c r="D31" s="378">
        <v>49000.0</v>
      </c>
      <c r="E31" s="25">
        <f t="shared" si="5"/>
        <v>53900</v>
      </c>
    </row>
    <row r="32">
      <c r="A32" s="8"/>
      <c r="B32" s="25"/>
      <c r="C32" s="25"/>
      <c r="D32" s="25"/>
      <c r="E32" s="25"/>
    </row>
    <row r="33">
      <c r="A33" s="405" t="s">
        <v>76</v>
      </c>
      <c r="B33" s="369">
        <v>2025.0</v>
      </c>
      <c r="C33" s="25">
        <v>2026.0</v>
      </c>
      <c r="D33" s="25">
        <v>2027.0</v>
      </c>
      <c r="E33" s="25"/>
    </row>
    <row r="34">
      <c r="A34" s="50" t="s">
        <v>78</v>
      </c>
      <c r="B34" s="377" t="s">
        <v>60</v>
      </c>
      <c r="C34" s="374">
        <v>1.0</v>
      </c>
      <c r="D34" s="374">
        <v>0.9999999999999999</v>
      </c>
      <c r="E34" s="25"/>
    </row>
    <row r="35">
      <c r="A35" s="50" t="s">
        <v>63</v>
      </c>
      <c r="B35" s="381">
        <v>368854.14</v>
      </c>
      <c r="C35" s="378">
        <v>1278979.9757081596</v>
      </c>
      <c r="D35" s="378">
        <v>2000000.0</v>
      </c>
      <c r="E35" s="25">
        <f t="shared" ref="E35:E37" si="6">D35*1.03</f>
        <v>2060000</v>
      </c>
    </row>
    <row r="36">
      <c r="A36" s="50" t="s">
        <v>64</v>
      </c>
      <c r="B36" s="386">
        <v>5074.0</v>
      </c>
      <c r="C36" s="331">
        <v>17673.87466261333</v>
      </c>
      <c r="D36" s="331">
        <v>27777.77777777778</v>
      </c>
      <c r="E36" s="25">
        <f t="shared" si="6"/>
        <v>28611.11111</v>
      </c>
    </row>
    <row r="37">
      <c r="A37" s="91" t="s">
        <v>66</v>
      </c>
      <c r="B37" s="392">
        <f>B35*0.04</f>
        <v>14754.1656</v>
      </c>
      <c r="C37" s="378">
        <v>51159.19902832639</v>
      </c>
      <c r="D37" s="378">
        <v>80000.0</v>
      </c>
      <c r="E37" s="25">
        <f t="shared" si="6"/>
        <v>82400</v>
      </c>
    </row>
    <row r="38">
      <c r="A38" s="407"/>
      <c r="B38" s="25"/>
      <c r="C38" s="443"/>
      <c r="D38" s="443"/>
      <c r="E38" s="25"/>
    </row>
    <row r="39">
      <c r="A39" s="405" t="s">
        <v>79</v>
      </c>
      <c r="B39" s="369">
        <v>2025.0</v>
      </c>
      <c r="C39" s="25">
        <v>2026.0</v>
      </c>
      <c r="D39" s="25">
        <v>2027.0</v>
      </c>
      <c r="E39" s="25"/>
    </row>
    <row r="40">
      <c r="A40" s="50" t="s">
        <v>61</v>
      </c>
      <c r="B40" s="377" t="s">
        <v>60</v>
      </c>
      <c r="C40" s="374">
        <v>1.0</v>
      </c>
      <c r="D40" s="374">
        <v>0.9999999999999999</v>
      </c>
      <c r="E40" s="25"/>
    </row>
    <row r="41">
      <c r="A41" s="50" t="s">
        <v>63</v>
      </c>
      <c r="B41" s="381" t="s">
        <v>60</v>
      </c>
      <c r="C41" s="378">
        <v>4000000.0</v>
      </c>
      <c r="D41" s="378">
        <v>8000000.0</v>
      </c>
      <c r="E41" s="25">
        <f t="shared" ref="E41:E43" si="7">D41*1.1</f>
        <v>8800000</v>
      </c>
    </row>
    <row r="42">
      <c r="A42" s="50" t="s">
        <v>64</v>
      </c>
      <c r="B42" s="386" t="s">
        <v>60</v>
      </c>
      <c r="C42" s="331">
        <v>38095.2380952381</v>
      </c>
      <c r="D42" s="331">
        <v>76190.47619047618</v>
      </c>
      <c r="E42" s="25">
        <f t="shared" si="7"/>
        <v>83809.52381</v>
      </c>
    </row>
    <row r="43">
      <c r="A43" s="91" t="s">
        <v>66</v>
      </c>
      <c r="B43" s="392" t="s">
        <v>60</v>
      </c>
      <c r="C43" s="378">
        <v>120000.0</v>
      </c>
      <c r="D43" s="378">
        <v>240000.0</v>
      </c>
      <c r="E43" s="25">
        <f t="shared" si="7"/>
        <v>264000</v>
      </c>
    </row>
    <row r="44">
      <c r="A44" s="8"/>
      <c r="B44" s="25"/>
      <c r="C44" s="25"/>
      <c r="D44" s="25"/>
      <c r="E44" s="25"/>
    </row>
    <row r="45">
      <c r="A45" s="413" t="s">
        <v>81</v>
      </c>
      <c r="B45" s="369">
        <v>2025.0</v>
      </c>
      <c r="C45" s="25">
        <v>2026.0</v>
      </c>
      <c r="D45" s="25">
        <v>2027.0</v>
      </c>
      <c r="E45" s="25"/>
    </row>
    <row r="46">
      <c r="A46" s="50" t="s">
        <v>61</v>
      </c>
      <c r="B46" s="377" t="s">
        <v>60</v>
      </c>
      <c r="C46" s="374">
        <v>1.0</v>
      </c>
      <c r="D46" s="374">
        <v>0.9999999999999999</v>
      </c>
      <c r="E46" s="25"/>
    </row>
    <row r="47">
      <c r="A47" s="50" t="s">
        <v>63</v>
      </c>
      <c r="B47" s="381">
        <v>294165.0</v>
      </c>
      <c r="C47" s="378">
        <v>6000000.0</v>
      </c>
      <c r="D47" s="378">
        <v>7200000.0</v>
      </c>
      <c r="E47" s="25">
        <f t="shared" ref="E47:E49" si="8">D47*1.03</f>
        <v>7416000</v>
      </c>
    </row>
    <row r="48">
      <c r="A48" s="50" t="s">
        <v>64</v>
      </c>
      <c r="B48" s="386">
        <v>3683.0</v>
      </c>
      <c r="C48" s="331">
        <v>65217.391304347824</v>
      </c>
      <c r="D48" s="331">
        <v>78260.86956521739</v>
      </c>
      <c r="E48" s="25">
        <f t="shared" si="8"/>
        <v>80608.69565</v>
      </c>
    </row>
    <row r="49">
      <c r="A49" s="91" t="s">
        <v>66</v>
      </c>
      <c r="B49" s="444"/>
      <c r="C49" s="378">
        <v>192077.21240999998</v>
      </c>
      <c r="D49" s="378">
        <v>234000.0</v>
      </c>
      <c r="E49" s="25">
        <f t="shared" si="8"/>
        <v>241020</v>
      </c>
    </row>
    <row r="50">
      <c r="A50" s="407"/>
      <c r="B50" s="25"/>
      <c r="C50" s="443"/>
      <c r="D50" s="443"/>
      <c r="E50" s="25"/>
    </row>
    <row r="51">
      <c r="A51" s="414" t="s">
        <v>83</v>
      </c>
      <c r="B51" s="369">
        <v>2025.0</v>
      </c>
      <c r="C51" s="25">
        <v>2026.0</v>
      </c>
      <c r="D51" s="25">
        <v>2027.0</v>
      </c>
      <c r="E51" s="25"/>
    </row>
    <row r="52">
      <c r="A52" s="50" t="s">
        <v>61</v>
      </c>
      <c r="B52" s="377" t="s">
        <v>60</v>
      </c>
      <c r="C52" s="374">
        <v>1.0</v>
      </c>
      <c r="D52" s="374">
        <v>0.9999999999999999</v>
      </c>
      <c r="E52" s="25"/>
    </row>
    <row r="53">
      <c r="A53" s="50" t="s">
        <v>63</v>
      </c>
      <c r="B53" s="381">
        <v>1580676.0</v>
      </c>
      <c r="C53" s="378">
        <v>1.4E7</v>
      </c>
      <c r="D53" s="378">
        <v>2.0E7</v>
      </c>
      <c r="E53" s="25">
        <f t="shared" ref="E53:E55" si="9">D53*1.03</f>
        <v>20600000</v>
      </c>
    </row>
    <row r="54">
      <c r="A54" s="50" t="s">
        <v>64</v>
      </c>
      <c r="B54" s="386">
        <v>66013.0</v>
      </c>
      <c r="C54" s="331">
        <v>466620.5833333333</v>
      </c>
      <c r="D54" s="331">
        <v>666666.6666666666</v>
      </c>
      <c r="E54" s="25">
        <f t="shared" si="9"/>
        <v>686666.6667</v>
      </c>
    </row>
    <row r="55">
      <c r="A55" s="91" t="s">
        <v>66</v>
      </c>
      <c r="B55" s="392">
        <f>B53*0.04</f>
        <v>63227.04</v>
      </c>
      <c r="C55" s="378">
        <v>465038.995</v>
      </c>
      <c r="D55" s="378">
        <v>800000.0</v>
      </c>
      <c r="E55" s="25">
        <f t="shared" si="9"/>
        <v>824000</v>
      </c>
    </row>
    <row r="56">
      <c r="A56" s="407"/>
      <c r="B56" s="25"/>
      <c r="C56" s="331"/>
      <c r="D56" s="331"/>
      <c r="E56" s="25"/>
    </row>
    <row r="57">
      <c r="A57" s="405" t="s">
        <v>85</v>
      </c>
      <c r="B57" s="369">
        <v>2025.0</v>
      </c>
      <c r="C57" s="25">
        <v>2026.0</v>
      </c>
      <c r="D57" s="25">
        <v>2027.0</v>
      </c>
      <c r="E57" s="25"/>
    </row>
    <row r="58">
      <c r="A58" s="50" t="s">
        <v>61</v>
      </c>
      <c r="B58" s="377" t="s">
        <v>60</v>
      </c>
      <c r="C58" s="374">
        <v>1.0</v>
      </c>
      <c r="D58" s="374">
        <v>0.9999999999999999</v>
      </c>
      <c r="E58" s="25"/>
    </row>
    <row r="59">
      <c r="A59" s="50" t="s">
        <v>63</v>
      </c>
      <c r="B59" s="381">
        <v>195455.9</v>
      </c>
      <c r="C59" s="378">
        <v>2000000.0</v>
      </c>
      <c r="D59" s="378">
        <v>2100000.0</v>
      </c>
      <c r="E59" s="25">
        <f t="shared" ref="E59:E61" si="10">D59*1.03</f>
        <v>2163000</v>
      </c>
    </row>
    <row r="60">
      <c r="A60" s="50" t="s">
        <v>64</v>
      </c>
      <c r="B60" s="386">
        <v>1727.0</v>
      </c>
      <c r="C60" s="331">
        <v>17525.14035087719</v>
      </c>
      <c r="D60" s="331">
        <v>18421.052631578947</v>
      </c>
      <c r="E60" s="25">
        <f t="shared" si="10"/>
        <v>18973.68421</v>
      </c>
    </row>
    <row r="61">
      <c r="A61" s="91" t="s">
        <v>66</v>
      </c>
      <c r="B61" s="392">
        <f>B59*$K$61+8*199</f>
        <v>1592</v>
      </c>
      <c r="C61" s="378">
        <v>78000.0</v>
      </c>
      <c r="D61" s="378">
        <v>81900.0</v>
      </c>
      <c r="E61" s="25">
        <f t="shared" si="10"/>
        <v>84357</v>
      </c>
    </row>
    <row r="62">
      <c r="A62" s="8"/>
      <c r="B62" s="25"/>
      <c r="C62" s="443"/>
      <c r="D62" s="443"/>
      <c r="E62" s="25"/>
    </row>
    <row r="63">
      <c r="A63" s="405" t="s">
        <v>87</v>
      </c>
      <c r="B63" s="369">
        <v>2025.0</v>
      </c>
      <c r="C63" s="25">
        <v>2026.0</v>
      </c>
      <c r="D63" s="25">
        <v>2027.0</v>
      </c>
      <c r="E63" s="25"/>
    </row>
    <row r="64">
      <c r="A64" s="50" t="s">
        <v>61</v>
      </c>
      <c r="B64" s="377" t="s">
        <v>60</v>
      </c>
      <c r="C64" s="374">
        <v>1.0</v>
      </c>
      <c r="D64" s="374">
        <v>0.9999999999999999</v>
      </c>
      <c r="E64" s="25"/>
    </row>
    <row r="65">
      <c r="A65" s="50" t="s">
        <v>63</v>
      </c>
      <c r="B65" s="381">
        <v>294165.0</v>
      </c>
      <c r="C65" s="378">
        <v>2200000.0</v>
      </c>
      <c r="D65" s="378">
        <v>3600000.0</v>
      </c>
      <c r="E65" s="25">
        <f t="shared" ref="E65:E67" si="11">D65*1.03</f>
        <v>3708000</v>
      </c>
    </row>
    <row r="66">
      <c r="A66" s="50" t="s">
        <v>64</v>
      </c>
      <c r="B66" s="386">
        <v>3683.0</v>
      </c>
      <c r="C66" s="331">
        <v>78493.39285714287</v>
      </c>
      <c r="D66" s="331">
        <v>90000.0</v>
      </c>
      <c r="E66" s="25">
        <f t="shared" si="11"/>
        <v>92700</v>
      </c>
    </row>
    <row r="67">
      <c r="A67" s="91" t="s">
        <v>66</v>
      </c>
      <c r="B67" s="392">
        <f>B65*0.03+10*299</f>
        <v>11814.95</v>
      </c>
      <c r="C67" s="378">
        <v>66000.0</v>
      </c>
      <c r="D67" s="378">
        <v>108000.0</v>
      </c>
      <c r="E67" s="25">
        <f t="shared" si="11"/>
        <v>111240</v>
      </c>
    </row>
    <row r="68">
      <c r="A68" s="8"/>
      <c r="B68" s="25"/>
      <c r="C68" s="443"/>
      <c r="D68" s="443"/>
      <c r="E68" s="25"/>
    </row>
    <row r="69">
      <c r="A69" s="419" t="s">
        <v>89</v>
      </c>
      <c r="B69" s="369">
        <v>2025.0</v>
      </c>
      <c r="C69" s="25">
        <v>2026.0</v>
      </c>
      <c r="D69" s="25">
        <v>2027.0</v>
      </c>
      <c r="E69" s="25"/>
    </row>
    <row r="70">
      <c r="A70" s="50" t="s">
        <v>61</v>
      </c>
      <c r="B70" s="377" t="s">
        <v>60</v>
      </c>
      <c r="C70" s="374">
        <v>1.0</v>
      </c>
      <c r="D70" s="374">
        <v>0.9999999999999999</v>
      </c>
      <c r="E70" s="25"/>
    </row>
    <row r="71">
      <c r="A71" s="50" t="s">
        <v>63</v>
      </c>
      <c r="B71" s="445">
        <v>1.7765623E7</v>
      </c>
      <c r="C71" s="378">
        <v>2.0E7</v>
      </c>
      <c r="D71" s="378">
        <v>3.0E7</v>
      </c>
      <c r="E71" s="25">
        <f t="shared" ref="E71:E73" si="12">D71*1.03</f>
        <v>30900000</v>
      </c>
    </row>
    <row r="72">
      <c r="A72" s="50" t="s">
        <v>64</v>
      </c>
      <c r="B72" s="386">
        <v>181712.0</v>
      </c>
      <c r="C72" s="331">
        <v>199654.49</v>
      </c>
      <c r="D72" s="331">
        <v>300000.0</v>
      </c>
      <c r="E72" s="25">
        <f t="shared" si="12"/>
        <v>309000</v>
      </c>
    </row>
    <row r="73">
      <c r="A73" s="91" t="s">
        <v>66</v>
      </c>
      <c r="B73" s="444"/>
      <c r="C73" s="378">
        <v>1269000.0</v>
      </c>
      <c r="D73" s="378">
        <v>1800000.0</v>
      </c>
      <c r="E73" s="25">
        <f t="shared" si="12"/>
        <v>1854000</v>
      </c>
    </row>
    <row r="74">
      <c r="A74" s="420"/>
      <c r="B74" s="25"/>
      <c r="C74" s="25"/>
      <c r="D74" s="25"/>
      <c r="E74" s="25"/>
    </row>
    <row r="75">
      <c r="A75" s="405" t="s">
        <v>93</v>
      </c>
      <c r="B75" s="369">
        <v>2025.0</v>
      </c>
      <c r="C75" s="25">
        <v>2026.0</v>
      </c>
      <c r="D75" s="25">
        <v>2027.0</v>
      </c>
      <c r="E75" s="25"/>
    </row>
    <row r="76">
      <c r="A76" s="50" t="s">
        <v>61</v>
      </c>
      <c r="B76" s="377" t="s">
        <v>60</v>
      </c>
      <c r="C76" s="374">
        <v>1.0</v>
      </c>
      <c r="D76" s="374">
        <v>1.0</v>
      </c>
      <c r="E76" s="25"/>
    </row>
    <row r="77">
      <c r="A77" s="50" t="s">
        <v>63</v>
      </c>
      <c r="B77" s="381" t="s">
        <v>60</v>
      </c>
      <c r="C77" s="378">
        <v>35000.0</v>
      </c>
      <c r="D77" s="378">
        <v>40000.0</v>
      </c>
      <c r="E77" s="25">
        <f t="shared" ref="E77:E79" si="13">D77*1.03</f>
        <v>41200</v>
      </c>
    </row>
    <row r="78">
      <c r="A78" s="50" t="s">
        <v>64</v>
      </c>
      <c r="B78" s="386" t="s">
        <v>60</v>
      </c>
      <c r="C78" s="331">
        <v>304.3478260869565</v>
      </c>
      <c r="D78" s="331">
        <v>347.8260869565218</v>
      </c>
      <c r="E78" s="25">
        <f t="shared" si="13"/>
        <v>358.2608696</v>
      </c>
    </row>
    <row r="79">
      <c r="A79" s="91" t="s">
        <v>66</v>
      </c>
      <c r="B79" s="392" t="s">
        <v>60</v>
      </c>
      <c r="C79" s="378">
        <v>2388.0</v>
      </c>
      <c r="D79" s="378">
        <v>2388.0</v>
      </c>
      <c r="E79" s="25">
        <f t="shared" si="13"/>
        <v>2459.64</v>
      </c>
    </row>
    <row r="80">
      <c r="A80" s="8"/>
      <c r="B80" s="446"/>
      <c r="C80" s="446"/>
      <c r="D80" s="446"/>
      <c r="E80" s="25"/>
    </row>
    <row r="81">
      <c r="A81" s="405" t="s">
        <v>95</v>
      </c>
      <c r="B81" s="369">
        <v>2025.0</v>
      </c>
      <c r="C81" s="25">
        <v>2026.0</v>
      </c>
      <c r="D81" s="25">
        <v>2027.0</v>
      </c>
      <c r="E81" s="25"/>
    </row>
    <row r="82">
      <c r="A82" s="50" t="s">
        <v>61</v>
      </c>
      <c r="B82" s="377" t="s">
        <v>60</v>
      </c>
      <c r="C82" s="374">
        <v>1.0</v>
      </c>
      <c r="D82" s="374">
        <v>1.0</v>
      </c>
      <c r="E82" s="25"/>
    </row>
    <row r="83">
      <c r="A83" s="50" t="s">
        <v>63</v>
      </c>
      <c r="B83" s="381">
        <v>0.0</v>
      </c>
      <c r="C83" s="378">
        <v>700000.0</v>
      </c>
      <c r="D83" s="378">
        <v>6000000.0</v>
      </c>
      <c r="E83" s="25">
        <f t="shared" ref="E83:E85" si="14">D83*1.1</f>
        <v>6600000</v>
      </c>
    </row>
    <row r="84">
      <c r="A84" s="50" t="s">
        <v>64</v>
      </c>
      <c r="B84" s="386">
        <v>0.0</v>
      </c>
      <c r="C84" s="331">
        <v>14000.0</v>
      </c>
      <c r="D84" s="331">
        <v>120000.0</v>
      </c>
      <c r="E84" s="25">
        <f t="shared" si="14"/>
        <v>132000</v>
      </c>
    </row>
    <row r="85">
      <c r="A85" s="91" t="s">
        <v>66</v>
      </c>
      <c r="B85" s="392">
        <v>0.0</v>
      </c>
      <c r="C85" s="378">
        <v>14000.0</v>
      </c>
      <c r="D85" s="378">
        <v>120000.0</v>
      </c>
      <c r="E85" s="25">
        <f t="shared" si="14"/>
        <v>132000</v>
      </c>
    </row>
    <row r="86">
      <c r="A86" s="8"/>
      <c r="B86" s="443"/>
      <c r="C86" s="443"/>
      <c r="D86" s="443"/>
      <c r="E86" s="25"/>
    </row>
    <row r="87">
      <c r="A87" s="414" t="s">
        <v>97</v>
      </c>
      <c r="B87" s="369">
        <v>2025.0</v>
      </c>
      <c r="C87" s="25">
        <v>2026.0</v>
      </c>
      <c r="D87" s="25">
        <v>2027.0</v>
      </c>
      <c r="E87" s="25"/>
    </row>
    <row r="88">
      <c r="A88" s="50" t="s">
        <v>61</v>
      </c>
      <c r="B88" s="377" t="s">
        <v>60</v>
      </c>
      <c r="C88" s="374">
        <v>1.0</v>
      </c>
      <c r="D88" s="374">
        <v>0.9999999999999999</v>
      </c>
      <c r="E88" s="25"/>
    </row>
    <row r="89">
      <c r="A89" s="50" t="s">
        <v>63</v>
      </c>
      <c r="B89" s="381">
        <v>9705.0</v>
      </c>
      <c r="C89" s="378">
        <v>150000.0</v>
      </c>
      <c r="D89" s="378">
        <v>165000.0</v>
      </c>
      <c r="E89" s="25">
        <f t="shared" ref="E89:E91" si="15">D89*1.1</f>
        <v>181500</v>
      </c>
    </row>
    <row r="90">
      <c r="A90" s="50" t="s">
        <v>64</v>
      </c>
      <c r="B90" s="386">
        <v>519.0</v>
      </c>
      <c r="C90" s="331">
        <v>5008.6</v>
      </c>
      <c r="D90" s="331">
        <v>5500.0</v>
      </c>
      <c r="E90" s="25">
        <f t="shared" si="15"/>
        <v>6050</v>
      </c>
    </row>
    <row r="91">
      <c r="A91" s="91" t="s">
        <v>66</v>
      </c>
      <c r="B91" s="392">
        <f>(5 * 399) + MAX(B89 * 4.9%, 499)</f>
        <v>2494</v>
      </c>
      <c r="C91" s="378">
        <v>7350.000000000001</v>
      </c>
      <c r="D91" s="378">
        <v>8085.000000000001</v>
      </c>
      <c r="E91" s="25">
        <f t="shared" si="15"/>
        <v>8893.5</v>
      </c>
    </row>
    <row r="92">
      <c r="A92" s="8"/>
      <c r="B92" s="443"/>
      <c r="C92" s="443"/>
      <c r="D92" s="443"/>
      <c r="E92" s="25"/>
    </row>
    <row r="93">
      <c r="A93" s="414" t="s">
        <v>99</v>
      </c>
      <c r="B93" s="369">
        <v>2025.0</v>
      </c>
      <c r="C93" s="25">
        <v>2026.0</v>
      </c>
      <c r="D93" s="25">
        <v>2027.0</v>
      </c>
      <c r="E93" s="25"/>
    </row>
    <row r="94">
      <c r="A94" s="50" t="s">
        <v>61</v>
      </c>
      <c r="B94" s="377" t="s">
        <v>60</v>
      </c>
      <c r="C94" s="374">
        <v>1.0</v>
      </c>
      <c r="D94" s="374">
        <v>0.9999999999999999</v>
      </c>
      <c r="E94" s="25"/>
    </row>
    <row r="95">
      <c r="A95" s="50" t="s">
        <v>63</v>
      </c>
      <c r="B95" s="381">
        <v>356599.28</v>
      </c>
      <c r="C95" s="378">
        <v>700000.0</v>
      </c>
      <c r="D95" s="378">
        <v>750000.0</v>
      </c>
      <c r="E95" s="25">
        <f t="shared" ref="E95:E97" si="16">D95*1.03</f>
        <v>772500</v>
      </c>
    </row>
    <row r="96">
      <c r="A96" s="50" t="s">
        <v>64</v>
      </c>
      <c r="B96" s="386">
        <v>11282.0</v>
      </c>
      <c r="C96" s="331">
        <v>23333.333333333332</v>
      </c>
      <c r="D96" s="331">
        <v>25000.0</v>
      </c>
      <c r="E96" s="25">
        <f t="shared" si="16"/>
        <v>25750</v>
      </c>
    </row>
    <row r="97">
      <c r="A97" s="91" t="s">
        <v>66</v>
      </c>
      <c r="B97" s="392">
        <f>B95*0.04</f>
        <v>14263.9712</v>
      </c>
      <c r="C97" s="378">
        <v>28000.0</v>
      </c>
      <c r="D97" s="378">
        <v>30000.0</v>
      </c>
      <c r="E97" s="25">
        <f t="shared" si="16"/>
        <v>30900</v>
      </c>
    </row>
    <row r="98">
      <c r="A98" s="425"/>
      <c r="B98" s="25"/>
      <c r="C98" s="25"/>
      <c r="D98" s="25"/>
      <c r="E98" s="25"/>
    </row>
    <row r="99">
      <c r="A99" s="405" t="s">
        <v>100</v>
      </c>
      <c r="B99" s="369">
        <v>2025.0</v>
      </c>
      <c r="C99" s="25">
        <v>2026.0</v>
      </c>
      <c r="D99" s="25">
        <v>2027.0</v>
      </c>
      <c r="E99" s="25"/>
    </row>
    <row r="100">
      <c r="A100" s="50" t="s">
        <v>61</v>
      </c>
      <c r="B100" s="377" t="s">
        <v>60</v>
      </c>
      <c r="C100" s="374">
        <v>1.0</v>
      </c>
      <c r="D100" s="374">
        <v>1.0</v>
      </c>
      <c r="E100" s="25"/>
    </row>
    <row r="101">
      <c r="A101" s="50" t="s">
        <v>63</v>
      </c>
      <c r="B101" s="447"/>
      <c r="C101" s="378">
        <v>2.4E7</v>
      </c>
      <c r="D101" s="378">
        <v>6.0E7</v>
      </c>
      <c r="E101" s="25">
        <f t="shared" ref="E101:E103" si="17">D101*1.1</f>
        <v>66000000</v>
      </c>
    </row>
    <row r="102">
      <c r="A102" s="50" t="s">
        <v>64</v>
      </c>
      <c r="B102" s="448"/>
      <c r="C102" s="331">
        <v>237623.76237623757</v>
      </c>
      <c r="D102" s="331">
        <v>594059.405940594</v>
      </c>
      <c r="E102" s="25">
        <f t="shared" si="17"/>
        <v>653465.3465</v>
      </c>
    </row>
    <row r="103">
      <c r="A103" s="91" t="s">
        <v>66</v>
      </c>
      <c r="B103" s="444"/>
      <c r="C103" s="378">
        <v>651188.1188118812</v>
      </c>
      <c r="D103" s="378">
        <v>1409108.9108910894</v>
      </c>
      <c r="E103" s="25">
        <f t="shared" si="17"/>
        <v>1550019.802</v>
      </c>
    </row>
    <row r="104">
      <c r="A104" s="425"/>
      <c r="B104" s="25"/>
      <c r="C104" s="25"/>
      <c r="D104" s="25"/>
      <c r="E104" s="25"/>
    </row>
    <row r="105">
      <c r="A105" s="405" t="s">
        <v>101</v>
      </c>
      <c r="B105" s="25"/>
      <c r="C105" s="25"/>
      <c r="D105" s="25">
        <v>2027.0</v>
      </c>
      <c r="E105" s="25"/>
    </row>
    <row r="106">
      <c r="A106" s="50" t="s">
        <v>61</v>
      </c>
      <c r="B106" s="25"/>
      <c r="C106" s="25"/>
      <c r="D106" s="374">
        <v>1.0</v>
      </c>
      <c r="E106" s="25"/>
    </row>
    <row r="107">
      <c r="A107" s="50" t="s">
        <v>63</v>
      </c>
      <c r="B107" s="25"/>
      <c r="C107" s="25"/>
      <c r="D107" s="378">
        <v>500000.0</v>
      </c>
      <c r="E107" s="25">
        <f t="shared" ref="E107:E109" si="18">D107*1.15</f>
        <v>575000</v>
      </c>
    </row>
    <row r="108">
      <c r="A108" s="50" t="s">
        <v>64</v>
      </c>
      <c r="B108" s="25"/>
      <c r="C108" s="25"/>
      <c r="D108" s="331">
        <v>4950.495049504951</v>
      </c>
      <c r="E108" s="25">
        <f t="shared" si="18"/>
        <v>5693.069307</v>
      </c>
    </row>
    <row r="109">
      <c r="A109" s="91" t="s">
        <v>66</v>
      </c>
      <c r="B109" s="25"/>
      <c r="C109" s="25"/>
      <c r="D109" s="378">
        <v>19801.980198019803</v>
      </c>
      <c r="E109" s="25">
        <f t="shared" si="18"/>
        <v>22772.27723</v>
      </c>
    </row>
    <row r="110">
      <c r="A110" s="425"/>
      <c r="B110" s="25"/>
      <c r="C110" s="378"/>
      <c r="D110" s="25"/>
      <c r="E110" s="25"/>
    </row>
    <row r="111">
      <c r="A111" s="405" t="s">
        <v>122</v>
      </c>
      <c r="B111" s="25"/>
      <c r="C111" s="331"/>
      <c r="D111" s="25">
        <v>2027.0</v>
      </c>
      <c r="E111" s="25"/>
    </row>
    <row r="112">
      <c r="A112" s="50" t="s">
        <v>61</v>
      </c>
      <c r="B112" s="25"/>
      <c r="C112" s="378"/>
      <c r="D112" s="374">
        <v>1.0</v>
      </c>
      <c r="E112" s="25"/>
    </row>
    <row r="113">
      <c r="A113" s="50" t="s">
        <v>63</v>
      </c>
      <c r="B113" s="25"/>
      <c r="C113" s="25"/>
      <c r="D113" s="378">
        <v>2016000.0</v>
      </c>
      <c r="E113" s="25">
        <f t="shared" ref="E113:E115" si="19">D113*1.15</f>
        <v>2318400</v>
      </c>
    </row>
    <row r="114">
      <c r="A114" s="50" t="s">
        <v>64</v>
      </c>
      <c r="B114" s="25"/>
      <c r="C114" s="25"/>
      <c r="D114" s="331">
        <v>19960.396039603962</v>
      </c>
      <c r="E114" s="25">
        <f t="shared" si="19"/>
        <v>22954.45545</v>
      </c>
    </row>
    <row r="115">
      <c r="A115" s="91" t="s">
        <v>66</v>
      </c>
      <c r="B115" s="25"/>
      <c r="C115" s="25"/>
      <c r="D115" s="378">
        <v>79841.58415841585</v>
      </c>
      <c r="E115" s="25">
        <f t="shared" si="19"/>
        <v>91817.82178</v>
      </c>
    </row>
    <row r="116">
      <c r="A116" s="425"/>
      <c r="B116" s="25"/>
      <c r="C116" s="25"/>
      <c r="D116" s="25"/>
      <c r="E116" s="25"/>
    </row>
    <row r="117">
      <c r="A117" s="405" t="s">
        <v>123</v>
      </c>
      <c r="B117" s="25"/>
      <c r="C117" s="25"/>
      <c r="D117" s="25">
        <v>2027.0</v>
      </c>
      <c r="E117" s="25"/>
    </row>
    <row r="118">
      <c r="A118" s="50" t="s">
        <v>61</v>
      </c>
      <c r="B118" s="25"/>
      <c r="C118" s="25"/>
      <c r="D118" s="374">
        <v>1.0</v>
      </c>
      <c r="E118" s="25"/>
    </row>
    <row r="119">
      <c r="A119" s="50" t="s">
        <v>63</v>
      </c>
      <c r="B119" s="25"/>
      <c r="C119" s="25"/>
      <c r="D119" s="378">
        <v>105000.0</v>
      </c>
      <c r="E119" s="25">
        <f t="shared" ref="E119:E121" si="20">D119*1.15</f>
        <v>120750</v>
      </c>
    </row>
    <row r="120">
      <c r="A120" s="50" t="s">
        <v>64</v>
      </c>
      <c r="B120" s="25"/>
      <c r="C120" s="25"/>
      <c r="D120" s="331">
        <v>1039.6039603960396</v>
      </c>
      <c r="E120" s="25">
        <f t="shared" si="20"/>
        <v>1195.544554</v>
      </c>
    </row>
    <row r="121">
      <c r="A121" s="91" t="s">
        <v>66</v>
      </c>
      <c r="B121" s="25"/>
      <c r="C121" s="25"/>
      <c r="D121" s="378">
        <v>4158.415841584158</v>
      </c>
      <c r="E121" s="25">
        <f t="shared" si="20"/>
        <v>4782.178218</v>
      </c>
    </row>
    <row r="122">
      <c r="A122" s="425"/>
      <c r="B122" s="25"/>
      <c r="C122" s="25"/>
      <c r="D122" s="25"/>
      <c r="E122" s="25"/>
    </row>
    <row r="123">
      <c r="A123" s="405" t="s">
        <v>124</v>
      </c>
      <c r="B123" s="25"/>
      <c r="C123" s="25"/>
      <c r="D123" s="25">
        <v>2027.0</v>
      </c>
      <c r="E123" s="25"/>
    </row>
    <row r="124">
      <c r="A124" s="50" t="s">
        <v>61</v>
      </c>
      <c r="B124" s="25"/>
      <c r="C124" s="25"/>
      <c r="D124" s="374">
        <v>1.0</v>
      </c>
      <c r="E124" s="25"/>
    </row>
    <row r="125">
      <c r="A125" s="50" t="s">
        <v>63</v>
      </c>
      <c r="B125" s="25"/>
      <c r="C125" s="25"/>
      <c r="D125" s="378">
        <v>100000.0</v>
      </c>
      <c r="E125" s="25">
        <f t="shared" ref="E125:E127" si="21">D125*1.15</f>
        <v>115000</v>
      </c>
    </row>
    <row r="126">
      <c r="A126" s="50" t="s">
        <v>64</v>
      </c>
      <c r="B126" s="25"/>
      <c r="C126" s="25"/>
      <c r="D126" s="331">
        <v>990.0990099009902</v>
      </c>
      <c r="E126" s="25">
        <f t="shared" si="21"/>
        <v>1138.613861</v>
      </c>
    </row>
    <row r="127">
      <c r="A127" s="91" t="s">
        <v>66</v>
      </c>
      <c r="B127" s="25"/>
      <c r="C127" s="25"/>
      <c r="D127" s="378">
        <v>3960.3960396039606</v>
      </c>
      <c r="E127" s="25">
        <f t="shared" si="21"/>
        <v>4554.455446</v>
      </c>
    </row>
    <row r="128">
      <c r="A128" s="425"/>
      <c r="B128" s="25"/>
      <c r="C128" s="25"/>
      <c r="D128" s="25"/>
      <c r="E128" s="25"/>
    </row>
    <row r="129">
      <c r="A129" s="405" t="s">
        <v>125</v>
      </c>
      <c r="B129" s="25"/>
      <c r="C129" s="25"/>
      <c r="D129" s="25">
        <v>2027.0</v>
      </c>
      <c r="E129" s="25"/>
    </row>
    <row r="130">
      <c r="A130" s="50" t="s">
        <v>61</v>
      </c>
      <c r="B130" s="25"/>
      <c r="C130" s="25"/>
      <c r="D130" s="374">
        <v>1.0</v>
      </c>
      <c r="E130" s="25"/>
    </row>
    <row r="131">
      <c r="A131" s="50" t="s">
        <v>63</v>
      </c>
      <c r="B131" s="25"/>
      <c r="C131" s="25"/>
      <c r="D131" s="378">
        <v>300000.0</v>
      </c>
      <c r="E131" s="25">
        <f t="shared" ref="E131:E133" si="22">D131*1.15</f>
        <v>345000</v>
      </c>
    </row>
    <row r="132">
      <c r="A132" s="50" t="s">
        <v>64</v>
      </c>
      <c r="B132" s="25"/>
      <c r="C132" s="25"/>
      <c r="D132" s="331">
        <v>2970.2970297029706</v>
      </c>
      <c r="E132" s="25">
        <f t="shared" si="22"/>
        <v>3415.841584</v>
      </c>
    </row>
    <row r="133">
      <c r="A133" s="91" t="s">
        <v>66</v>
      </c>
      <c r="B133" s="25"/>
      <c r="C133" s="25"/>
      <c r="D133" s="378">
        <v>11881.188118811882</v>
      </c>
      <c r="E133" s="25">
        <f t="shared" si="22"/>
        <v>13663.36634</v>
      </c>
    </row>
    <row r="134">
      <c r="A134" s="425"/>
      <c r="B134" s="25"/>
      <c r="C134" s="25"/>
      <c r="D134" s="25"/>
      <c r="E134" s="25"/>
    </row>
    <row r="135">
      <c r="A135" s="405" t="s">
        <v>126</v>
      </c>
      <c r="B135" s="25"/>
      <c r="C135" s="25"/>
      <c r="D135" s="25">
        <v>2027.0</v>
      </c>
      <c r="E135" s="25"/>
    </row>
    <row r="136">
      <c r="A136" s="50" t="s">
        <v>61</v>
      </c>
      <c r="B136" s="25"/>
      <c r="C136" s="25"/>
      <c r="D136" s="374">
        <v>1.0</v>
      </c>
      <c r="E136" s="25"/>
    </row>
    <row r="137">
      <c r="A137" s="50" t="s">
        <v>63</v>
      </c>
      <c r="B137" s="25"/>
      <c r="C137" s="25"/>
      <c r="D137" s="378">
        <v>2000000.0</v>
      </c>
      <c r="E137" s="25">
        <f t="shared" ref="E137:E139" si="23">D137*1.15</f>
        <v>2300000</v>
      </c>
    </row>
    <row r="138">
      <c r="A138" s="50" t="s">
        <v>64</v>
      </c>
      <c r="B138" s="25"/>
      <c r="C138" s="25"/>
      <c r="D138" s="331">
        <v>19801.980198019803</v>
      </c>
      <c r="E138" s="25">
        <f t="shared" si="23"/>
        <v>22772.27723</v>
      </c>
    </row>
    <row r="139">
      <c r="A139" s="91" t="s">
        <v>66</v>
      </c>
      <c r="B139" s="25"/>
      <c r="C139" s="25"/>
      <c r="D139" s="378">
        <v>79207.92079207921</v>
      </c>
      <c r="E139" s="25">
        <f t="shared" si="23"/>
        <v>91089.10891</v>
      </c>
    </row>
    <row r="140">
      <c r="A140" s="425"/>
      <c r="B140" s="25"/>
      <c r="C140" s="25"/>
      <c r="D140" s="25"/>
      <c r="E140" s="25"/>
    </row>
    <row r="141">
      <c r="A141" s="405" t="s">
        <v>126</v>
      </c>
      <c r="B141" s="25"/>
      <c r="C141" s="25"/>
      <c r="D141" s="25">
        <v>2027.0</v>
      </c>
      <c r="E141" s="25"/>
    </row>
    <row r="142">
      <c r="A142" s="50" t="s">
        <v>61</v>
      </c>
      <c r="B142" s="25"/>
      <c r="C142" s="25"/>
      <c r="D142" s="374">
        <v>1.0</v>
      </c>
      <c r="E142" s="25"/>
    </row>
    <row r="143">
      <c r="A143" s="50" t="s">
        <v>63</v>
      </c>
      <c r="B143" s="25"/>
      <c r="C143" s="25"/>
      <c r="D143" s="378">
        <v>1000000.0</v>
      </c>
      <c r="E143" s="25">
        <f t="shared" ref="E143:E145" si="24">D143*1.15</f>
        <v>1150000</v>
      </c>
    </row>
    <row r="144">
      <c r="A144" s="50" t="s">
        <v>64</v>
      </c>
      <c r="B144" s="25"/>
      <c r="C144" s="25"/>
      <c r="D144" s="331">
        <v>9900.990099009901</v>
      </c>
      <c r="E144" s="25">
        <f t="shared" si="24"/>
        <v>11386.13861</v>
      </c>
    </row>
    <row r="145">
      <c r="A145" s="91" t="s">
        <v>66</v>
      </c>
      <c r="B145" s="25"/>
      <c r="C145" s="25"/>
      <c r="D145" s="378">
        <v>39603.960396039605</v>
      </c>
      <c r="E145" s="25">
        <f t="shared" si="24"/>
        <v>45544.55446</v>
      </c>
    </row>
    <row r="146">
      <c r="A146" s="420"/>
      <c r="B146" s="25"/>
      <c r="C146" s="25"/>
      <c r="D146" s="25"/>
      <c r="E146" s="25"/>
    </row>
    <row r="147">
      <c r="A147" s="428" t="s">
        <v>127</v>
      </c>
      <c r="B147" s="25"/>
      <c r="C147" s="25"/>
      <c r="D147" s="25"/>
      <c r="E147" s="25"/>
    </row>
    <row r="148">
      <c r="A148" s="425"/>
      <c r="B148" s="25"/>
      <c r="C148" s="25"/>
      <c r="D148" s="25"/>
      <c r="E148" s="25"/>
    </row>
    <row r="149">
      <c r="A149" s="425"/>
      <c r="B149" s="25"/>
      <c r="C149" s="25"/>
      <c r="D149" s="378"/>
      <c r="E149" s="25"/>
    </row>
    <row r="150">
      <c r="A150" s="425"/>
      <c r="B150" s="25"/>
      <c r="C150" s="25"/>
      <c r="D150" s="331"/>
      <c r="E150" s="25"/>
    </row>
    <row r="151">
      <c r="A151" s="425"/>
      <c r="B151" s="25"/>
      <c r="C151" s="25"/>
      <c r="D151" s="378"/>
      <c r="E151" s="25"/>
    </row>
    <row r="152">
      <c r="A152" s="425"/>
      <c r="B152" s="25"/>
      <c r="C152" s="25"/>
      <c r="D152" s="25"/>
      <c r="E152" s="25"/>
    </row>
    <row r="153">
      <c r="A153" s="425"/>
      <c r="B153" s="25"/>
      <c r="C153" s="25"/>
      <c r="D153" s="25"/>
      <c r="E153" s="25"/>
    </row>
    <row r="154">
      <c r="A154" s="425"/>
      <c r="B154" s="25"/>
      <c r="C154" s="25"/>
      <c r="D154" s="25"/>
      <c r="E154" s="25"/>
    </row>
    <row r="155">
      <c r="A155" s="425"/>
      <c r="B155" s="25"/>
      <c r="C155" s="25"/>
      <c r="D155" s="25"/>
      <c r="E155" s="25"/>
    </row>
    <row r="156">
      <c r="A156" s="425"/>
      <c r="B156" s="25"/>
      <c r="C156" s="25"/>
      <c r="D156" s="25"/>
      <c r="E156" s="25"/>
    </row>
    <row r="157">
      <c r="A157" s="425"/>
      <c r="B157" s="25"/>
      <c r="C157" s="25"/>
      <c r="D157" s="25"/>
      <c r="E157" s="25"/>
    </row>
    <row r="158">
      <c r="A158" s="425"/>
      <c r="B158" s="25"/>
      <c r="C158" s="25"/>
      <c r="D158" s="25"/>
      <c r="E158" s="25"/>
    </row>
    <row r="159">
      <c r="A159" s="425"/>
      <c r="B159" s="25"/>
      <c r="C159" s="25"/>
      <c r="D159" s="25"/>
      <c r="E159" s="25"/>
    </row>
    <row r="160">
      <c r="A160" s="425"/>
      <c r="B160" s="25"/>
      <c r="C160" s="25"/>
      <c r="D160" s="25"/>
      <c r="E160" s="25"/>
    </row>
    <row r="161">
      <c r="A161" s="425"/>
      <c r="B161" s="25"/>
      <c r="C161" s="25"/>
      <c r="D161" s="25"/>
      <c r="E161" s="25"/>
    </row>
    <row r="162">
      <c r="A162" s="425"/>
      <c r="B162" s="25"/>
      <c r="C162" s="25"/>
      <c r="D162" s="25"/>
      <c r="E162" s="25"/>
    </row>
    <row r="163">
      <c r="A163" s="425"/>
      <c r="B163" s="25"/>
      <c r="C163" s="25"/>
      <c r="D163" s="25"/>
      <c r="E163" s="25"/>
    </row>
    <row r="164">
      <c r="A164" s="425"/>
      <c r="B164" s="25"/>
      <c r="C164" s="25"/>
      <c r="D164" s="25"/>
      <c r="E164" s="25"/>
    </row>
    <row r="165">
      <c r="A165" s="425"/>
      <c r="B165" s="25"/>
      <c r="C165" s="25"/>
      <c r="D165" s="25"/>
      <c r="E165" s="25"/>
    </row>
    <row r="166">
      <c r="A166" s="425"/>
      <c r="B166" s="25"/>
      <c r="C166" s="25"/>
      <c r="D166" s="25"/>
      <c r="E166" s="25"/>
    </row>
    <row r="167">
      <c r="A167" s="425"/>
      <c r="B167" s="25"/>
      <c r="C167" s="25"/>
      <c r="D167" s="25"/>
      <c r="E167" s="25"/>
    </row>
    <row r="168">
      <c r="A168" s="425"/>
      <c r="B168" s="25"/>
      <c r="C168" s="25"/>
      <c r="D168" s="25"/>
      <c r="E168" s="25"/>
    </row>
    <row r="169">
      <c r="A169" s="425"/>
      <c r="B169" s="25"/>
      <c r="C169" s="25"/>
      <c r="D169" s="25"/>
      <c r="E169" s="25"/>
    </row>
    <row r="170">
      <c r="A170" s="425"/>
      <c r="B170" s="25"/>
      <c r="C170" s="25"/>
      <c r="D170" s="25"/>
      <c r="E170" s="25"/>
    </row>
    <row r="171">
      <c r="A171" s="425"/>
      <c r="B171" s="25"/>
      <c r="C171" s="25"/>
      <c r="D171" s="25"/>
      <c r="E171" s="25"/>
    </row>
    <row r="172">
      <c r="A172" s="425"/>
      <c r="B172" s="25"/>
      <c r="C172" s="25"/>
      <c r="D172" s="25"/>
      <c r="E172" s="25"/>
    </row>
    <row r="173">
      <c r="A173" s="425"/>
      <c r="B173" s="25"/>
      <c r="C173" s="25"/>
      <c r="D173" s="25"/>
      <c r="E173" s="25"/>
    </row>
    <row r="174">
      <c r="A174" s="425"/>
      <c r="B174" s="25"/>
      <c r="C174" s="25"/>
      <c r="D174" s="25"/>
      <c r="E174" s="25"/>
    </row>
    <row r="175">
      <c r="A175" s="425"/>
      <c r="B175" s="25"/>
      <c r="C175" s="25"/>
      <c r="D175" s="25"/>
      <c r="E175" s="25"/>
    </row>
    <row r="176">
      <c r="A176" s="425"/>
      <c r="B176" s="25"/>
      <c r="C176" s="25"/>
      <c r="D176" s="25"/>
      <c r="E176" s="25"/>
    </row>
    <row r="177">
      <c r="A177" s="425"/>
      <c r="B177" s="25"/>
      <c r="C177" s="25"/>
      <c r="D177" s="25"/>
      <c r="E177" s="25"/>
    </row>
    <row r="178">
      <c r="A178" s="425"/>
      <c r="B178" s="25"/>
      <c r="C178" s="25"/>
      <c r="D178" s="25"/>
      <c r="E178" s="25"/>
    </row>
    <row r="179">
      <c r="A179" s="425"/>
      <c r="B179" s="25"/>
      <c r="C179" s="25"/>
      <c r="D179" s="25"/>
      <c r="E179" s="25"/>
    </row>
    <row r="180">
      <c r="A180" s="425"/>
      <c r="B180" s="25"/>
      <c r="C180" s="25"/>
      <c r="D180" s="25"/>
      <c r="E180" s="25"/>
    </row>
    <row r="181">
      <c r="A181" s="425"/>
      <c r="B181" s="25"/>
      <c r="C181" s="25"/>
      <c r="D181" s="25"/>
      <c r="E181" s="25"/>
    </row>
    <row r="182">
      <c r="A182" s="425"/>
      <c r="B182" s="25"/>
      <c r="C182" s="25"/>
      <c r="D182" s="25"/>
      <c r="E182" s="25"/>
    </row>
    <row r="183">
      <c r="A183" s="425"/>
      <c r="B183" s="25"/>
      <c r="C183" s="25"/>
      <c r="D183" s="25"/>
      <c r="E183" s="25"/>
    </row>
    <row r="184">
      <c r="A184" s="425"/>
      <c r="B184" s="25"/>
      <c r="C184" s="25"/>
      <c r="D184" s="25"/>
      <c r="E184" s="25"/>
    </row>
    <row r="185">
      <c r="A185" s="425"/>
      <c r="B185" s="25"/>
      <c r="C185" s="25"/>
      <c r="D185" s="25"/>
      <c r="E185" s="25"/>
    </row>
    <row r="186">
      <c r="A186" s="425"/>
      <c r="B186" s="25"/>
      <c r="C186" s="25"/>
      <c r="D186" s="25"/>
      <c r="E186" s="25"/>
    </row>
    <row r="187">
      <c r="A187" s="425"/>
      <c r="B187" s="25"/>
      <c r="C187" s="25"/>
      <c r="D187" s="25"/>
      <c r="E187" s="25"/>
    </row>
    <row r="188">
      <c r="A188" s="425"/>
      <c r="B188" s="25"/>
      <c r="C188" s="25"/>
      <c r="D188" s="25"/>
      <c r="E188" s="25"/>
    </row>
    <row r="189">
      <c r="A189" s="425"/>
      <c r="B189" s="25"/>
      <c r="C189" s="25"/>
      <c r="D189" s="25"/>
      <c r="E189" s="25"/>
    </row>
    <row r="190">
      <c r="A190" s="425"/>
      <c r="B190" s="25"/>
      <c r="C190" s="25"/>
      <c r="D190" s="25"/>
      <c r="E190" s="25"/>
    </row>
    <row r="191">
      <c r="A191" s="425"/>
      <c r="B191" s="25"/>
      <c r="C191" s="25"/>
      <c r="D191" s="25"/>
      <c r="E191" s="25"/>
    </row>
    <row r="192">
      <c r="A192" s="425"/>
      <c r="B192" s="25"/>
      <c r="C192" s="25"/>
      <c r="D192" s="25"/>
      <c r="E192" s="25"/>
    </row>
    <row r="193">
      <c r="A193" s="425"/>
      <c r="B193" s="25"/>
      <c r="C193" s="25"/>
      <c r="D193" s="25"/>
      <c r="E193" s="25"/>
    </row>
    <row r="194">
      <c r="A194" s="425"/>
      <c r="B194" s="25"/>
      <c r="C194" s="25"/>
      <c r="D194" s="25"/>
      <c r="E194" s="25"/>
    </row>
    <row r="195">
      <c r="A195" s="425"/>
      <c r="B195" s="25"/>
      <c r="C195" s="25"/>
      <c r="D195" s="25"/>
      <c r="E195" s="25"/>
    </row>
    <row r="196">
      <c r="A196" s="425"/>
      <c r="B196" s="25"/>
      <c r="C196" s="25"/>
      <c r="D196" s="25"/>
      <c r="E196" s="25"/>
    </row>
    <row r="197">
      <c r="A197" s="425"/>
      <c r="B197" s="25"/>
      <c r="C197" s="25"/>
      <c r="D197" s="25"/>
      <c r="E197" s="25"/>
    </row>
    <row r="198">
      <c r="A198" s="425"/>
      <c r="B198" s="25"/>
      <c r="C198" s="25"/>
      <c r="D198" s="25"/>
      <c r="E198" s="25"/>
    </row>
    <row r="199">
      <c r="A199" s="425"/>
      <c r="B199" s="25"/>
      <c r="C199" s="25"/>
      <c r="D199" s="25"/>
      <c r="E199" s="25"/>
    </row>
    <row r="200">
      <c r="A200" s="425"/>
      <c r="B200" s="25"/>
      <c r="C200" s="25"/>
      <c r="D200" s="25"/>
      <c r="E200" s="25"/>
    </row>
    <row r="201">
      <c r="A201" s="425"/>
      <c r="B201" s="25"/>
      <c r="C201" s="25"/>
      <c r="D201" s="25"/>
      <c r="E201" s="25"/>
    </row>
    <row r="202">
      <c r="A202" s="425"/>
      <c r="B202" s="25"/>
      <c r="C202" s="25"/>
      <c r="D202" s="25"/>
      <c r="E202" s="25"/>
    </row>
    <row r="203">
      <c r="A203" s="425"/>
      <c r="B203" s="25"/>
      <c r="C203" s="25"/>
      <c r="D203" s="25"/>
      <c r="E203" s="25"/>
    </row>
    <row r="204">
      <c r="A204" s="425"/>
      <c r="B204" s="25"/>
      <c r="C204" s="25"/>
      <c r="D204" s="25"/>
      <c r="E204" s="25"/>
    </row>
    <row r="205">
      <c r="A205" s="425"/>
      <c r="B205" s="25"/>
      <c r="C205" s="25"/>
      <c r="D205" s="25"/>
      <c r="E205" s="25"/>
    </row>
    <row r="206">
      <c r="A206" s="425"/>
      <c r="B206" s="25"/>
      <c r="C206" s="25"/>
      <c r="D206" s="25"/>
      <c r="E206" s="25"/>
    </row>
    <row r="207">
      <c r="A207" s="425"/>
      <c r="B207" s="25"/>
      <c r="C207" s="25"/>
      <c r="D207" s="25"/>
      <c r="E207" s="25"/>
    </row>
    <row r="208">
      <c r="A208" s="425"/>
      <c r="B208" s="25"/>
      <c r="C208" s="25"/>
      <c r="D208" s="25"/>
      <c r="E208" s="25"/>
    </row>
    <row r="209">
      <c r="A209" s="425"/>
      <c r="B209" s="25"/>
      <c r="C209" s="25"/>
      <c r="D209" s="25"/>
      <c r="E209" s="25"/>
    </row>
    <row r="210">
      <c r="A210" s="425"/>
      <c r="B210" s="25"/>
      <c r="C210" s="25"/>
      <c r="D210" s="25"/>
      <c r="E210" s="25"/>
    </row>
    <row r="211">
      <c r="A211" s="425"/>
      <c r="B211" s="25"/>
      <c r="C211" s="25"/>
      <c r="D211" s="25"/>
      <c r="E211" s="25"/>
    </row>
    <row r="212">
      <c r="A212" s="425"/>
      <c r="B212" s="25"/>
      <c r="C212" s="25"/>
      <c r="D212" s="25"/>
      <c r="E212" s="25"/>
    </row>
    <row r="213">
      <c r="A213" s="425"/>
      <c r="B213" s="25"/>
      <c r="C213" s="25"/>
      <c r="D213" s="25"/>
      <c r="E213" s="25"/>
    </row>
    <row r="214">
      <c r="A214" s="425"/>
      <c r="B214" s="25"/>
      <c r="C214" s="25"/>
      <c r="D214" s="25"/>
      <c r="E214" s="25"/>
    </row>
    <row r="215">
      <c r="A215" s="425"/>
      <c r="B215" s="25"/>
      <c r="C215" s="25"/>
      <c r="D215" s="25"/>
      <c r="E215" s="25"/>
    </row>
    <row r="216">
      <c r="A216" s="425"/>
      <c r="B216" s="25"/>
      <c r="C216" s="25"/>
      <c r="D216" s="25"/>
      <c r="E216" s="25"/>
    </row>
    <row r="217">
      <c r="A217" s="425"/>
      <c r="B217" s="25"/>
      <c r="C217" s="25"/>
      <c r="D217" s="25"/>
      <c r="E217" s="25"/>
    </row>
    <row r="218">
      <c r="A218" s="425"/>
      <c r="B218" s="25"/>
      <c r="C218" s="25"/>
      <c r="D218" s="25"/>
      <c r="E218" s="25"/>
    </row>
    <row r="219">
      <c r="A219" s="425"/>
      <c r="B219" s="25"/>
      <c r="C219" s="25"/>
      <c r="D219" s="25"/>
      <c r="E219" s="25"/>
    </row>
    <row r="220">
      <c r="A220" s="425"/>
      <c r="B220" s="25"/>
      <c r="C220" s="25"/>
      <c r="D220" s="25"/>
      <c r="E220" s="25"/>
    </row>
    <row r="221">
      <c r="A221" s="425"/>
      <c r="B221" s="25"/>
      <c r="C221" s="25"/>
      <c r="D221" s="25"/>
      <c r="E221" s="25"/>
    </row>
    <row r="222">
      <c r="A222" s="425"/>
      <c r="B222" s="25"/>
      <c r="C222" s="25"/>
      <c r="D222" s="25"/>
      <c r="E222" s="25"/>
    </row>
    <row r="223">
      <c r="A223" s="425"/>
      <c r="B223" s="25"/>
      <c r="C223" s="25"/>
      <c r="D223" s="25"/>
      <c r="E223" s="25"/>
    </row>
    <row r="224">
      <c r="A224" s="425"/>
      <c r="B224" s="25"/>
      <c r="C224" s="25"/>
      <c r="D224" s="25"/>
      <c r="E224" s="25"/>
    </row>
    <row r="225">
      <c r="A225" s="425"/>
      <c r="B225" s="25"/>
      <c r="C225" s="25"/>
      <c r="D225" s="25"/>
      <c r="E225" s="25"/>
    </row>
    <row r="226">
      <c r="A226" s="425"/>
      <c r="B226" s="25"/>
      <c r="C226" s="25"/>
      <c r="D226" s="25"/>
      <c r="E226" s="25"/>
    </row>
    <row r="227">
      <c r="A227" s="425"/>
      <c r="B227" s="25"/>
      <c r="C227" s="25"/>
      <c r="D227" s="25"/>
      <c r="E227" s="25"/>
    </row>
    <row r="228">
      <c r="A228" s="425"/>
      <c r="B228" s="25"/>
      <c r="C228" s="25"/>
      <c r="D228" s="25"/>
      <c r="E228" s="25"/>
    </row>
    <row r="229">
      <c r="A229" s="425"/>
      <c r="B229" s="25"/>
      <c r="C229" s="25"/>
      <c r="D229" s="25"/>
      <c r="E229" s="25"/>
    </row>
    <row r="230">
      <c r="A230" s="425"/>
      <c r="B230" s="25"/>
      <c r="C230" s="25"/>
      <c r="D230" s="25"/>
      <c r="E230" s="25"/>
    </row>
    <row r="231">
      <c r="A231" s="425"/>
      <c r="B231" s="25"/>
      <c r="C231" s="25"/>
      <c r="D231" s="25"/>
      <c r="E231" s="25"/>
    </row>
    <row r="232">
      <c r="A232" s="425"/>
      <c r="B232" s="25"/>
      <c r="C232" s="25"/>
      <c r="D232" s="25"/>
      <c r="E232" s="25"/>
    </row>
    <row r="233">
      <c r="A233" s="425"/>
      <c r="B233" s="25"/>
      <c r="C233" s="25"/>
      <c r="D233" s="25"/>
      <c r="E233" s="25"/>
    </row>
    <row r="234">
      <c r="A234" s="425"/>
      <c r="B234" s="25"/>
      <c r="C234" s="25"/>
      <c r="D234" s="25"/>
      <c r="E234" s="25"/>
    </row>
    <row r="235">
      <c r="A235" s="425"/>
      <c r="B235" s="25"/>
      <c r="C235" s="25"/>
      <c r="D235" s="25"/>
      <c r="E235" s="25"/>
    </row>
    <row r="236">
      <c r="A236" s="425"/>
      <c r="B236" s="25"/>
      <c r="C236" s="25"/>
      <c r="D236" s="25"/>
      <c r="E236" s="25"/>
    </row>
    <row r="237">
      <c r="A237" s="425"/>
      <c r="B237" s="25"/>
      <c r="C237" s="25"/>
      <c r="D237" s="25"/>
      <c r="E237" s="25"/>
    </row>
    <row r="238">
      <c r="A238" s="425"/>
      <c r="B238" s="25"/>
      <c r="C238" s="25"/>
      <c r="D238" s="25"/>
      <c r="E238" s="25"/>
    </row>
    <row r="239">
      <c r="A239" s="425"/>
      <c r="B239" s="25"/>
      <c r="C239" s="25"/>
      <c r="D239" s="25"/>
      <c r="E239" s="25"/>
    </row>
    <row r="240">
      <c r="A240" s="425"/>
      <c r="B240" s="25"/>
      <c r="C240" s="25"/>
      <c r="D240" s="25"/>
      <c r="E240" s="25"/>
    </row>
    <row r="241">
      <c r="A241" s="425"/>
      <c r="B241" s="25"/>
      <c r="C241" s="25"/>
      <c r="D241" s="25"/>
      <c r="E241" s="25"/>
    </row>
    <row r="242">
      <c r="A242" s="425"/>
      <c r="B242" s="25"/>
      <c r="C242" s="25"/>
      <c r="D242" s="25"/>
      <c r="E242" s="25"/>
    </row>
    <row r="243">
      <c r="A243" s="425"/>
      <c r="B243" s="25"/>
      <c r="C243" s="25"/>
      <c r="D243" s="25"/>
      <c r="E243" s="25"/>
    </row>
    <row r="244">
      <c r="A244" s="425"/>
      <c r="B244" s="25"/>
      <c r="C244" s="25"/>
      <c r="D244" s="25"/>
      <c r="E244" s="25"/>
    </row>
    <row r="245">
      <c r="A245" s="425"/>
      <c r="B245" s="25"/>
      <c r="C245" s="25"/>
      <c r="D245" s="25"/>
      <c r="E245" s="25"/>
    </row>
    <row r="246">
      <c r="A246" s="425"/>
      <c r="B246" s="25"/>
      <c r="C246" s="25"/>
      <c r="D246" s="25"/>
      <c r="E246" s="25"/>
    </row>
    <row r="247">
      <c r="A247" s="425"/>
      <c r="B247" s="25"/>
      <c r="C247" s="25"/>
      <c r="D247" s="25"/>
      <c r="E247" s="25"/>
    </row>
    <row r="248">
      <c r="A248" s="425"/>
      <c r="B248" s="25"/>
      <c r="C248" s="25"/>
      <c r="D248" s="25"/>
      <c r="E248" s="25"/>
    </row>
    <row r="249">
      <c r="A249" s="425"/>
      <c r="B249" s="25"/>
      <c r="C249" s="25"/>
      <c r="D249" s="25"/>
      <c r="E249" s="25"/>
    </row>
    <row r="250">
      <c r="A250" s="425"/>
      <c r="B250" s="25"/>
      <c r="C250" s="25"/>
      <c r="D250" s="25"/>
      <c r="E250" s="25"/>
    </row>
    <row r="251">
      <c r="A251" s="425"/>
      <c r="B251" s="25"/>
      <c r="C251" s="25"/>
      <c r="D251" s="25"/>
      <c r="E251" s="25"/>
    </row>
    <row r="252">
      <c r="A252" s="425"/>
      <c r="B252" s="25"/>
      <c r="C252" s="25"/>
      <c r="D252" s="25"/>
      <c r="E252" s="25"/>
    </row>
    <row r="253">
      <c r="A253" s="425"/>
      <c r="B253" s="25"/>
      <c r="C253" s="25"/>
      <c r="D253" s="25"/>
      <c r="E253" s="25"/>
    </row>
    <row r="254">
      <c r="A254" s="425"/>
      <c r="B254" s="25"/>
      <c r="C254" s="25"/>
      <c r="D254" s="25"/>
      <c r="E254" s="25"/>
    </row>
    <row r="255">
      <c r="A255" s="425"/>
      <c r="B255" s="25"/>
      <c r="C255" s="25"/>
      <c r="D255" s="25"/>
      <c r="E255" s="25"/>
    </row>
    <row r="256">
      <c r="A256" s="425"/>
      <c r="B256" s="25"/>
      <c r="C256" s="25"/>
      <c r="D256" s="25"/>
      <c r="E256" s="25"/>
    </row>
    <row r="257">
      <c r="A257" s="425"/>
      <c r="B257" s="25"/>
      <c r="C257" s="25"/>
      <c r="D257" s="25"/>
      <c r="E257" s="25"/>
    </row>
    <row r="258">
      <c r="A258" s="425"/>
      <c r="B258" s="25"/>
      <c r="C258" s="25"/>
      <c r="D258" s="25"/>
      <c r="E258" s="25"/>
    </row>
    <row r="259">
      <c r="A259" s="425"/>
      <c r="B259" s="25"/>
      <c r="C259" s="25"/>
      <c r="D259" s="25"/>
      <c r="E259" s="25"/>
    </row>
    <row r="260">
      <c r="A260" s="425"/>
      <c r="B260" s="25"/>
      <c r="C260" s="25"/>
      <c r="D260" s="25"/>
      <c r="E260" s="25"/>
    </row>
    <row r="261">
      <c r="A261" s="425"/>
      <c r="B261" s="25"/>
      <c r="C261" s="25"/>
      <c r="D261" s="25"/>
      <c r="E261" s="25"/>
    </row>
    <row r="262">
      <c r="A262" s="425"/>
      <c r="B262" s="25"/>
      <c r="C262" s="25"/>
      <c r="D262" s="25"/>
      <c r="E262" s="25"/>
    </row>
    <row r="263">
      <c r="A263" s="425"/>
      <c r="B263" s="25"/>
      <c r="C263" s="25"/>
      <c r="D263" s="25"/>
      <c r="E263" s="25"/>
    </row>
    <row r="264">
      <c r="A264" s="425"/>
      <c r="B264" s="25"/>
      <c r="C264" s="25"/>
      <c r="D264" s="25"/>
      <c r="E264" s="25"/>
    </row>
    <row r="265">
      <c r="A265" s="425"/>
      <c r="B265" s="25"/>
      <c r="C265" s="25"/>
      <c r="D265" s="25"/>
      <c r="E265" s="25"/>
    </row>
    <row r="266">
      <c r="A266" s="425"/>
      <c r="B266" s="25"/>
      <c r="C266" s="25"/>
      <c r="D266" s="25"/>
      <c r="E266" s="25"/>
    </row>
    <row r="267">
      <c r="A267" s="425"/>
      <c r="B267" s="25"/>
      <c r="C267" s="25"/>
      <c r="D267" s="25"/>
      <c r="E267" s="25"/>
    </row>
    <row r="268">
      <c r="A268" s="425"/>
      <c r="B268" s="25"/>
      <c r="C268" s="25"/>
      <c r="D268" s="25"/>
      <c r="E268" s="25"/>
    </row>
    <row r="269">
      <c r="A269" s="425"/>
      <c r="B269" s="25"/>
      <c r="C269" s="25"/>
      <c r="D269" s="25"/>
      <c r="E269" s="25"/>
    </row>
    <row r="270">
      <c r="A270" s="425"/>
      <c r="B270" s="25"/>
      <c r="C270" s="25"/>
      <c r="D270" s="25"/>
      <c r="E270" s="25"/>
    </row>
    <row r="271">
      <c r="A271" s="425"/>
      <c r="B271" s="25"/>
      <c r="C271" s="25"/>
      <c r="D271" s="25"/>
      <c r="E271" s="25"/>
    </row>
    <row r="272">
      <c r="A272" s="425"/>
      <c r="B272" s="25"/>
      <c r="C272" s="25"/>
      <c r="D272" s="25"/>
      <c r="E272" s="25"/>
    </row>
    <row r="273">
      <c r="A273" s="425"/>
      <c r="B273" s="25"/>
      <c r="C273" s="25"/>
      <c r="D273" s="25"/>
      <c r="E273" s="25"/>
    </row>
    <row r="274">
      <c r="A274" s="425"/>
      <c r="B274" s="25"/>
      <c r="C274" s="25"/>
      <c r="D274" s="25"/>
      <c r="E274" s="25"/>
    </row>
    <row r="275">
      <c r="A275" s="425"/>
      <c r="B275" s="25"/>
      <c r="C275" s="25"/>
      <c r="D275" s="25"/>
      <c r="E275" s="25"/>
    </row>
    <row r="276">
      <c r="A276" s="425"/>
      <c r="B276" s="25"/>
      <c r="C276" s="25"/>
      <c r="D276" s="25"/>
      <c r="E276" s="25"/>
    </row>
    <row r="277">
      <c r="A277" s="425"/>
      <c r="B277" s="25"/>
      <c r="C277" s="25"/>
      <c r="D277" s="25"/>
      <c r="E277" s="25"/>
    </row>
    <row r="278">
      <c r="A278" s="425"/>
      <c r="B278" s="25"/>
      <c r="C278" s="25"/>
      <c r="D278" s="25"/>
      <c r="E278" s="25"/>
    </row>
    <row r="279">
      <c r="A279" s="425"/>
      <c r="B279" s="25"/>
      <c r="C279" s="25"/>
      <c r="D279" s="25"/>
      <c r="E279" s="25"/>
    </row>
    <row r="280">
      <c r="A280" s="425"/>
      <c r="B280" s="25"/>
      <c r="C280" s="25"/>
      <c r="D280" s="25"/>
      <c r="E280" s="25"/>
    </row>
    <row r="281">
      <c r="A281" s="425"/>
      <c r="B281" s="25"/>
      <c r="C281" s="25"/>
      <c r="D281" s="25"/>
      <c r="E281" s="25"/>
    </row>
    <row r="282">
      <c r="A282" s="425"/>
      <c r="B282" s="25"/>
      <c r="C282" s="25"/>
      <c r="D282" s="25"/>
      <c r="E282" s="25"/>
    </row>
    <row r="283">
      <c r="A283" s="425"/>
      <c r="B283" s="25"/>
      <c r="C283" s="25"/>
      <c r="D283" s="25"/>
      <c r="E283" s="25"/>
    </row>
    <row r="284">
      <c r="A284" s="425"/>
      <c r="B284" s="25"/>
      <c r="C284" s="25"/>
      <c r="D284" s="25"/>
      <c r="E284" s="25"/>
    </row>
    <row r="285">
      <c r="A285" s="425"/>
      <c r="B285" s="25"/>
      <c r="C285" s="25"/>
      <c r="D285" s="25"/>
      <c r="E285" s="25"/>
    </row>
    <row r="286">
      <c r="A286" s="425"/>
      <c r="B286" s="25"/>
      <c r="C286" s="25"/>
      <c r="D286" s="25"/>
      <c r="E286" s="25"/>
    </row>
    <row r="287">
      <c r="A287" s="425"/>
      <c r="B287" s="25"/>
      <c r="C287" s="25"/>
      <c r="D287" s="25"/>
      <c r="E287" s="25"/>
    </row>
    <row r="288">
      <c r="A288" s="425"/>
      <c r="B288" s="25"/>
      <c r="C288" s="25"/>
      <c r="D288" s="25"/>
      <c r="E288" s="25"/>
    </row>
    <row r="289">
      <c r="A289" s="425"/>
      <c r="B289" s="25"/>
      <c r="C289" s="25"/>
      <c r="D289" s="25"/>
      <c r="E289" s="25"/>
    </row>
    <row r="290">
      <c r="A290" s="425"/>
      <c r="B290" s="25"/>
      <c r="C290" s="25"/>
      <c r="D290" s="25"/>
      <c r="E290" s="25"/>
    </row>
    <row r="291">
      <c r="A291" s="425"/>
      <c r="B291" s="25"/>
      <c r="C291" s="25"/>
      <c r="D291" s="25"/>
      <c r="E291" s="25"/>
    </row>
    <row r="292">
      <c r="A292" s="425"/>
      <c r="B292" s="25"/>
      <c r="C292" s="25"/>
      <c r="D292" s="25"/>
      <c r="E292" s="25"/>
    </row>
    <row r="293">
      <c r="A293" s="425"/>
      <c r="B293" s="25"/>
      <c r="C293" s="25"/>
      <c r="D293" s="25"/>
      <c r="E293" s="25"/>
    </row>
    <row r="294">
      <c r="A294" s="425"/>
      <c r="B294" s="25"/>
      <c r="C294" s="25"/>
      <c r="D294" s="25"/>
      <c r="E294" s="25"/>
    </row>
    <row r="295">
      <c r="A295" s="425"/>
      <c r="B295" s="25"/>
      <c r="C295" s="25"/>
      <c r="D295" s="25"/>
      <c r="E295" s="25"/>
    </row>
    <row r="296">
      <c r="A296" s="425"/>
      <c r="B296" s="25"/>
      <c r="C296" s="25"/>
      <c r="D296" s="25"/>
      <c r="E296" s="25"/>
    </row>
    <row r="297">
      <c r="A297" s="425"/>
      <c r="B297" s="25"/>
      <c r="C297" s="25"/>
      <c r="D297" s="25"/>
      <c r="E297" s="25"/>
    </row>
    <row r="298">
      <c r="A298" s="425"/>
      <c r="B298" s="25"/>
      <c r="C298" s="25"/>
      <c r="D298" s="25"/>
      <c r="E298" s="25"/>
    </row>
    <row r="299">
      <c r="A299" s="425"/>
      <c r="B299" s="25"/>
      <c r="C299" s="25"/>
      <c r="D299" s="25"/>
      <c r="E299" s="25"/>
    </row>
    <row r="300">
      <c r="A300" s="425"/>
      <c r="B300" s="25"/>
      <c r="C300" s="25"/>
      <c r="D300" s="25"/>
      <c r="E300" s="25"/>
    </row>
    <row r="301">
      <c r="A301" s="425"/>
      <c r="B301" s="25"/>
      <c r="C301" s="25"/>
      <c r="D301" s="25"/>
      <c r="E301" s="25"/>
    </row>
    <row r="302">
      <c r="A302" s="425"/>
      <c r="B302" s="25"/>
      <c r="C302" s="25"/>
      <c r="D302" s="25"/>
      <c r="E302" s="25"/>
    </row>
    <row r="303">
      <c r="A303" s="425"/>
      <c r="B303" s="25"/>
      <c r="C303" s="25"/>
      <c r="D303" s="25"/>
      <c r="E303" s="25"/>
    </row>
    <row r="304">
      <c r="A304" s="425"/>
      <c r="B304" s="25"/>
      <c r="C304" s="25"/>
      <c r="D304" s="25"/>
      <c r="E304" s="25"/>
    </row>
    <row r="305">
      <c r="A305" s="425"/>
      <c r="B305" s="25"/>
      <c r="C305" s="25"/>
      <c r="D305" s="25"/>
      <c r="E305" s="25"/>
    </row>
    <row r="306">
      <c r="A306" s="425"/>
      <c r="B306" s="25"/>
      <c r="C306" s="25"/>
      <c r="D306" s="25"/>
      <c r="E306" s="25"/>
    </row>
    <row r="307">
      <c r="A307" s="425"/>
      <c r="B307" s="25"/>
      <c r="C307" s="25"/>
      <c r="D307" s="25"/>
      <c r="E307" s="25"/>
    </row>
    <row r="308">
      <c r="A308" s="425"/>
      <c r="B308" s="25"/>
      <c r="C308" s="25"/>
      <c r="D308" s="25"/>
      <c r="E308" s="25"/>
    </row>
    <row r="309">
      <c r="A309" s="425"/>
      <c r="B309" s="25"/>
      <c r="C309" s="25"/>
      <c r="D309" s="25"/>
      <c r="E309" s="25"/>
    </row>
    <row r="310">
      <c r="A310" s="425"/>
      <c r="B310" s="25"/>
      <c r="C310" s="25"/>
      <c r="D310" s="25"/>
      <c r="E310" s="25"/>
    </row>
    <row r="311">
      <c r="A311" s="425"/>
      <c r="B311" s="25"/>
      <c r="C311" s="25"/>
      <c r="D311" s="25"/>
      <c r="E311" s="25"/>
    </row>
    <row r="312">
      <c r="A312" s="425"/>
      <c r="B312" s="25"/>
      <c r="C312" s="25"/>
      <c r="D312" s="25"/>
      <c r="E312" s="25"/>
    </row>
    <row r="313">
      <c r="A313" s="425"/>
      <c r="B313" s="25"/>
      <c r="C313" s="25"/>
      <c r="D313" s="25"/>
      <c r="E313" s="25"/>
    </row>
    <row r="314">
      <c r="A314" s="425"/>
      <c r="B314" s="25"/>
      <c r="C314" s="25"/>
      <c r="D314" s="25"/>
      <c r="E314" s="25"/>
    </row>
    <row r="315">
      <c r="A315" s="425"/>
      <c r="B315" s="25"/>
      <c r="C315" s="25"/>
      <c r="D315" s="25"/>
      <c r="E315" s="25"/>
    </row>
    <row r="316">
      <c r="A316" s="425"/>
      <c r="B316" s="25"/>
      <c r="C316" s="25"/>
      <c r="D316" s="25"/>
      <c r="E316" s="25"/>
    </row>
    <row r="317">
      <c r="A317" s="425"/>
      <c r="B317" s="25"/>
      <c r="C317" s="25"/>
      <c r="D317" s="25"/>
      <c r="E317" s="25"/>
    </row>
    <row r="318">
      <c r="A318" s="425"/>
      <c r="B318" s="25"/>
      <c r="C318" s="25"/>
      <c r="D318" s="25"/>
      <c r="E318" s="25"/>
    </row>
    <row r="319">
      <c r="A319" s="425"/>
      <c r="B319" s="25"/>
      <c r="C319" s="25"/>
      <c r="D319" s="25"/>
      <c r="E319" s="25"/>
    </row>
    <row r="320">
      <c r="A320" s="425"/>
      <c r="B320" s="25"/>
      <c r="C320" s="25"/>
      <c r="D320" s="25"/>
      <c r="E320" s="25"/>
    </row>
    <row r="321">
      <c r="A321" s="425"/>
      <c r="B321" s="25"/>
      <c r="C321" s="25"/>
      <c r="D321" s="25"/>
      <c r="E321" s="25"/>
    </row>
    <row r="322">
      <c r="A322" s="425"/>
      <c r="B322" s="25"/>
      <c r="C322" s="25"/>
      <c r="D322" s="25"/>
      <c r="E322" s="25"/>
    </row>
    <row r="323">
      <c r="A323" s="425"/>
      <c r="B323" s="25"/>
      <c r="C323" s="25"/>
      <c r="D323" s="25"/>
      <c r="E323" s="25"/>
    </row>
    <row r="324">
      <c r="A324" s="425"/>
      <c r="B324" s="25"/>
      <c r="C324" s="25"/>
      <c r="D324" s="25"/>
      <c r="E324" s="25"/>
    </row>
    <row r="325">
      <c r="A325" s="425"/>
      <c r="B325" s="25"/>
      <c r="C325" s="25"/>
      <c r="D325" s="25"/>
      <c r="E325" s="25"/>
    </row>
    <row r="326">
      <c r="A326" s="425"/>
      <c r="B326" s="25"/>
      <c r="C326" s="25"/>
      <c r="D326" s="25"/>
      <c r="E326" s="25"/>
    </row>
    <row r="327">
      <c r="A327" s="425"/>
      <c r="B327" s="25"/>
      <c r="C327" s="25"/>
      <c r="D327" s="25"/>
      <c r="E327" s="25"/>
    </row>
    <row r="328">
      <c r="A328" s="425"/>
      <c r="B328" s="25"/>
      <c r="C328" s="25"/>
      <c r="D328" s="25"/>
      <c r="E328" s="25"/>
    </row>
    <row r="329">
      <c r="A329" s="425"/>
      <c r="B329" s="25"/>
      <c r="C329" s="25"/>
      <c r="D329" s="25"/>
      <c r="E329" s="25"/>
    </row>
    <row r="330">
      <c r="A330" s="425"/>
      <c r="B330" s="25"/>
      <c r="C330" s="25"/>
      <c r="D330" s="25"/>
      <c r="E330" s="25"/>
    </row>
    <row r="331">
      <c r="A331" s="425"/>
      <c r="B331" s="25"/>
      <c r="C331" s="25"/>
      <c r="D331" s="25"/>
      <c r="E331" s="25"/>
    </row>
    <row r="332">
      <c r="A332" s="425"/>
      <c r="B332" s="25"/>
      <c r="C332" s="25"/>
      <c r="D332" s="25"/>
      <c r="E332" s="25"/>
    </row>
    <row r="333">
      <c r="A333" s="425"/>
      <c r="B333" s="25"/>
      <c r="C333" s="25"/>
      <c r="D333" s="25"/>
      <c r="E333" s="25"/>
    </row>
    <row r="334">
      <c r="A334" s="425"/>
      <c r="B334" s="25"/>
      <c r="C334" s="25"/>
      <c r="D334" s="25"/>
      <c r="E334" s="25"/>
    </row>
    <row r="335">
      <c r="A335" s="425"/>
      <c r="B335" s="25"/>
      <c r="C335" s="25"/>
      <c r="D335" s="25"/>
      <c r="E335" s="25"/>
    </row>
    <row r="336">
      <c r="A336" s="425"/>
      <c r="B336" s="25"/>
      <c r="C336" s="25"/>
      <c r="D336" s="25"/>
      <c r="E336" s="25"/>
    </row>
    <row r="337">
      <c r="A337" s="425"/>
      <c r="B337" s="25"/>
      <c r="C337" s="25"/>
      <c r="D337" s="25"/>
      <c r="E337" s="25"/>
    </row>
    <row r="338">
      <c r="A338" s="425"/>
      <c r="B338" s="25"/>
      <c r="C338" s="25"/>
      <c r="D338" s="25"/>
      <c r="E338" s="25"/>
    </row>
    <row r="339">
      <c r="A339" s="425"/>
      <c r="B339" s="25"/>
      <c r="C339" s="25"/>
      <c r="D339" s="25"/>
      <c r="E339" s="25"/>
    </row>
    <row r="340">
      <c r="A340" s="425"/>
      <c r="B340" s="25"/>
      <c r="C340" s="25"/>
      <c r="D340" s="25"/>
      <c r="E340" s="25"/>
    </row>
    <row r="341">
      <c r="A341" s="425"/>
      <c r="B341" s="25"/>
      <c r="C341" s="25"/>
      <c r="D341" s="25"/>
      <c r="E341" s="25"/>
    </row>
    <row r="342">
      <c r="A342" s="425"/>
      <c r="B342" s="25"/>
      <c r="C342" s="25"/>
      <c r="D342" s="25"/>
      <c r="E342" s="25"/>
    </row>
    <row r="343">
      <c r="A343" s="425"/>
      <c r="B343" s="25"/>
      <c r="C343" s="25"/>
      <c r="D343" s="25"/>
      <c r="E343" s="25"/>
    </row>
    <row r="344">
      <c r="A344" s="425"/>
      <c r="B344" s="25"/>
      <c r="C344" s="25"/>
      <c r="D344" s="25"/>
      <c r="E344" s="25"/>
    </row>
    <row r="345">
      <c r="A345" s="425"/>
      <c r="B345" s="25"/>
      <c r="C345" s="25"/>
      <c r="D345" s="25"/>
      <c r="E345" s="25"/>
    </row>
    <row r="346">
      <c r="A346" s="425"/>
      <c r="B346" s="25"/>
      <c r="C346" s="25"/>
      <c r="D346" s="25"/>
      <c r="E346" s="25"/>
    </row>
    <row r="347">
      <c r="A347" s="425"/>
      <c r="B347" s="25"/>
      <c r="C347" s="25"/>
      <c r="D347" s="25"/>
      <c r="E347" s="25"/>
    </row>
    <row r="348">
      <c r="A348" s="425"/>
      <c r="B348" s="25"/>
      <c r="C348" s="25"/>
      <c r="D348" s="25"/>
      <c r="E348" s="25"/>
    </row>
    <row r="349">
      <c r="A349" s="425"/>
      <c r="B349" s="25"/>
      <c r="C349" s="25"/>
      <c r="D349" s="25"/>
      <c r="E349" s="25"/>
    </row>
    <row r="350">
      <c r="A350" s="425"/>
      <c r="B350" s="25"/>
      <c r="C350" s="25"/>
      <c r="D350" s="25"/>
      <c r="E350" s="25"/>
    </row>
    <row r="351">
      <c r="A351" s="425"/>
      <c r="B351" s="25"/>
      <c r="C351" s="25"/>
      <c r="D351" s="25"/>
      <c r="E351" s="25"/>
    </row>
    <row r="352">
      <c r="A352" s="425"/>
      <c r="B352" s="25"/>
      <c r="C352" s="25"/>
      <c r="E352" s="25"/>
    </row>
    <row r="353">
      <c r="A353" s="434"/>
      <c r="B353" s="25"/>
      <c r="C353" s="25"/>
      <c r="E353" s="25"/>
    </row>
    <row r="354">
      <c r="A354" s="434"/>
      <c r="B354" s="25"/>
      <c r="C354" s="25"/>
      <c r="E354" s="25"/>
    </row>
    <row r="355">
      <c r="A355" s="434"/>
      <c r="B355" s="25"/>
      <c r="C355" s="25"/>
      <c r="E355" s="25"/>
    </row>
    <row r="356">
      <c r="A356" s="434"/>
      <c r="B356" s="25"/>
      <c r="C356" s="25"/>
      <c r="E356" s="25"/>
    </row>
    <row r="357">
      <c r="A357" s="434"/>
      <c r="B357" s="25"/>
      <c r="C357" s="25"/>
      <c r="E357" s="25"/>
    </row>
    <row r="358">
      <c r="A358" s="434"/>
      <c r="B358" s="25"/>
      <c r="C358" s="25"/>
      <c r="E358" s="25"/>
    </row>
    <row r="359">
      <c r="A359" s="434"/>
      <c r="B359" s="25"/>
      <c r="C359" s="25"/>
      <c r="E359" s="25"/>
    </row>
    <row r="360">
      <c r="A360" s="434"/>
      <c r="B360" s="25"/>
      <c r="C360" s="25"/>
      <c r="E360" s="25"/>
    </row>
    <row r="361">
      <c r="A361" s="434"/>
      <c r="B361" s="25"/>
      <c r="C361" s="25"/>
      <c r="E361" s="25"/>
    </row>
    <row r="362">
      <c r="A362" s="434"/>
      <c r="B362" s="25"/>
      <c r="C362" s="25"/>
      <c r="E362" s="25"/>
    </row>
    <row r="363">
      <c r="A363" s="434"/>
      <c r="B363" s="25"/>
      <c r="C363" s="25"/>
      <c r="E363" s="25"/>
    </row>
    <row r="364">
      <c r="A364" s="434"/>
      <c r="B364" s="25"/>
      <c r="C364" s="25"/>
      <c r="E364" s="25"/>
    </row>
    <row r="365">
      <c r="A365" s="434"/>
      <c r="B365" s="25"/>
      <c r="C365" s="25"/>
      <c r="E365" s="25"/>
    </row>
    <row r="366">
      <c r="A366" s="434"/>
      <c r="B366" s="25"/>
      <c r="C366" s="25"/>
      <c r="E366" s="25"/>
    </row>
    <row r="367">
      <c r="A367" s="434"/>
      <c r="B367" s="25"/>
      <c r="C367" s="25"/>
      <c r="E367" s="25"/>
    </row>
    <row r="368">
      <c r="A368" s="434"/>
      <c r="B368" s="25"/>
      <c r="C368" s="25"/>
      <c r="E368" s="25"/>
    </row>
    <row r="369">
      <c r="A369" s="434"/>
      <c r="B369" s="25"/>
      <c r="C369" s="25"/>
      <c r="E369" s="25"/>
    </row>
    <row r="370">
      <c r="A370" s="434"/>
      <c r="B370" s="25"/>
      <c r="C370" s="25"/>
      <c r="E370" s="25"/>
    </row>
    <row r="371">
      <c r="A371" s="434"/>
      <c r="B371" s="25"/>
      <c r="C371" s="25"/>
      <c r="E371" s="25"/>
    </row>
    <row r="372">
      <c r="A372" s="434"/>
      <c r="B372" s="25"/>
      <c r="C372" s="25"/>
      <c r="E372" s="25"/>
    </row>
    <row r="373">
      <c r="A373" s="434"/>
      <c r="B373" s="25"/>
      <c r="C373" s="25"/>
      <c r="E373" s="25"/>
    </row>
    <row r="374">
      <c r="A374" s="434"/>
      <c r="B374" s="25"/>
      <c r="C374" s="25"/>
      <c r="E374" s="25"/>
    </row>
    <row r="375">
      <c r="A375" s="434"/>
      <c r="B375" s="25"/>
      <c r="C375" s="25"/>
      <c r="E375" s="25"/>
    </row>
    <row r="376">
      <c r="A376" s="434"/>
      <c r="B376" s="25"/>
      <c r="C376" s="25"/>
      <c r="E376" s="25"/>
    </row>
    <row r="377">
      <c r="A377" s="434"/>
      <c r="B377" s="25"/>
      <c r="C377" s="25"/>
      <c r="E377" s="25"/>
    </row>
    <row r="378">
      <c r="A378" s="434"/>
      <c r="B378" s="25"/>
      <c r="C378" s="25"/>
      <c r="E378" s="25"/>
    </row>
    <row r="379">
      <c r="A379" s="434"/>
      <c r="B379" s="25"/>
      <c r="C379" s="25"/>
      <c r="E379" s="25"/>
    </row>
    <row r="380">
      <c r="A380" s="434"/>
      <c r="B380" s="25"/>
      <c r="C380" s="25"/>
      <c r="E380" s="25"/>
    </row>
    <row r="381">
      <c r="A381" s="434"/>
      <c r="B381" s="25"/>
      <c r="C381" s="25"/>
      <c r="E381" s="25"/>
    </row>
    <row r="382">
      <c r="A382" s="434"/>
      <c r="B382" s="25"/>
      <c r="C382" s="25"/>
      <c r="E382" s="25"/>
    </row>
    <row r="383">
      <c r="A383" s="434"/>
      <c r="B383" s="25"/>
      <c r="C383" s="25"/>
      <c r="E383" s="25"/>
    </row>
    <row r="384">
      <c r="A384" s="434"/>
      <c r="B384" s="25"/>
      <c r="C384" s="25"/>
      <c r="E384" s="25"/>
    </row>
    <row r="385">
      <c r="A385" s="434"/>
      <c r="B385" s="25"/>
      <c r="C385" s="25"/>
      <c r="E385" s="25"/>
    </row>
    <row r="386">
      <c r="A386" s="434"/>
      <c r="B386" s="25"/>
      <c r="C386" s="25"/>
      <c r="E386" s="25"/>
    </row>
    <row r="387">
      <c r="A387" s="434"/>
      <c r="B387" s="25"/>
      <c r="C387" s="25"/>
      <c r="E387" s="25"/>
    </row>
    <row r="388">
      <c r="A388" s="434"/>
      <c r="B388" s="25"/>
      <c r="C388" s="25"/>
      <c r="E388" s="25"/>
    </row>
    <row r="389">
      <c r="A389" s="434"/>
      <c r="B389" s="25"/>
      <c r="C389" s="25"/>
      <c r="E389" s="25"/>
    </row>
    <row r="390">
      <c r="A390" s="434"/>
      <c r="B390" s="25"/>
      <c r="C390" s="25"/>
      <c r="E390" s="25"/>
    </row>
    <row r="391">
      <c r="A391" s="434"/>
      <c r="B391" s="25"/>
      <c r="C391" s="25"/>
      <c r="E391" s="25"/>
    </row>
    <row r="392">
      <c r="A392" s="434"/>
      <c r="B392" s="25"/>
      <c r="C392" s="25"/>
      <c r="E392" s="25"/>
    </row>
    <row r="393">
      <c r="A393" s="434"/>
      <c r="B393" s="25"/>
      <c r="C393" s="25"/>
      <c r="E393" s="25"/>
    </row>
    <row r="394">
      <c r="A394" s="434"/>
      <c r="B394" s="25"/>
      <c r="C394" s="25"/>
      <c r="E394" s="25"/>
    </row>
    <row r="395">
      <c r="A395" s="434"/>
      <c r="B395" s="25"/>
      <c r="C395" s="25"/>
      <c r="E395" s="25"/>
    </row>
    <row r="396">
      <c r="A396" s="434"/>
      <c r="B396" s="25"/>
      <c r="C396" s="25"/>
      <c r="E396" s="25"/>
    </row>
    <row r="397">
      <c r="A397" s="434"/>
      <c r="B397" s="25"/>
      <c r="C397" s="25"/>
      <c r="E397" s="25"/>
    </row>
    <row r="398">
      <c r="A398" s="434"/>
      <c r="B398" s="25"/>
      <c r="C398" s="25"/>
      <c r="E398" s="25"/>
    </row>
    <row r="399">
      <c r="A399" s="434"/>
      <c r="B399" s="25"/>
      <c r="C399" s="25"/>
      <c r="E399" s="25"/>
    </row>
    <row r="400">
      <c r="A400" s="434"/>
      <c r="B400" s="25"/>
      <c r="C400" s="25"/>
      <c r="E400" s="25"/>
    </row>
    <row r="401">
      <c r="A401" s="434"/>
      <c r="B401" s="25"/>
      <c r="C401" s="25"/>
      <c r="E401" s="25"/>
    </row>
    <row r="402">
      <c r="A402" s="434"/>
      <c r="B402" s="25"/>
      <c r="C402" s="25"/>
      <c r="E402" s="25"/>
    </row>
    <row r="403">
      <c r="A403" s="434"/>
      <c r="B403" s="25"/>
      <c r="C403" s="25"/>
      <c r="E403" s="25"/>
    </row>
    <row r="404">
      <c r="A404" s="434"/>
      <c r="B404" s="25"/>
      <c r="C404" s="25"/>
      <c r="E404" s="25"/>
    </row>
    <row r="405">
      <c r="A405" s="434"/>
      <c r="B405" s="25"/>
      <c r="C405" s="25"/>
      <c r="E405" s="25"/>
    </row>
    <row r="406">
      <c r="A406" s="434"/>
      <c r="B406" s="25"/>
      <c r="C406" s="25"/>
      <c r="E406" s="25"/>
    </row>
    <row r="407">
      <c r="A407" s="434"/>
      <c r="B407" s="25"/>
      <c r="C407" s="25"/>
      <c r="E407" s="25"/>
    </row>
    <row r="408">
      <c r="A408" s="434"/>
      <c r="B408" s="25"/>
      <c r="C408" s="25"/>
      <c r="E408" s="25"/>
    </row>
    <row r="409">
      <c r="A409" s="434"/>
      <c r="B409" s="25"/>
      <c r="C409" s="25"/>
      <c r="E409" s="25"/>
    </row>
    <row r="410">
      <c r="A410" s="434"/>
      <c r="B410" s="25"/>
      <c r="C410" s="25"/>
      <c r="E410" s="25"/>
    </row>
    <row r="411">
      <c r="A411" s="434"/>
      <c r="B411" s="25"/>
      <c r="C411" s="25"/>
      <c r="E411" s="25"/>
    </row>
    <row r="412">
      <c r="A412" s="434"/>
      <c r="B412" s="25"/>
      <c r="C412" s="25"/>
      <c r="E412" s="25"/>
    </row>
    <row r="413">
      <c r="A413" s="434"/>
      <c r="B413" s="25"/>
      <c r="C413" s="25"/>
      <c r="E413" s="25"/>
    </row>
    <row r="414">
      <c r="A414" s="434"/>
      <c r="B414" s="25"/>
      <c r="C414" s="25"/>
      <c r="E414" s="25"/>
    </row>
    <row r="415">
      <c r="A415" s="434"/>
      <c r="B415" s="25"/>
      <c r="C415" s="25"/>
      <c r="E415" s="25"/>
    </row>
    <row r="416">
      <c r="A416" s="434"/>
      <c r="B416" s="25"/>
      <c r="C416" s="25"/>
      <c r="E416" s="25"/>
    </row>
    <row r="417">
      <c r="A417" s="434"/>
      <c r="B417" s="25"/>
      <c r="C417" s="25"/>
      <c r="E417" s="25"/>
    </row>
    <row r="418">
      <c r="A418" s="434"/>
      <c r="B418" s="25"/>
      <c r="C418" s="25"/>
      <c r="E418" s="25"/>
    </row>
    <row r="419">
      <c r="A419" s="434"/>
      <c r="B419" s="25"/>
      <c r="C419" s="25"/>
      <c r="E419" s="25"/>
    </row>
    <row r="420">
      <c r="A420" s="434"/>
      <c r="B420" s="25"/>
      <c r="C420" s="25"/>
      <c r="E420" s="25"/>
    </row>
    <row r="421">
      <c r="A421" s="434"/>
      <c r="B421" s="25"/>
      <c r="C421" s="25"/>
      <c r="E421" s="25"/>
    </row>
    <row r="422">
      <c r="A422" s="434"/>
      <c r="B422" s="25"/>
      <c r="C422" s="25"/>
      <c r="E422" s="25"/>
    </row>
    <row r="423">
      <c r="A423" s="434"/>
      <c r="B423" s="25"/>
      <c r="C423" s="25"/>
      <c r="E423" s="25"/>
    </row>
    <row r="424">
      <c r="A424" s="434"/>
      <c r="B424" s="25"/>
      <c r="C424" s="25"/>
      <c r="E424" s="25"/>
    </row>
    <row r="425">
      <c r="A425" s="434"/>
      <c r="B425" s="25"/>
      <c r="C425" s="25"/>
      <c r="E425" s="25"/>
    </row>
    <row r="426">
      <c r="A426" s="434"/>
      <c r="B426" s="25"/>
      <c r="C426" s="25"/>
      <c r="E426" s="25"/>
    </row>
    <row r="427">
      <c r="A427" s="434"/>
      <c r="B427" s="25"/>
      <c r="C427" s="25"/>
      <c r="E427" s="25"/>
    </row>
    <row r="428">
      <c r="A428" s="434"/>
      <c r="B428" s="25"/>
      <c r="C428" s="25"/>
      <c r="E428" s="25"/>
    </row>
    <row r="429">
      <c r="A429" s="434"/>
      <c r="B429" s="25"/>
      <c r="C429" s="25"/>
      <c r="E429" s="25"/>
    </row>
    <row r="430">
      <c r="A430" s="434"/>
      <c r="B430" s="25"/>
      <c r="C430" s="25"/>
      <c r="E430" s="25"/>
    </row>
    <row r="431">
      <c r="A431" s="434"/>
      <c r="B431" s="25"/>
      <c r="C431" s="25"/>
      <c r="E431" s="25"/>
    </row>
    <row r="432">
      <c r="A432" s="434"/>
      <c r="B432" s="25"/>
      <c r="C432" s="25"/>
      <c r="E432" s="25"/>
    </row>
    <row r="433">
      <c r="A433" s="434"/>
      <c r="B433" s="25"/>
      <c r="C433" s="25"/>
      <c r="E433" s="25"/>
    </row>
    <row r="434">
      <c r="A434" s="434"/>
      <c r="B434" s="25"/>
      <c r="C434" s="25"/>
      <c r="E434" s="25"/>
    </row>
    <row r="435">
      <c r="A435" s="434"/>
      <c r="B435" s="25"/>
      <c r="C435" s="25"/>
      <c r="E435" s="25"/>
    </row>
    <row r="436">
      <c r="A436" s="434"/>
      <c r="B436" s="25"/>
      <c r="C436" s="25"/>
      <c r="E436" s="25"/>
    </row>
    <row r="437">
      <c r="A437" s="434"/>
      <c r="B437" s="25"/>
      <c r="C437" s="25"/>
      <c r="E437" s="25"/>
    </row>
    <row r="438">
      <c r="A438" s="434"/>
      <c r="B438" s="25"/>
      <c r="C438" s="25"/>
      <c r="E438" s="25"/>
    </row>
    <row r="439">
      <c r="A439" s="434"/>
      <c r="B439" s="25"/>
      <c r="C439" s="25"/>
      <c r="E439" s="25"/>
    </row>
    <row r="440">
      <c r="A440" s="434"/>
      <c r="B440" s="25"/>
      <c r="C440" s="25"/>
      <c r="E440" s="25"/>
    </row>
    <row r="441">
      <c r="A441" s="434"/>
      <c r="B441" s="25"/>
      <c r="C441" s="25"/>
      <c r="E441" s="25"/>
    </row>
    <row r="442">
      <c r="A442" s="434"/>
      <c r="B442" s="25"/>
      <c r="C442" s="25"/>
      <c r="E442" s="25"/>
    </row>
    <row r="443">
      <c r="A443" s="434"/>
      <c r="B443" s="25"/>
      <c r="C443" s="25"/>
      <c r="E443" s="25"/>
    </row>
    <row r="444">
      <c r="A444" s="434"/>
      <c r="B444" s="25"/>
      <c r="C444" s="25"/>
      <c r="E444" s="25"/>
    </row>
    <row r="445">
      <c r="A445" s="434"/>
      <c r="B445" s="25"/>
      <c r="C445" s="25"/>
      <c r="E445" s="25"/>
    </row>
    <row r="446">
      <c r="A446" s="434"/>
      <c r="B446" s="25"/>
      <c r="C446" s="25"/>
      <c r="E446" s="25"/>
    </row>
    <row r="447">
      <c r="A447" s="434"/>
      <c r="B447" s="25"/>
      <c r="C447" s="25"/>
      <c r="E447" s="25"/>
    </row>
    <row r="448">
      <c r="A448" s="434"/>
      <c r="B448" s="25"/>
      <c r="C448" s="25"/>
      <c r="E448" s="25"/>
    </row>
    <row r="449">
      <c r="A449" s="434"/>
      <c r="B449" s="25"/>
      <c r="C449" s="25"/>
      <c r="E449" s="25"/>
    </row>
    <row r="450">
      <c r="A450" s="434"/>
      <c r="B450" s="25"/>
      <c r="C450" s="25"/>
      <c r="E450" s="25"/>
    </row>
    <row r="451">
      <c r="A451" s="434"/>
      <c r="B451" s="25"/>
      <c r="C451" s="25"/>
      <c r="E451" s="25"/>
    </row>
    <row r="452">
      <c r="A452" s="434"/>
      <c r="B452" s="25"/>
      <c r="C452" s="25"/>
      <c r="E452" s="25"/>
    </row>
    <row r="453">
      <c r="A453" s="434"/>
      <c r="B453" s="25"/>
      <c r="C453" s="25"/>
      <c r="E453" s="25"/>
    </row>
    <row r="454">
      <c r="A454" s="434"/>
      <c r="B454" s="25"/>
      <c r="C454" s="25"/>
      <c r="E454" s="25"/>
    </row>
    <row r="455">
      <c r="A455" s="434"/>
      <c r="B455" s="25"/>
      <c r="C455" s="25"/>
      <c r="E455" s="25"/>
    </row>
    <row r="456">
      <c r="A456" s="434"/>
      <c r="B456" s="25"/>
      <c r="C456" s="25"/>
      <c r="E456" s="25"/>
    </row>
    <row r="457">
      <c r="A457" s="434"/>
      <c r="B457" s="25"/>
      <c r="C457" s="25"/>
      <c r="E457" s="25"/>
    </row>
    <row r="458">
      <c r="A458" s="434"/>
      <c r="B458" s="25"/>
      <c r="C458" s="25"/>
      <c r="E458" s="25"/>
    </row>
    <row r="459">
      <c r="A459" s="434"/>
      <c r="B459" s="25"/>
      <c r="C459" s="25"/>
      <c r="E459" s="25"/>
    </row>
    <row r="460">
      <c r="A460" s="434"/>
      <c r="B460" s="25"/>
      <c r="C460" s="25"/>
      <c r="E460" s="25"/>
    </row>
    <row r="461">
      <c r="A461" s="434"/>
      <c r="B461" s="25"/>
      <c r="C461" s="25"/>
      <c r="E461" s="25"/>
    </row>
    <row r="462">
      <c r="A462" s="434"/>
      <c r="B462" s="25"/>
      <c r="C462" s="25"/>
      <c r="E462" s="25"/>
    </row>
    <row r="463">
      <c r="A463" s="434"/>
      <c r="B463" s="25"/>
      <c r="C463" s="25"/>
      <c r="E463" s="25"/>
    </row>
    <row r="464">
      <c r="A464" s="434"/>
      <c r="B464" s="25"/>
      <c r="C464" s="25"/>
      <c r="E464" s="25"/>
    </row>
    <row r="465">
      <c r="A465" s="434"/>
      <c r="B465" s="25"/>
      <c r="C465" s="25"/>
      <c r="E465" s="25"/>
    </row>
    <row r="466">
      <c r="A466" s="434"/>
      <c r="B466" s="25"/>
      <c r="C466" s="25"/>
      <c r="E466" s="25"/>
    </row>
    <row r="467">
      <c r="A467" s="434"/>
      <c r="B467" s="25"/>
      <c r="C467" s="25"/>
      <c r="E467" s="25"/>
    </row>
    <row r="468">
      <c r="A468" s="434"/>
      <c r="B468" s="25"/>
      <c r="C468" s="25"/>
      <c r="E468" s="25"/>
    </row>
    <row r="469">
      <c r="A469" s="434"/>
      <c r="B469" s="25"/>
      <c r="C469" s="25"/>
      <c r="E469" s="25"/>
    </row>
    <row r="470">
      <c r="A470" s="434"/>
      <c r="B470" s="25"/>
      <c r="C470" s="25"/>
      <c r="E470" s="25"/>
    </row>
    <row r="471">
      <c r="A471" s="434"/>
      <c r="B471" s="25"/>
      <c r="C471" s="25"/>
      <c r="E471" s="25"/>
    </row>
    <row r="472">
      <c r="A472" s="434"/>
      <c r="B472" s="25"/>
      <c r="C472" s="25"/>
      <c r="E472" s="25"/>
    </row>
    <row r="473">
      <c r="A473" s="434"/>
      <c r="B473" s="25"/>
      <c r="C473" s="25"/>
      <c r="E473" s="25"/>
    </row>
    <row r="474">
      <c r="A474" s="434"/>
      <c r="B474" s="25"/>
      <c r="C474" s="25"/>
      <c r="E474" s="25"/>
    </row>
    <row r="475">
      <c r="A475" s="434"/>
      <c r="B475" s="25"/>
      <c r="C475" s="25"/>
      <c r="E475" s="25"/>
    </row>
    <row r="476">
      <c r="A476" s="434"/>
      <c r="B476" s="25"/>
      <c r="C476" s="25"/>
      <c r="E476" s="25"/>
    </row>
    <row r="477">
      <c r="A477" s="434"/>
      <c r="B477" s="25"/>
      <c r="C477" s="25"/>
      <c r="E477" s="25"/>
    </row>
    <row r="478">
      <c r="A478" s="434"/>
      <c r="B478" s="25"/>
      <c r="C478" s="25"/>
      <c r="E478" s="25"/>
    </row>
    <row r="479">
      <c r="A479" s="434"/>
      <c r="B479" s="25"/>
      <c r="C479" s="25"/>
      <c r="E479" s="25"/>
    </row>
    <row r="480">
      <c r="A480" s="434"/>
      <c r="B480" s="25"/>
      <c r="C480" s="25"/>
      <c r="E480" s="25"/>
    </row>
    <row r="481">
      <c r="A481" s="434"/>
      <c r="B481" s="25"/>
      <c r="C481" s="25"/>
      <c r="E481" s="25"/>
    </row>
    <row r="482">
      <c r="A482" s="434"/>
      <c r="B482" s="25"/>
      <c r="C482" s="25"/>
      <c r="E482" s="25"/>
    </row>
    <row r="483">
      <c r="A483" s="434"/>
      <c r="B483" s="25"/>
      <c r="C483" s="25"/>
      <c r="E483" s="25"/>
    </row>
    <row r="484">
      <c r="A484" s="434"/>
      <c r="B484" s="25"/>
      <c r="C484" s="25"/>
      <c r="E484" s="25"/>
    </row>
    <row r="485">
      <c r="A485" s="434"/>
      <c r="B485" s="25"/>
      <c r="C485" s="25"/>
      <c r="E485" s="25"/>
    </row>
    <row r="486">
      <c r="A486" s="434"/>
      <c r="B486" s="25"/>
      <c r="C486" s="25"/>
      <c r="E486" s="25"/>
    </row>
    <row r="487">
      <c r="A487" s="434"/>
      <c r="B487" s="25"/>
      <c r="C487" s="25"/>
      <c r="E487" s="25"/>
    </row>
    <row r="488">
      <c r="A488" s="434"/>
      <c r="B488" s="25"/>
      <c r="C488" s="25"/>
      <c r="E488" s="25"/>
    </row>
    <row r="489">
      <c r="A489" s="434"/>
      <c r="B489" s="25"/>
      <c r="C489" s="25"/>
      <c r="E489" s="25"/>
    </row>
    <row r="490">
      <c r="A490" s="434"/>
      <c r="B490" s="25"/>
      <c r="C490" s="25"/>
      <c r="E490" s="25"/>
    </row>
    <row r="491">
      <c r="A491" s="434"/>
      <c r="B491" s="25"/>
      <c r="C491" s="25"/>
      <c r="E491" s="25"/>
    </row>
    <row r="492">
      <c r="A492" s="434"/>
      <c r="B492" s="25"/>
      <c r="C492" s="25"/>
      <c r="E492" s="25"/>
    </row>
    <row r="493">
      <c r="A493" s="434"/>
      <c r="B493" s="25"/>
      <c r="C493" s="25"/>
      <c r="E493" s="25"/>
    </row>
    <row r="494">
      <c r="A494" s="434"/>
      <c r="B494" s="25"/>
      <c r="C494" s="25"/>
      <c r="E494" s="25"/>
    </row>
    <row r="495">
      <c r="A495" s="434"/>
      <c r="B495" s="25"/>
      <c r="C495" s="25"/>
      <c r="E495" s="25"/>
    </row>
    <row r="496">
      <c r="A496" s="434"/>
      <c r="B496" s="25"/>
      <c r="C496" s="25"/>
      <c r="E496" s="25"/>
    </row>
    <row r="497">
      <c r="A497" s="434"/>
      <c r="B497" s="25"/>
      <c r="C497" s="25"/>
      <c r="E497" s="25"/>
    </row>
    <row r="498">
      <c r="A498" s="434"/>
      <c r="B498" s="25"/>
      <c r="C498" s="25"/>
      <c r="E498" s="25"/>
    </row>
    <row r="499">
      <c r="A499" s="434"/>
      <c r="B499" s="25"/>
      <c r="C499" s="25"/>
      <c r="E499" s="25"/>
    </row>
    <row r="500">
      <c r="A500" s="434"/>
      <c r="B500" s="25"/>
      <c r="C500" s="25"/>
      <c r="E500" s="25"/>
    </row>
    <row r="501">
      <c r="A501" s="434"/>
      <c r="B501" s="25"/>
      <c r="C501" s="25"/>
      <c r="E501" s="25"/>
    </row>
    <row r="502">
      <c r="A502" s="434"/>
      <c r="B502" s="25"/>
      <c r="C502" s="25"/>
      <c r="E502" s="25"/>
    </row>
    <row r="503">
      <c r="A503" s="434"/>
      <c r="B503" s="25"/>
      <c r="C503" s="25"/>
      <c r="E503" s="25"/>
    </row>
    <row r="504">
      <c r="A504" s="434"/>
      <c r="B504" s="25"/>
      <c r="C504" s="25"/>
      <c r="E504" s="25"/>
    </row>
    <row r="505">
      <c r="A505" s="434"/>
      <c r="B505" s="25"/>
      <c r="C505" s="25"/>
      <c r="E505" s="25"/>
    </row>
    <row r="506">
      <c r="A506" s="434"/>
      <c r="B506" s="25"/>
      <c r="C506" s="25"/>
      <c r="E506" s="25"/>
    </row>
    <row r="507">
      <c r="A507" s="434"/>
      <c r="B507" s="25"/>
      <c r="C507" s="25"/>
      <c r="E507" s="25"/>
    </row>
    <row r="508">
      <c r="A508" s="434"/>
      <c r="B508" s="25"/>
      <c r="C508" s="25"/>
      <c r="E508" s="25"/>
    </row>
    <row r="509">
      <c r="A509" s="434"/>
      <c r="B509" s="25"/>
      <c r="C509" s="25"/>
      <c r="E509" s="25"/>
    </row>
    <row r="510">
      <c r="A510" s="434"/>
      <c r="B510" s="25"/>
      <c r="C510" s="25"/>
      <c r="E510" s="25"/>
    </row>
    <row r="511">
      <c r="A511" s="434"/>
      <c r="B511" s="25"/>
      <c r="C511" s="25"/>
      <c r="E511" s="25"/>
    </row>
    <row r="512">
      <c r="A512" s="434"/>
      <c r="B512" s="25"/>
      <c r="C512" s="25"/>
      <c r="E512" s="25"/>
    </row>
    <row r="513">
      <c r="A513" s="434"/>
      <c r="B513" s="25"/>
      <c r="C513" s="25"/>
      <c r="E513" s="25"/>
    </row>
    <row r="514">
      <c r="A514" s="434"/>
      <c r="B514" s="25"/>
      <c r="C514" s="25"/>
      <c r="E514" s="25"/>
    </row>
    <row r="515">
      <c r="A515" s="434"/>
      <c r="B515" s="25"/>
      <c r="C515" s="25"/>
      <c r="E515" s="25"/>
    </row>
    <row r="516">
      <c r="A516" s="434"/>
      <c r="B516" s="25"/>
      <c r="C516" s="25"/>
      <c r="E516" s="25"/>
    </row>
    <row r="517">
      <c r="A517" s="434"/>
      <c r="B517" s="25"/>
      <c r="C517" s="25"/>
      <c r="E517" s="25"/>
    </row>
    <row r="518">
      <c r="A518" s="434"/>
      <c r="B518" s="25"/>
      <c r="C518" s="25"/>
      <c r="E518" s="25"/>
    </row>
    <row r="519">
      <c r="A519" s="434"/>
      <c r="B519" s="25"/>
      <c r="C519" s="25"/>
      <c r="E519" s="25"/>
    </row>
    <row r="520">
      <c r="A520" s="434"/>
      <c r="B520" s="25"/>
      <c r="C520" s="25"/>
      <c r="E520" s="25"/>
    </row>
    <row r="521">
      <c r="A521" s="434"/>
      <c r="B521" s="25"/>
      <c r="C521" s="25"/>
      <c r="E521" s="25"/>
    </row>
    <row r="522">
      <c r="A522" s="434"/>
      <c r="B522" s="25"/>
      <c r="C522" s="25"/>
      <c r="E522" s="25"/>
    </row>
    <row r="523">
      <c r="A523" s="434"/>
      <c r="B523" s="25"/>
      <c r="C523" s="25"/>
      <c r="E523" s="25"/>
    </row>
    <row r="524">
      <c r="A524" s="434"/>
      <c r="B524" s="25"/>
      <c r="C524" s="25"/>
      <c r="E524" s="25"/>
    </row>
    <row r="525">
      <c r="A525" s="434"/>
      <c r="B525" s="25"/>
      <c r="C525" s="25"/>
      <c r="E525" s="25"/>
    </row>
    <row r="526">
      <c r="A526" s="434"/>
      <c r="B526" s="25"/>
      <c r="C526" s="25"/>
      <c r="E526" s="25"/>
    </row>
    <row r="527">
      <c r="A527" s="434"/>
      <c r="B527" s="25"/>
      <c r="C527" s="25"/>
      <c r="E527" s="25"/>
    </row>
    <row r="528">
      <c r="A528" s="434"/>
      <c r="B528" s="25"/>
      <c r="C528" s="25"/>
      <c r="E528" s="25"/>
    </row>
    <row r="529">
      <c r="A529" s="434"/>
      <c r="B529" s="25"/>
      <c r="C529" s="25"/>
      <c r="E529" s="25"/>
    </row>
    <row r="530">
      <c r="A530" s="434"/>
      <c r="B530" s="25"/>
      <c r="C530" s="25"/>
      <c r="E530" s="25"/>
    </row>
    <row r="531">
      <c r="A531" s="434"/>
      <c r="B531" s="25"/>
      <c r="C531" s="25"/>
      <c r="E531" s="25"/>
    </row>
    <row r="532">
      <c r="A532" s="434"/>
      <c r="B532" s="25"/>
      <c r="C532" s="25"/>
      <c r="E532" s="25"/>
    </row>
    <row r="533">
      <c r="A533" s="434"/>
      <c r="B533" s="25"/>
      <c r="C533" s="25"/>
      <c r="E533" s="25"/>
    </row>
    <row r="534">
      <c r="A534" s="434"/>
      <c r="B534" s="25"/>
      <c r="C534" s="25"/>
      <c r="E534" s="25"/>
    </row>
    <row r="535">
      <c r="A535" s="434"/>
      <c r="B535" s="25"/>
      <c r="C535" s="25"/>
      <c r="E535" s="25"/>
    </row>
    <row r="536">
      <c r="A536" s="434"/>
      <c r="B536" s="25"/>
      <c r="C536" s="25"/>
      <c r="E536" s="25"/>
    </row>
    <row r="537">
      <c r="A537" s="434"/>
      <c r="B537" s="25"/>
      <c r="C537" s="25"/>
      <c r="E537" s="25"/>
    </row>
    <row r="538">
      <c r="A538" s="434"/>
      <c r="B538" s="25"/>
      <c r="C538" s="25"/>
      <c r="E538" s="25"/>
    </row>
    <row r="539">
      <c r="A539" s="434"/>
      <c r="B539" s="25"/>
      <c r="C539" s="25"/>
      <c r="E539" s="25"/>
    </row>
    <row r="540">
      <c r="A540" s="434"/>
      <c r="B540" s="25"/>
      <c r="C540" s="25"/>
      <c r="E540" s="25"/>
    </row>
    <row r="541">
      <c r="A541" s="434"/>
      <c r="B541" s="25"/>
      <c r="C541" s="25"/>
      <c r="E541" s="25"/>
    </row>
    <row r="542">
      <c r="A542" s="434"/>
      <c r="B542" s="25"/>
      <c r="C542" s="25"/>
      <c r="E542" s="25"/>
    </row>
    <row r="543">
      <c r="A543" s="434"/>
      <c r="B543" s="25"/>
      <c r="C543" s="25"/>
      <c r="E543" s="25"/>
    </row>
    <row r="544">
      <c r="A544" s="434"/>
      <c r="B544" s="25"/>
      <c r="C544" s="25"/>
      <c r="E544" s="25"/>
    </row>
    <row r="545">
      <c r="A545" s="434"/>
      <c r="B545" s="25"/>
      <c r="C545" s="25"/>
      <c r="E545" s="25"/>
    </row>
    <row r="546">
      <c r="A546" s="434"/>
      <c r="B546" s="25"/>
      <c r="C546" s="25"/>
      <c r="E546" s="25"/>
    </row>
    <row r="547">
      <c r="A547" s="434"/>
      <c r="B547" s="25"/>
      <c r="C547" s="25"/>
      <c r="E547" s="25"/>
    </row>
    <row r="548">
      <c r="A548" s="434"/>
      <c r="B548" s="25"/>
      <c r="C548" s="25"/>
      <c r="E548" s="25"/>
    </row>
    <row r="549">
      <c r="A549" s="434"/>
      <c r="B549" s="25"/>
      <c r="C549" s="25"/>
      <c r="E549" s="25"/>
    </row>
    <row r="550">
      <c r="A550" s="434"/>
      <c r="B550" s="25"/>
      <c r="C550" s="25"/>
      <c r="E550" s="25"/>
    </row>
    <row r="551">
      <c r="A551" s="434"/>
      <c r="B551" s="25"/>
      <c r="C551" s="25"/>
      <c r="E551" s="25"/>
    </row>
    <row r="552">
      <c r="A552" s="434"/>
      <c r="B552" s="25"/>
      <c r="C552" s="25"/>
      <c r="E552" s="25"/>
    </row>
    <row r="553">
      <c r="A553" s="434"/>
      <c r="B553" s="25"/>
      <c r="C553" s="25"/>
      <c r="E553" s="25"/>
    </row>
    <row r="554">
      <c r="A554" s="434"/>
      <c r="B554" s="25"/>
      <c r="C554" s="25"/>
      <c r="E554" s="25"/>
    </row>
    <row r="555">
      <c r="A555" s="434"/>
      <c r="B555" s="25"/>
      <c r="C555" s="25"/>
      <c r="E555" s="25"/>
    </row>
    <row r="556">
      <c r="A556" s="434"/>
      <c r="B556" s="25"/>
      <c r="C556" s="25"/>
      <c r="E556" s="25"/>
    </row>
    <row r="557">
      <c r="A557" s="434"/>
      <c r="B557" s="25"/>
      <c r="C557" s="25"/>
      <c r="E557" s="25"/>
    </row>
    <row r="558">
      <c r="A558" s="434"/>
      <c r="B558" s="25"/>
      <c r="C558" s="25"/>
      <c r="E558" s="25"/>
    </row>
    <row r="559">
      <c r="A559" s="434"/>
      <c r="B559" s="25"/>
      <c r="C559" s="25"/>
      <c r="E559" s="25"/>
    </row>
    <row r="560">
      <c r="A560" s="434"/>
      <c r="B560" s="25"/>
      <c r="C560" s="25"/>
      <c r="E560" s="25"/>
    </row>
    <row r="561">
      <c r="A561" s="434"/>
      <c r="B561" s="25"/>
      <c r="C561" s="25"/>
      <c r="E561" s="25"/>
    </row>
    <row r="562">
      <c r="A562" s="434"/>
      <c r="B562" s="25"/>
      <c r="C562" s="25"/>
      <c r="E562" s="25"/>
    </row>
    <row r="563">
      <c r="A563" s="434"/>
      <c r="B563" s="25"/>
      <c r="C563" s="25"/>
      <c r="E563" s="25"/>
    </row>
    <row r="564">
      <c r="A564" s="434"/>
      <c r="B564" s="25"/>
      <c r="C564" s="25"/>
      <c r="E564" s="25"/>
    </row>
    <row r="565">
      <c r="A565" s="434"/>
      <c r="B565" s="25"/>
      <c r="C565" s="25"/>
      <c r="E565" s="25"/>
    </row>
    <row r="566">
      <c r="A566" s="434"/>
      <c r="B566" s="25"/>
      <c r="C566" s="25"/>
      <c r="E566" s="25"/>
    </row>
    <row r="567">
      <c r="A567" s="434"/>
      <c r="B567" s="25"/>
      <c r="C567" s="25"/>
      <c r="E567" s="25"/>
    </row>
    <row r="568">
      <c r="A568" s="434"/>
      <c r="B568" s="25"/>
      <c r="C568" s="25"/>
      <c r="E568" s="25"/>
    </row>
    <row r="569">
      <c r="A569" s="434"/>
      <c r="B569" s="25"/>
      <c r="C569" s="25"/>
      <c r="E569" s="25"/>
    </row>
    <row r="570">
      <c r="A570" s="434"/>
      <c r="B570" s="25"/>
      <c r="C570" s="25"/>
      <c r="E570" s="25"/>
    </row>
    <row r="571">
      <c r="A571" s="434"/>
      <c r="B571" s="25"/>
      <c r="C571" s="25"/>
      <c r="E571" s="25"/>
    </row>
    <row r="572">
      <c r="A572" s="434"/>
      <c r="B572" s="25"/>
      <c r="C572" s="25"/>
      <c r="E572" s="25"/>
    </row>
    <row r="573">
      <c r="A573" s="434"/>
      <c r="B573" s="25"/>
      <c r="C573" s="25"/>
      <c r="E573" s="25"/>
    </row>
    <row r="574">
      <c r="A574" s="434"/>
      <c r="B574" s="25"/>
      <c r="C574" s="25"/>
      <c r="E574" s="25"/>
    </row>
    <row r="575">
      <c r="A575" s="434"/>
      <c r="B575" s="25"/>
      <c r="C575" s="25"/>
      <c r="E575" s="25"/>
    </row>
    <row r="576">
      <c r="A576" s="434"/>
      <c r="B576" s="25"/>
      <c r="C576" s="25"/>
      <c r="E576" s="25"/>
    </row>
    <row r="577">
      <c r="A577" s="434"/>
      <c r="B577" s="25"/>
      <c r="C577" s="25"/>
      <c r="E577" s="25"/>
    </row>
    <row r="578">
      <c r="A578" s="434"/>
      <c r="B578" s="25"/>
      <c r="C578" s="25"/>
      <c r="E578" s="25"/>
    </row>
    <row r="579">
      <c r="A579" s="434"/>
      <c r="B579" s="25"/>
      <c r="C579" s="25"/>
      <c r="E579" s="25"/>
    </row>
    <row r="580">
      <c r="A580" s="434"/>
      <c r="B580" s="25"/>
      <c r="C580" s="25"/>
      <c r="E580" s="25"/>
    </row>
    <row r="581">
      <c r="A581" s="434"/>
      <c r="B581" s="25"/>
      <c r="C581" s="25"/>
      <c r="E581" s="25"/>
    </row>
    <row r="582">
      <c r="A582" s="434"/>
      <c r="B582" s="25"/>
      <c r="C582" s="25"/>
      <c r="E582" s="25"/>
    </row>
    <row r="583">
      <c r="A583" s="434"/>
      <c r="B583" s="25"/>
      <c r="C583" s="25"/>
      <c r="E583" s="25"/>
    </row>
    <row r="584">
      <c r="A584" s="434"/>
      <c r="B584" s="25"/>
      <c r="C584" s="25"/>
      <c r="E584" s="25"/>
    </row>
    <row r="585">
      <c r="A585" s="434"/>
      <c r="B585" s="25"/>
      <c r="C585" s="25"/>
      <c r="E585" s="25"/>
    </row>
    <row r="586">
      <c r="A586" s="434"/>
      <c r="B586" s="25"/>
      <c r="C586" s="25"/>
      <c r="E586" s="25"/>
    </row>
    <row r="587">
      <c r="A587" s="434"/>
      <c r="B587" s="25"/>
      <c r="C587" s="25"/>
      <c r="E587" s="25"/>
    </row>
    <row r="588">
      <c r="A588" s="434"/>
      <c r="B588" s="25"/>
      <c r="C588" s="25"/>
      <c r="E588" s="25"/>
    </row>
    <row r="589">
      <c r="A589" s="434"/>
      <c r="B589" s="25"/>
      <c r="C589" s="25"/>
      <c r="E589" s="25"/>
    </row>
    <row r="590">
      <c r="A590" s="434"/>
      <c r="B590" s="25"/>
      <c r="C590" s="25"/>
      <c r="E590" s="25"/>
    </row>
    <row r="591">
      <c r="A591" s="434"/>
      <c r="B591" s="25"/>
      <c r="C591" s="25"/>
      <c r="E591" s="25"/>
    </row>
    <row r="592">
      <c r="A592" s="434"/>
      <c r="B592" s="25"/>
      <c r="C592" s="25"/>
      <c r="E592" s="25"/>
    </row>
    <row r="593">
      <c r="A593" s="434"/>
      <c r="B593" s="25"/>
      <c r="C593" s="25"/>
      <c r="E593" s="25"/>
    </row>
    <row r="594">
      <c r="A594" s="434"/>
      <c r="B594" s="25"/>
      <c r="C594" s="25"/>
      <c r="E594" s="25"/>
    </row>
    <row r="595">
      <c r="A595" s="434"/>
      <c r="B595" s="25"/>
      <c r="C595" s="25"/>
      <c r="E595" s="25"/>
    </row>
    <row r="596">
      <c r="A596" s="434"/>
      <c r="B596" s="25"/>
      <c r="C596" s="25"/>
      <c r="E596" s="25"/>
    </row>
    <row r="597">
      <c r="A597" s="434"/>
      <c r="B597" s="25"/>
      <c r="C597" s="25"/>
      <c r="E597" s="25"/>
    </row>
    <row r="598">
      <c r="A598" s="434"/>
      <c r="B598" s="25"/>
      <c r="C598" s="25"/>
      <c r="E598" s="25"/>
    </row>
    <row r="599">
      <c r="A599" s="434"/>
      <c r="B599" s="25"/>
      <c r="C599" s="25"/>
      <c r="E599" s="25"/>
    </row>
    <row r="600">
      <c r="A600" s="434"/>
      <c r="B600" s="25"/>
      <c r="C600" s="25"/>
      <c r="E600" s="25"/>
    </row>
    <row r="601">
      <c r="A601" s="434"/>
      <c r="B601" s="25"/>
      <c r="C601" s="25"/>
      <c r="E601" s="25"/>
    </row>
    <row r="602">
      <c r="A602" s="434"/>
      <c r="B602" s="25"/>
      <c r="C602" s="25"/>
      <c r="E602" s="25"/>
    </row>
    <row r="603">
      <c r="A603" s="434"/>
      <c r="B603" s="25"/>
      <c r="C603" s="25"/>
      <c r="E603" s="25"/>
    </row>
    <row r="604">
      <c r="A604" s="434"/>
      <c r="B604" s="25"/>
      <c r="C604" s="25"/>
      <c r="E604" s="25"/>
    </row>
    <row r="605">
      <c r="A605" s="434"/>
      <c r="B605" s="25"/>
      <c r="C605" s="25"/>
      <c r="E605" s="25"/>
    </row>
    <row r="606">
      <c r="A606" s="434"/>
      <c r="B606" s="25"/>
      <c r="C606" s="25"/>
      <c r="E606" s="25"/>
    </row>
    <row r="607">
      <c r="A607" s="434"/>
      <c r="B607" s="25"/>
      <c r="C607" s="25"/>
      <c r="E607" s="25"/>
    </row>
    <row r="608">
      <c r="A608" s="434"/>
      <c r="B608" s="25"/>
      <c r="C608" s="25"/>
      <c r="E608" s="25"/>
    </row>
    <row r="609">
      <c r="A609" s="434"/>
      <c r="B609" s="25"/>
      <c r="C609" s="25"/>
      <c r="E609" s="25"/>
    </row>
    <row r="610">
      <c r="A610" s="434"/>
      <c r="B610" s="25"/>
      <c r="C610" s="25"/>
      <c r="E610" s="25"/>
    </row>
    <row r="611">
      <c r="A611" s="434"/>
      <c r="B611" s="25"/>
      <c r="C611" s="25"/>
      <c r="E611" s="25"/>
    </row>
    <row r="612">
      <c r="A612" s="434"/>
      <c r="B612" s="25"/>
      <c r="C612" s="25"/>
      <c r="E612" s="25"/>
    </row>
    <row r="613">
      <c r="A613" s="434"/>
      <c r="B613" s="25"/>
      <c r="C613" s="25"/>
      <c r="E613" s="25"/>
    </row>
    <row r="614">
      <c r="A614" s="434"/>
      <c r="B614" s="25"/>
      <c r="C614" s="25"/>
      <c r="E614" s="25"/>
    </row>
    <row r="615">
      <c r="A615" s="434"/>
      <c r="B615" s="25"/>
      <c r="C615" s="25"/>
      <c r="E615" s="25"/>
    </row>
    <row r="616">
      <c r="A616" s="434"/>
      <c r="B616" s="25"/>
      <c r="C616" s="25"/>
      <c r="E616" s="25"/>
    </row>
    <row r="617">
      <c r="A617" s="434"/>
      <c r="B617" s="25"/>
      <c r="C617" s="25"/>
      <c r="E617" s="25"/>
    </row>
    <row r="618">
      <c r="A618" s="434"/>
      <c r="B618" s="25"/>
      <c r="C618" s="25"/>
      <c r="E618" s="25"/>
    </row>
    <row r="619">
      <c r="A619" s="434"/>
      <c r="B619" s="25"/>
      <c r="C619" s="25"/>
      <c r="E619" s="25"/>
    </row>
    <row r="620">
      <c r="A620" s="434"/>
      <c r="B620" s="25"/>
      <c r="C620" s="25"/>
      <c r="E620" s="25"/>
    </row>
    <row r="621">
      <c r="A621" s="434"/>
      <c r="B621" s="25"/>
      <c r="C621" s="25"/>
      <c r="E621" s="25"/>
    </row>
    <row r="622">
      <c r="A622" s="434"/>
      <c r="B622" s="25"/>
      <c r="C622" s="25"/>
      <c r="E622" s="25"/>
    </row>
    <row r="623">
      <c r="A623" s="434"/>
      <c r="B623" s="25"/>
      <c r="C623" s="25"/>
      <c r="E623" s="25"/>
    </row>
    <row r="624">
      <c r="A624" s="434"/>
      <c r="B624" s="25"/>
      <c r="C624" s="25"/>
      <c r="E624" s="25"/>
    </row>
    <row r="625">
      <c r="A625" s="434"/>
      <c r="B625" s="25"/>
      <c r="C625" s="25"/>
      <c r="E625" s="25"/>
    </row>
    <row r="626">
      <c r="A626" s="434"/>
      <c r="B626" s="25"/>
      <c r="C626" s="25"/>
      <c r="E626" s="25"/>
    </row>
    <row r="627">
      <c r="A627" s="434"/>
      <c r="B627" s="25"/>
      <c r="C627" s="25"/>
      <c r="E627" s="25"/>
    </row>
    <row r="628">
      <c r="A628" s="434"/>
      <c r="B628" s="25"/>
      <c r="C628" s="25"/>
      <c r="E628" s="25"/>
    </row>
    <row r="629">
      <c r="A629" s="434"/>
      <c r="B629" s="25"/>
      <c r="C629" s="25"/>
      <c r="E629" s="25"/>
    </row>
    <row r="630">
      <c r="A630" s="434"/>
      <c r="B630" s="25"/>
      <c r="C630" s="25"/>
      <c r="E630" s="25"/>
    </row>
    <row r="631">
      <c r="A631" s="434"/>
      <c r="B631" s="25"/>
      <c r="C631" s="25"/>
      <c r="E631" s="25"/>
    </row>
    <row r="632">
      <c r="A632" s="434"/>
      <c r="B632" s="25"/>
      <c r="C632" s="25"/>
      <c r="E632" s="25"/>
    </row>
    <row r="633">
      <c r="A633" s="434"/>
      <c r="B633" s="25"/>
      <c r="C633" s="25"/>
      <c r="E633" s="25"/>
    </row>
    <row r="634">
      <c r="A634" s="434"/>
      <c r="B634" s="25"/>
      <c r="C634" s="25"/>
      <c r="E634" s="25"/>
    </row>
    <row r="635">
      <c r="A635" s="434"/>
      <c r="B635" s="25"/>
      <c r="C635" s="25"/>
      <c r="E635" s="25"/>
    </row>
    <row r="636">
      <c r="A636" s="434"/>
      <c r="B636" s="25"/>
      <c r="C636" s="25"/>
      <c r="E636" s="25"/>
    </row>
    <row r="637">
      <c r="A637" s="434"/>
      <c r="B637" s="25"/>
      <c r="C637" s="25"/>
      <c r="E637" s="25"/>
    </row>
    <row r="638">
      <c r="A638" s="434"/>
      <c r="B638" s="25"/>
      <c r="C638" s="25"/>
      <c r="E638" s="25"/>
    </row>
    <row r="639">
      <c r="A639" s="434"/>
      <c r="B639" s="25"/>
      <c r="C639" s="25"/>
      <c r="E639" s="25"/>
    </row>
    <row r="640">
      <c r="A640" s="434"/>
      <c r="B640" s="25"/>
      <c r="C640" s="25"/>
      <c r="E640" s="25"/>
    </row>
    <row r="641">
      <c r="A641" s="434"/>
      <c r="B641" s="25"/>
      <c r="C641" s="25"/>
      <c r="E641" s="25"/>
    </row>
    <row r="642">
      <c r="A642" s="434"/>
      <c r="B642" s="25"/>
      <c r="C642" s="25"/>
      <c r="E642" s="25"/>
    </row>
    <row r="643">
      <c r="A643" s="434"/>
      <c r="B643" s="25"/>
      <c r="C643" s="25"/>
      <c r="E643" s="25"/>
    </row>
    <row r="644">
      <c r="A644" s="434"/>
      <c r="B644" s="25"/>
      <c r="C644" s="25"/>
      <c r="E644" s="25"/>
    </row>
    <row r="645">
      <c r="A645" s="434"/>
      <c r="B645" s="25"/>
      <c r="C645" s="25"/>
      <c r="E645" s="25"/>
    </row>
    <row r="646">
      <c r="A646" s="434"/>
      <c r="B646" s="25"/>
      <c r="C646" s="25"/>
      <c r="E646" s="25"/>
    </row>
    <row r="647">
      <c r="A647" s="434"/>
      <c r="B647" s="25"/>
      <c r="C647" s="25"/>
      <c r="E647" s="25"/>
    </row>
    <row r="648">
      <c r="A648" s="434"/>
      <c r="B648" s="25"/>
      <c r="C648" s="25"/>
      <c r="E648" s="25"/>
    </row>
    <row r="649">
      <c r="A649" s="434"/>
      <c r="B649" s="25"/>
      <c r="C649" s="25"/>
      <c r="E649" s="25"/>
    </row>
    <row r="650">
      <c r="A650" s="434"/>
      <c r="B650" s="25"/>
      <c r="C650" s="25"/>
      <c r="E650" s="25"/>
    </row>
    <row r="651">
      <c r="A651" s="434"/>
      <c r="B651" s="25"/>
      <c r="C651" s="25"/>
      <c r="E651" s="25"/>
    </row>
    <row r="652">
      <c r="A652" s="434"/>
      <c r="B652" s="25"/>
      <c r="C652" s="25"/>
      <c r="E652" s="25"/>
    </row>
    <row r="653">
      <c r="A653" s="434"/>
      <c r="B653" s="25"/>
      <c r="C653" s="25"/>
      <c r="E653" s="25"/>
    </row>
    <row r="654">
      <c r="A654" s="434"/>
      <c r="B654" s="25"/>
      <c r="C654" s="25"/>
      <c r="E654" s="25"/>
    </row>
    <row r="655">
      <c r="A655" s="434"/>
      <c r="B655" s="25"/>
      <c r="C655" s="25"/>
      <c r="E655" s="25"/>
    </row>
    <row r="656">
      <c r="A656" s="434"/>
      <c r="B656" s="25"/>
      <c r="C656" s="25"/>
      <c r="E656" s="25"/>
    </row>
    <row r="657">
      <c r="A657" s="434"/>
      <c r="B657" s="25"/>
      <c r="C657" s="25"/>
      <c r="E657" s="25"/>
    </row>
    <row r="658">
      <c r="A658" s="434"/>
      <c r="B658" s="25"/>
      <c r="C658" s="25"/>
      <c r="E658" s="25"/>
    </row>
    <row r="659">
      <c r="A659" s="434"/>
      <c r="B659" s="25"/>
      <c r="C659" s="25"/>
      <c r="E659" s="25"/>
    </row>
    <row r="660">
      <c r="A660" s="434"/>
      <c r="B660" s="25"/>
      <c r="C660" s="25"/>
      <c r="E660" s="25"/>
    </row>
    <row r="661">
      <c r="A661" s="434"/>
      <c r="B661" s="25"/>
      <c r="C661" s="25"/>
      <c r="E661" s="25"/>
    </row>
    <row r="662">
      <c r="A662" s="434"/>
      <c r="B662" s="25"/>
      <c r="C662" s="25"/>
      <c r="E662" s="25"/>
    </row>
    <row r="663">
      <c r="A663" s="434"/>
      <c r="B663" s="25"/>
      <c r="C663" s="25"/>
      <c r="E663" s="25"/>
    </row>
    <row r="664">
      <c r="A664" s="434"/>
      <c r="B664" s="25"/>
      <c r="C664" s="25"/>
      <c r="E664" s="25"/>
    </row>
    <row r="665">
      <c r="A665" s="434"/>
      <c r="B665" s="25"/>
      <c r="C665" s="25"/>
      <c r="E665" s="25"/>
    </row>
    <row r="666">
      <c r="A666" s="434"/>
      <c r="B666" s="25"/>
      <c r="C666" s="25"/>
      <c r="E666" s="25"/>
    </row>
    <row r="667">
      <c r="A667" s="434"/>
      <c r="B667" s="25"/>
      <c r="C667" s="25"/>
      <c r="E667" s="25"/>
    </row>
    <row r="668">
      <c r="A668" s="434"/>
      <c r="B668" s="25"/>
      <c r="C668" s="25"/>
      <c r="E668" s="25"/>
    </row>
    <row r="669">
      <c r="A669" s="434"/>
      <c r="B669" s="25"/>
      <c r="C669" s="25"/>
      <c r="E669" s="25"/>
    </row>
    <row r="670">
      <c r="A670" s="434"/>
      <c r="B670" s="25"/>
      <c r="C670" s="25"/>
      <c r="E670" s="25"/>
    </row>
    <row r="671">
      <c r="A671" s="434"/>
      <c r="B671" s="25"/>
      <c r="C671" s="25"/>
      <c r="E671" s="25"/>
    </row>
    <row r="672">
      <c r="A672" s="434"/>
      <c r="B672" s="25"/>
      <c r="C672" s="25"/>
      <c r="E672" s="25"/>
    </row>
    <row r="673">
      <c r="A673" s="434"/>
      <c r="B673" s="25"/>
      <c r="C673" s="25"/>
      <c r="E673" s="25"/>
    </row>
    <row r="674">
      <c r="A674" s="434"/>
      <c r="B674" s="25"/>
      <c r="C674" s="25"/>
      <c r="E674" s="25"/>
    </row>
    <row r="675">
      <c r="A675" s="434"/>
      <c r="B675" s="25"/>
      <c r="C675" s="25"/>
      <c r="E675" s="25"/>
    </row>
    <row r="676">
      <c r="A676" s="434"/>
      <c r="B676" s="25"/>
      <c r="C676" s="25"/>
      <c r="E676" s="25"/>
    </row>
    <row r="677">
      <c r="A677" s="434"/>
      <c r="B677" s="25"/>
      <c r="C677" s="25"/>
      <c r="E677" s="25"/>
    </row>
    <row r="678">
      <c r="A678" s="434"/>
      <c r="B678" s="25"/>
      <c r="C678" s="25"/>
      <c r="E678" s="25"/>
    </row>
    <row r="679">
      <c r="A679" s="434"/>
      <c r="B679" s="25"/>
      <c r="C679" s="25"/>
      <c r="E679" s="25"/>
    </row>
    <row r="680">
      <c r="A680" s="434"/>
      <c r="B680" s="25"/>
      <c r="C680" s="25"/>
      <c r="E680" s="25"/>
    </row>
    <row r="681">
      <c r="A681" s="434"/>
      <c r="B681" s="25"/>
      <c r="C681" s="25"/>
      <c r="E681" s="25"/>
    </row>
    <row r="682">
      <c r="A682" s="434"/>
      <c r="B682" s="25"/>
      <c r="C682" s="25"/>
      <c r="E682" s="25"/>
    </row>
    <row r="683">
      <c r="A683" s="434"/>
      <c r="B683" s="25"/>
      <c r="C683" s="25"/>
      <c r="E683" s="25"/>
    </row>
    <row r="684">
      <c r="A684" s="434"/>
      <c r="B684" s="25"/>
      <c r="C684" s="25"/>
      <c r="E684" s="25"/>
    </row>
    <row r="685">
      <c r="A685" s="434"/>
      <c r="B685" s="25"/>
      <c r="C685" s="25"/>
      <c r="E685" s="25"/>
    </row>
    <row r="686">
      <c r="A686" s="434"/>
      <c r="B686" s="25"/>
      <c r="C686" s="25"/>
      <c r="E686" s="25"/>
    </row>
    <row r="687">
      <c r="A687" s="434"/>
      <c r="B687" s="25"/>
      <c r="C687" s="25"/>
      <c r="E687" s="25"/>
    </row>
    <row r="688">
      <c r="A688" s="434"/>
      <c r="B688" s="25"/>
      <c r="C688" s="25"/>
      <c r="E688" s="25"/>
    </row>
    <row r="689">
      <c r="A689" s="434"/>
      <c r="B689" s="25"/>
      <c r="C689" s="25"/>
      <c r="E689" s="25"/>
    </row>
    <row r="690">
      <c r="A690" s="434"/>
      <c r="B690" s="25"/>
      <c r="C690" s="25"/>
      <c r="E690" s="25"/>
    </row>
    <row r="691">
      <c r="A691" s="434"/>
      <c r="B691" s="25"/>
      <c r="C691" s="25"/>
      <c r="E691" s="25"/>
    </row>
    <row r="692">
      <c r="A692" s="434"/>
      <c r="B692" s="25"/>
      <c r="C692" s="25"/>
      <c r="E692" s="25"/>
    </row>
    <row r="693">
      <c r="A693" s="434"/>
      <c r="B693" s="25"/>
      <c r="C693" s="25"/>
      <c r="E693" s="25"/>
    </row>
    <row r="694">
      <c r="A694" s="434"/>
      <c r="B694" s="25"/>
      <c r="C694" s="25"/>
      <c r="E694" s="25"/>
    </row>
    <row r="695">
      <c r="A695" s="434"/>
      <c r="B695" s="25"/>
      <c r="C695" s="25"/>
      <c r="E695" s="25"/>
    </row>
    <row r="696">
      <c r="A696" s="434"/>
      <c r="B696" s="25"/>
      <c r="C696" s="25"/>
      <c r="E696" s="25"/>
    </row>
    <row r="697">
      <c r="A697" s="434"/>
      <c r="B697" s="25"/>
      <c r="C697" s="25"/>
      <c r="E697" s="25"/>
    </row>
    <row r="698">
      <c r="A698" s="434"/>
      <c r="B698" s="25"/>
      <c r="C698" s="25"/>
      <c r="E698" s="25"/>
    </row>
    <row r="699">
      <c r="A699" s="434"/>
      <c r="B699" s="25"/>
      <c r="C699" s="25"/>
      <c r="E699" s="25"/>
    </row>
    <row r="700">
      <c r="A700" s="434"/>
      <c r="B700" s="25"/>
      <c r="C700" s="25"/>
      <c r="E700" s="25"/>
    </row>
    <row r="701">
      <c r="A701" s="434"/>
      <c r="B701" s="25"/>
      <c r="C701" s="25"/>
      <c r="E701" s="25"/>
    </row>
    <row r="702">
      <c r="A702" s="434"/>
      <c r="B702" s="25"/>
      <c r="C702" s="25"/>
      <c r="E702" s="25"/>
    </row>
    <row r="703">
      <c r="A703" s="434"/>
      <c r="B703" s="25"/>
      <c r="C703" s="25"/>
      <c r="E703" s="25"/>
    </row>
    <row r="704">
      <c r="A704" s="434"/>
      <c r="B704" s="25"/>
      <c r="C704" s="25"/>
      <c r="E704" s="25"/>
    </row>
    <row r="705">
      <c r="A705" s="434"/>
      <c r="B705" s="25"/>
      <c r="C705" s="25"/>
      <c r="E705" s="25"/>
    </row>
    <row r="706">
      <c r="A706" s="434"/>
      <c r="B706" s="25"/>
      <c r="C706" s="25"/>
      <c r="E706" s="25"/>
    </row>
    <row r="707">
      <c r="A707" s="434"/>
      <c r="B707" s="25"/>
      <c r="C707" s="25"/>
      <c r="E707" s="25"/>
    </row>
    <row r="708">
      <c r="A708" s="434"/>
      <c r="B708" s="25"/>
      <c r="C708" s="25"/>
      <c r="E708" s="25"/>
    </row>
    <row r="709">
      <c r="A709" s="434"/>
      <c r="B709" s="25"/>
      <c r="C709" s="25"/>
      <c r="E709" s="25"/>
    </row>
    <row r="710">
      <c r="A710" s="434"/>
      <c r="B710" s="25"/>
      <c r="C710" s="25"/>
      <c r="E710" s="25"/>
    </row>
    <row r="711">
      <c r="A711" s="434"/>
      <c r="B711" s="25"/>
      <c r="C711" s="25"/>
      <c r="E711" s="25"/>
    </row>
    <row r="712">
      <c r="A712" s="434"/>
      <c r="B712" s="25"/>
      <c r="C712" s="25"/>
      <c r="E712" s="25"/>
    </row>
    <row r="713">
      <c r="A713" s="434"/>
      <c r="B713" s="25"/>
      <c r="C713" s="25"/>
      <c r="E713" s="25"/>
    </row>
    <row r="714">
      <c r="A714" s="434"/>
      <c r="B714" s="25"/>
      <c r="C714" s="25"/>
      <c r="E714" s="25"/>
    </row>
    <row r="715">
      <c r="A715" s="434"/>
      <c r="B715" s="25"/>
      <c r="C715" s="25"/>
      <c r="E715" s="25"/>
    </row>
    <row r="716">
      <c r="A716" s="434"/>
      <c r="B716" s="25"/>
      <c r="C716" s="25"/>
      <c r="E716" s="25"/>
    </row>
    <row r="717">
      <c r="A717" s="434"/>
      <c r="B717" s="25"/>
      <c r="C717" s="25"/>
      <c r="E717" s="25"/>
    </row>
    <row r="718">
      <c r="A718" s="434"/>
      <c r="B718" s="25"/>
      <c r="C718" s="25"/>
      <c r="E718" s="25"/>
    </row>
    <row r="719">
      <c r="A719" s="434"/>
      <c r="B719" s="25"/>
      <c r="C719" s="25"/>
      <c r="E719" s="25"/>
    </row>
    <row r="720">
      <c r="A720" s="434"/>
      <c r="B720" s="25"/>
      <c r="C720" s="25"/>
      <c r="E720" s="25"/>
    </row>
    <row r="721">
      <c r="A721" s="434"/>
      <c r="B721" s="25"/>
      <c r="C721" s="25"/>
      <c r="E721" s="25"/>
    </row>
    <row r="722">
      <c r="A722" s="434"/>
      <c r="B722" s="25"/>
      <c r="C722" s="25"/>
      <c r="E722" s="25"/>
    </row>
    <row r="723">
      <c r="A723" s="434"/>
      <c r="B723" s="25"/>
      <c r="C723" s="25"/>
      <c r="E723" s="25"/>
    </row>
    <row r="724">
      <c r="A724" s="434"/>
      <c r="B724" s="25"/>
      <c r="C724" s="25"/>
      <c r="E724" s="25"/>
    </row>
    <row r="725">
      <c r="A725" s="434"/>
      <c r="B725" s="25"/>
      <c r="C725" s="25"/>
      <c r="E725" s="25"/>
    </row>
    <row r="726">
      <c r="A726" s="434"/>
      <c r="B726" s="25"/>
      <c r="C726" s="25"/>
      <c r="E726" s="25"/>
    </row>
    <row r="727">
      <c r="A727" s="434"/>
      <c r="B727" s="25"/>
      <c r="C727" s="25"/>
      <c r="E727" s="25"/>
    </row>
    <row r="728">
      <c r="A728" s="434"/>
      <c r="B728" s="25"/>
      <c r="C728" s="25"/>
      <c r="E728" s="25"/>
    </row>
    <row r="729">
      <c r="A729" s="434"/>
      <c r="B729" s="25"/>
      <c r="C729" s="25"/>
      <c r="E729" s="25"/>
    </row>
    <row r="730">
      <c r="A730" s="434"/>
      <c r="B730" s="25"/>
      <c r="C730" s="25"/>
      <c r="E730" s="25"/>
    </row>
    <row r="731">
      <c r="A731" s="434"/>
      <c r="B731" s="25"/>
      <c r="C731" s="25"/>
      <c r="E731" s="25"/>
    </row>
    <row r="732">
      <c r="A732" s="434"/>
      <c r="B732" s="25"/>
      <c r="C732" s="25"/>
      <c r="E732" s="25"/>
    </row>
    <row r="733">
      <c r="A733" s="434"/>
      <c r="B733" s="25"/>
      <c r="C733" s="25"/>
      <c r="E733" s="25"/>
    </row>
    <row r="734">
      <c r="A734" s="434"/>
      <c r="B734" s="25"/>
      <c r="C734" s="25"/>
      <c r="E734" s="25"/>
    </row>
    <row r="735">
      <c r="A735" s="434"/>
      <c r="B735" s="25"/>
      <c r="C735" s="25"/>
      <c r="E735" s="25"/>
    </row>
    <row r="736">
      <c r="A736" s="434"/>
      <c r="B736" s="25"/>
      <c r="C736" s="25"/>
      <c r="E736" s="25"/>
    </row>
    <row r="737">
      <c r="A737" s="434"/>
      <c r="B737" s="25"/>
      <c r="C737" s="25"/>
      <c r="E737" s="25"/>
    </row>
    <row r="738">
      <c r="A738" s="434"/>
      <c r="B738" s="25"/>
      <c r="C738" s="25"/>
      <c r="E738" s="25"/>
    </row>
    <row r="739">
      <c r="A739" s="434"/>
      <c r="B739" s="25"/>
      <c r="C739" s="25"/>
      <c r="E739" s="25"/>
    </row>
    <row r="740">
      <c r="A740" s="434"/>
      <c r="B740" s="25"/>
      <c r="C740" s="25"/>
      <c r="E740" s="25"/>
    </row>
    <row r="741">
      <c r="A741" s="434"/>
      <c r="B741" s="25"/>
      <c r="C741" s="25"/>
      <c r="E741" s="25"/>
    </row>
    <row r="742">
      <c r="A742" s="434"/>
      <c r="B742" s="25"/>
      <c r="C742" s="25"/>
      <c r="E742" s="25"/>
    </row>
    <row r="743">
      <c r="A743" s="434"/>
      <c r="B743" s="25"/>
      <c r="C743" s="25"/>
      <c r="E743" s="25"/>
    </row>
    <row r="744">
      <c r="A744" s="434"/>
      <c r="B744" s="25"/>
      <c r="C744" s="25"/>
      <c r="E744" s="25"/>
    </row>
    <row r="745">
      <c r="A745" s="434"/>
      <c r="B745" s="25"/>
      <c r="C745" s="25"/>
      <c r="E745" s="25"/>
    </row>
    <row r="746">
      <c r="A746" s="434"/>
      <c r="B746" s="25"/>
      <c r="C746" s="25"/>
      <c r="E746" s="25"/>
    </row>
    <row r="747">
      <c r="A747" s="434"/>
      <c r="B747" s="25"/>
      <c r="C747" s="25"/>
      <c r="E747" s="25"/>
    </row>
    <row r="748">
      <c r="A748" s="434"/>
      <c r="B748" s="25"/>
      <c r="C748" s="25"/>
      <c r="E748" s="25"/>
    </row>
    <row r="749">
      <c r="A749" s="434"/>
      <c r="B749" s="25"/>
      <c r="C749" s="25"/>
      <c r="E749" s="25"/>
    </row>
    <row r="750">
      <c r="A750" s="434"/>
      <c r="B750" s="25"/>
      <c r="C750" s="25"/>
      <c r="E750" s="25"/>
    </row>
    <row r="751">
      <c r="A751" s="434"/>
      <c r="B751" s="25"/>
      <c r="C751" s="25"/>
      <c r="E751" s="25"/>
    </row>
    <row r="752">
      <c r="A752" s="434"/>
      <c r="B752" s="25"/>
      <c r="C752" s="25"/>
      <c r="E752" s="25"/>
    </row>
    <row r="753">
      <c r="A753" s="434"/>
      <c r="B753" s="25"/>
      <c r="C753" s="25"/>
      <c r="E753" s="25"/>
    </row>
    <row r="754">
      <c r="A754" s="434"/>
      <c r="B754" s="25"/>
      <c r="C754" s="25"/>
      <c r="E754" s="25"/>
    </row>
    <row r="755">
      <c r="A755" s="434"/>
      <c r="B755" s="25"/>
      <c r="C755" s="25"/>
      <c r="E755" s="25"/>
    </row>
    <row r="756">
      <c r="A756" s="434"/>
      <c r="B756" s="25"/>
      <c r="C756" s="25"/>
      <c r="E756" s="25"/>
    </row>
    <row r="757">
      <c r="A757" s="434"/>
      <c r="B757" s="25"/>
      <c r="C757" s="25"/>
      <c r="E757" s="25"/>
    </row>
    <row r="758">
      <c r="A758" s="434"/>
      <c r="B758" s="25"/>
      <c r="C758" s="25"/>
      <c r="E758" s="25"/>
    </row>
    <row r="759">
      <c r="A759" s="434"/>
      <c r="B759" s="25"/>
      <c r="C759" s="25"/>
      <c r="E759" s="25"/>
    </row>
    <row r="760">
      <c r="A760" s="434"/>
      <c r="B760" s="25"/>
      <c r="C760" s="25"/>
      <c r="E760" s="25"/>
    </row>
    <row r="761">
      <c r="A761" s="434"/>
      <c r="B761" s="25"/>
      <c r="C761" s="25"/>
      <c r="E761" s="25"/>
    </row>
    <row r="762">
      <c r="A762" s="434"/>
      <c r="B762" s="25"/>
      <c r="C762" s="25"/>
      <c r="E762" s="25"/>
    </row>
    <row r="763">
      <c r="A763" s="434"/>
      <c r="B763" s="25"/>
      <c r="C763" s="25"/>
      <c r="E763" s="25"/>
    </row>
    <row r="764">
      <c r="A764" s="434"/>
      <c r="B764" s="25"/>
      <c r="C764" s="25"/>
      <c r="E764" s="25"/>
    </row>
    <row r="765">
      <c r="A765" s="434"/>
      <c r="B765" s="25"/>
      <c r="C765" s="25"/>
      <c r="E765" s="25"/>
    </row>
    <row r="766">
      <c r="A766" s="434"/>
      <c r="B766" s="25"/>
      <c r="C766" s="25"/>
      <c r="E766" s="25"/>
    </row>
    <row r="767">
      <c r="A767" s="434"/>
      <c r="B767" s="25"/>
      <c r="C767" s="25"/>
      <c r="E767" s="25"/>
    </row>
    <row r="768">
      <c r="A768" s="434"/>
      <c r="B768" s="25"/>
      <c r="C768" s="25"/>
      <c r="E768" s="25"/>
    </row>
    <row r="769">
      <c r="A769" s="434"/>
      <c r="B769" s="25"/>
      <c r="C769" s="25"/>
      <c r="E769" s="25"/>
    </row>
    <row r="770">
      <c r="A770" s="434"/>
      <c r="B770" s="25"/>
      <c r="C770" s="25"/>
      <c r="E770" s="25"/>
    </row>
    <row r="771">
      <c r="A771" s="434"/>
      <c r="B771" s="25"/>
      <c r="C771" s="25"/>
      <c r="E771" s="25"/>
    </row>
    <row r="772">
      <c r="A772" s="434"/>
      <c r="B772" s="25"/>
      <c r="C772" s="25"/>
      <c r="E772" s="25"/>
    </row>
    <row r="773">
      <c r="A773" s="434"/>
      <c r="B773" s="25"/>
      <c r="C773" s="25"/>
      <c r="E773" s="25"/>
    </row>
    <row r="774">
      <c r="A774" s="434"/>
      <c r="B774" s="25"/>
      <c r="C774" s="25"/>
      <c r="E774" s="25"/>
    </row>
    <row r="775">
      <c r="A775" s="434"/>
      <c r="B775" s="25"/>
      <c r="C775" s="25"/>
      <c r="E775" s="25"/>
    </row>
    <row r="776">
      <c r="A776" s="434"/>
      <c r="B776" s="25"/>
      <c r="C776" s="25"/>
      <c r="E776" s="25"/>
    </row>
    <row r="777">
      <c r="A777" s="434"/>
      <c r="B777" s="25"/>
      <c r="C777" s="25"/>
      <c r="E777" s="25"/>
    </row>
    <row r="778">
      <c r="A778" s="434"/>
      <c r="B778" s="25"/>
      <c r="C778" s="25"/>
      <c r="E778" s="25"/>
    </row>
    <row r="779">
      <c r="A779" s="434"/>
      <c r="B779" s="25"/>
      <c r="C779" s="25"/>
      <c r="E779" s="25"/>
    </row>
    <row r="780">
      <c r="A780" s="434"/>
      <c r="B780" s="25"/>
      <c r="C780" s="25"/>
      <c r="E780" s="25"/>
    </row>
    <row r="781">
      <c r="A781" s="434"/>
      <c r="B781" s="25"/>
      <c r="C781" s="25"/>
      <c r="E781" s="25"/>
    </row>
    <row r="782">
      <c r="A782" s="434"/>
      <c r="B782" s="25"/>
      <c r="C782" s="25"/>
      <c r="E782" s="25"/>
    </row>
    <row r="783">
      <c r="A783" s="434"/>
      <c r="B783" s="25"/>
      <c r="C783" s="25"/>
      <c r="E783" s="25"/>
    </row>
    <row r="784">
      <c r="A784" s="434"/>
      <c r="B784" s="25"/>
      <c r="C784" s="25"/>
      <c r="E784" s="25"/>
    </row>
    <row r="785">
      <c r="A785" s="434"/>
      <c r="B785" s="25"/>
      <c r="C785" s="25"/>
      <c r="E785" s="25"/>
    </row>
    <row r="786">
      <c r="A786" s="434"/>
      <c r="B786" s="25"/>
      <c r="C786" s="25"/>
      <c r="E786" s="25"/>
    </row>
    <row r="787">
      <c r="A787" s="434"/>
      <c r="B787" s="25"/>
      <c r="C787" s="25"/>
      <c r="E787" s="25"/>
    </row>
    <row r="788">
      <c r="A788" s="434"/>
      <c r="B788" s="25"/>
      <c r="C788" s="25"/>
      <c r="E788" s="25"/>
    </row>
    <row r="789">
      <c r="A789" s="434"/>
      <c r="B789" s="25"/>
      <c r="C789" s="25"/>
      <c r="E789" s="25"/>
    </row>
    <row r="790">
      <c r="A790" s="434"/>
      <c r="B790" s="25"/>
      <c r="C790" s="25"/>
      <c r="E790" s="25"/>
    </row>
    <row r="791">
      <c r="A791" s="434"/>
      <c r="B791" s="25"/>
      <c r="C791" s="25"/>
      <c r="E791" s="25"/>
    </row>
    <row r="792">
      <c r="A792" s="434"/>
      <c r="B792" s="25"/>
      <c r="C792" s="25"/>
      <c r="E792" s="25"/>
    </row>
    <row r="793">
      <c r="A793" s="434"/>
      <c r="B793" s="25"/>
      <c r="C793" s="25"/>
      <c r="E793" s="25"/>
    </row>
    <row r="794">
      <c r="A794" s="434"/>
      <c r="B794" s="25"/>
      <c r="C794" s="25"/>
      <c r="E794" s="25"/>
    </row>
    <row r="795">
      <c r="A795" s="434"/>
      <c r="B795" s="25"/>
      <c r="C795" s="25"/>
      <c r="E795" s="25"/>
    </row>
    <row r="796">
      <c r="A796" s="434"/>
      <c r="B796" s="25"/>
      <c r="C796" s="25"/>
      <c r="E796" s="25"/>
    </row>
    <row r="797">
      <c r="A797" s="434"/>
      <c r="B797" s="25"/>
      <c r="C797" s="25"/>
      <c r="E797" s="25"/>
    </row>
    <row r="798">
      <c r="A798" s="434"/>
      <c r="B798" s="25"/>
      <c r="C798" s="25"/>
      <c r="E798" s="25"/>
    </row>
    <row r="799">
      <c r="A799" s="434"/>
      <c r="B799" s="25"/>
      <c r="C799" s="25"/>
      <c r="E799" s="25"/>
    </row>
    <row r="800">
      <c r="A800" s="434"/>
      <c r="B800" s="25"/>
      <c r="C800" s="25"/>
      <c r="E800" s="25"/>
    </row>
    <row r="801">
      <c r="A801" s="434"/>
      <c r="B801" s="25"/>
      <c r="C801" s="25"/>
      <c r="E801" s="25"/>
    </row>
    <row r="802">
      <c r="A802" s="434"/>
      <c r="B802" s="25"/>
      <c r="C802" s="25"/>
      <c r="E802" s="25"/>
    </row>
    <row r="803">
      <c r="A803" s="434"/>
      <c r="B803" s="25"/>
      <c r="C803" s="25"/>
      <c r="E803" s="25"/>
    </row>
    <row r="804">
      <c r="A804" s="434"/>
      <c r="B804" s="25"/>
      <c r="C804" s="25"/>
      <c r="E804" s="25"/>
    </row>
    <row r="805">
      <c r="A805" s="434"/>
      <c r="B805" s="25"/>
      <c r="C805" s="25"/>
      <c r="E805" s="25"/>
    </row>
    <row r="806">
      <c r="A806" s="434"/>
      <c r="B806" s="25"/>
      <c r="C806" s="25"/>
      <c r="E806" s="25"/>
    </row>
    <row r="807">
      <c r="A807" s="434"/>
      <c r="B807" s="25"/>
      <c r="C807" s="25"/>
      <c r="E807" s="25"/>
    </row>
    <row r="808">
      <c r="A808" s="434"/>
      <c r="B808" s="25"/>
      <c r="C808" s="25"/>
      <c r="E808" s="25"/>
    </row>
    <row r="809">
      <c r="A809" s="434"/>
      <c r="B809" s="25"/>
      <c r="C809" s="25"/>
      <c r="E809" s="25"/>
    </row>
    <row r="810">
      <c r="A810" s="434"/>
      <c r="B810" s="25"/>
      <c r="C810" s="25"/>
      <c r="E810" s="25"/>
    </row>
    <row r="811">
      <c r="A811" s="434"/>
      <c r="B811" s="25"/>
      <c r="C811" s="25"/>
      <c r="E811" s="25"/>
    </row>
    <row r="812">
      <c r="A812" s="434"/>
      <c r="B812" s="25"/>
      <c r="C812" s="25"/>
      <c r="E812" s="25"/>
    </row>
    <row r="813">
      <c r="A813" s="434"/>
      <c r="B813" s="25"/>
      <c r="C813" s="25"/>
      <c r="E813" s="25"/>
    </row>
    <row r="814">
      <c r="A814" s="434"/>
      <c r="B814" s="25"/>
      <c r="C814" s="25"/>
      <c r="E814" s="25"/>
    </row>
    <row r="815">
      <c r="A815" s="434"/>
      <c r="B815" s="25"/>
      <c r="C815" s="25"/>
      <c r="E815" s="25"/>
    </row>
    <row r="816">
      <c r="A816" s="434"/>
      <c r="B816" s="25"/>
      <c r="C816" s="25"/>
      <c r="E816" s="25"/>
    </row>
    <row r="817">
      <c r="A817" s="434"/>
      <c r="B817" s="25"/>
      <c r="C817" s="25"/>
      <c r="E817" s="25"/>
    </row>
    <row r="818">
      <c r="A818" s="434"/>
      <c r="B818" s="25"/>
      <c r="C818" s="25"/>
      <c r="E818" s="25"/>
    </row>
    <row r="819">
      <c r="A819" s="434"/>
      <c r="B819" s="25"/>
      <c r="C819" s="25"/>
      <c r="E819" s="25"/>
    </row>
    <row r="820">
      <c r="A820" s="434"/>
      <c r="B820" s="25"/>
      <c r="C820" s="25"/>
      <c r="E820" s="25"/>
    </row>
    <row r="821">
      <c r="A821" s="434"/>
      <c r="B821" s="25"/>
      <c r="C821" s="25"/>
      <c r="E821" s="25"/>
    </row>
    <row r="822">
      <c r="A822" s="434"/>
      <c r="B822" s="25"/>
      <c r="C822" s="25"/>
      <c r="E822" s="25"/>
    </row>
    <row r="823">
      <c r="A823" s="434"/>
      <c r="B823" s="25"/>
      <c r="C823" s="25"/>
      <c r="E823" s="25"/>
    </row>
    <row r="824">
      <c r="A824" s="434"/>
      <c r="B824" s="25"/>
      <c r="C824" s="25"/>
      <c r="E824" s="25"/>
    </row>
    <row r="825">
      <c r="A825" s="434"/>
      <c r="B825" s="25"/>
      <c r="C825" s="25"/>
      <c r="E825" s="25"/>
    </row>
    <row r="826">
      <c r="A826" s="434"/>
      <c r="B826" s="25"/>
      <c r="C826" s="25"/>
      <c r="E826" s="25"/>
    </row>
    <row r="827">
      <c r="A827" s="434"/>
      <c r="B827" s="25"/>
      <c r="C827" s="25"/>
      <c r="E827" s="25"/>
    </row>
    <row r="828">
      <c r="A828" s="434"/>
      <c r="B828" s="25"/>
      <c r="C828" s="25"/>
      <c r="E828" s="25"/>
    </row>
    <row r="829">
      <c r="A829" s="434"/>
      <c r="B829" s="25"/>
      <c r="C829" s="25"/>
      <c r="E829" s="25"/>
    </row>
    <row r="830">
      <c r="A830" s="434"/>
      <c r="B830" s="25"/>
      <c r="C830" s="25"/>
      <c r="E830" s="25"/>
    </row>
    <row r="831">
      <c r="A831" s="434"/>
      <c r="B831" s="25"/>
      <c r="C831" s="25"/>
      <c r="E831" s="25"/>
    </row>
    <row r="832">
      <c r="A832" s="434"/>
      <c r="B832" s="25"/>
      <c r="C832" s="25"/>
      <c r="E832" s="25"/>
    </row>
    <row r="833">
      <c r="A833" s="434"/>
      <c r="B833" s="25"/>
      <c r="C833" s="25"/>
      <c r="E833" s="25"/>
    </row>
    <row r="834">
      <c r="A834" s="434"/>
      <c r="B834" s="25"/>
      <c r="C834" s="25"/>
      <c r="E834" s="25"/>
    </row>
    <row r="835">
      <c r="A835" s="434"/>
      <c r="B835" s="25"/>
      <c r="C835" s="25"/>
      <c r="E835" s="25"/>
    </row>
    <row r="836">
      <c r="A836" s="434"/>
      <c r="B836" s="25"/>
      <c r="C836" s="25"/>
      <c r="E836" s="25"/>
    </row>
    <row r="837">
      <c r="A837" s="434"/>
      <c r="B837" s="25"/>
      <c r="C837" s="25"/>
      <c r="E837" s="25"/>
    </row>
    <row r="838">
      <c r="A838" s="434"/>
      <c r="B838" s="25"/>
      <c r="C838" s="25"/>
      <c r="E838" s="25"/>
    </row>
    <row r="839">
      <c r="A839" s="434"/>
      <c r="B839" s="25"/>
      <c r="C839" s="25"/>
      <c r="E839" s="25"/>
    </row>
    <row r="840">
      <c r="A840" s="434"/>
      <c r="B840" s="25"/>
      <c r="C840" s="25"/>
      <c r="E840" s="25"/>
    </row>
    <row r="841">
      <c r="A841" s="434"/>
      <c r="B841" s="25"/>
      <c r="C841" s="25"/>
      <c r="E841" s="25"/>
    </row>
    <row r="842">
      <c r="A842" s="434"/>
      <c r="B842" s="25"/>
      <c r="C842" s="25"/>
      <c r="E842" s="25"/>
    </row>
    <row r="843">
      <c r="A843" s="434"/>
      <c r="B843" s="25"/>
      <c r="C843" s="25"/>
      <c r="E843" s="25"/>
    </row>
    <row r="844">
      <c r="A844" s="434"/>
      <c r="B844" s="25"/>
      <c r="C844" s="25"/>
      <c r="E844" s="25"/>
    </row>
    <row r="845">
      <c r="A845" s="434"/>
      <c r="B845" s="25"/>
      <c r="C845" s="25"/>
      <c r="E845" s="25"/>
    </row>
    <row r="846">
      <c r="A846" s="434"/>
      <c r="B846" s="25"/>
      <c r="C846" s="25"/>
      <c r="E846" s="25"/>
    </row>
    <row r="847">
      <c r="A847" s="434"/>
      <c r="B847" s="25"/>
      <c r="C847" s="25"/>
      <c r="E847" s="25"/>
    </row>
    <row r="848">
      <c r="A848" s="434"/>
      <c r="B848" s="25"/>
      <c r="C848" s="25"/>
      <c r="E848" s="25"/>
    </row>
    <row r="849">
      <c r="A849" s="434"/>
      <c r="B849" s="25"/>
      <c r="C849" s="25"/>
      <c r="E849" s="25"/>
    </row>
    <row r="850">
      <c r="A850" s="434"/>
      <c r="B850" s="25"/>
      <c r="C850" s="25"/>
      <c r="E850" s="25"/>
    </row>
    <row r="851">
      <c r="A851" s="434"/>
      <c r="B851" s="25"/>
      <c r="C851" s="25"/>
      <c r="E851" s="25"/>
    </row>
    <row r="852">
      <c r="A852" s="434"/>
      <c r="B852" s="25"/>
      <c r="C852" s="25"/>
      <c r="E852" s="25"/>
    </row>
    <row r="853">
      <c r="A853" s="434"/>
      <c r="B853" s="25"/>
      <c r="C853" s="25"/>
      <c r="E853" s="25"/>
    </row>
    <row r="854">
      <c r="A854" s="434"/>
      <c r="B854" s="25"/>
      <c r="C854" s="25"/>
      <c r="E854" s="25"/>
    </row>
    <row r="855">
      <c r="A855" s="434"/>
      <c r="B855" s="25"/>
      <c r="C855" s="25"/>
      <c r="E855" s="25"/>
    </row>
    <row r="856">
      <c r="A856" s="434"/>
      <c r="B856" s="25"/>
      <c r="C856" s="25"/>
      <c r="E856" s="25"/>
    </row>
    <row r="857">
      <c r="A857" s="434"/>
      <c r="B857" s="25"/>
      <c r="C857" s="25"/>
      <c r="E857" s="25"/>
    </row>
    <row r="858">
      <c r="A858" s="434"/>
      <c r="B858" s="25"/>
      <c r="C858" s="25"/>
      <c r="E858" s="25"/>
    </row>
    <row r="859">
      <c r="A859" s="434"/>
      <c r="B859" s="25"/>
      <c r="C859" s="25"/>
      <c r="E859" s="25"/>
    </row>
    <row r="860">
      <c r="A860" s="434"/>
      <c r="B860" s="25"/>
      <c r="C860" s="25"/>
      <c r="E860" s="25"/>
    </row>
    <row r="861">
      <c r="A861" s="434"/>
      <c r="B861" s="25"/>
      <c r="C861" s="25"/>
      <c r="E861" s="25"/>
    </row>
    <row r="862">
      <c r="A862" s="434"/>
      <c r="B862" s="25"/>
      <c r="C862" s="25"/>
      <c r="E862" s="25"/>
    </row>
    <row r="863">
      <c r="A863" s="434"/>
      <c r="B863" s="25"/>
      <c r="C863" s="25"/>
      <c r="E863" s="25"/>
    </row>
    <row r="864">
      <c r="A864" s="434"/>
      <c r="B864" s="25"/>
      <c r="C864" s="25"/>
      <c r="E864" s="25"/>
    </row>
    <row r="865">
      <c r="A865" s="434"/>
      <c r="B865" s="25"/>
      <c r="C865" s="25"/>
      <c r="E865" s="25"/>
    </row>
    <row r="866">
      <c r="A866" s="434"/>
      <c r="B866" s="25"/>
      <c r="C866" s="25"/>
      <c r="E866" s="25"/>
    </row>
    <row r="867">
      <c r="A867" s="434"/>
      <c r="B867" s="25"/>
      <c r="C867" s="25"/>
      <c r="E867" s="25"/>
    </row>
    <row r="868">
      <c r="A868" s="434"/>
      <c r="B868" s="25"/>
      <c r="C868" s="25"/>
      <c r="E868" s="25"/>
    </row>
    <row r="869">
      <c r="A869" s="434"/>
      <c r="B869" s="25"/>
      <c r="C869" s="25"/>
      <c r="E869" s="25"/>
    </row>
    <row r="870">
      <c r="A870" s="434"/>
      <c r="B870" s="25"/>
      <c r="C870" s="25"/>
      <c r="E870" s="25"/>
    </row>
    <row r="871">
      <c r="A871" s="434"/>
      <c r="B871" s="25"/>
      <c r="C871" s="25"/>
      <c r="E871" s="25"/>
    </row>
    <row r="872">
      <c r="A872" s="434"/>
      <c r="B872" s="25"/>
      <c r="C872" s="25"/>
      <c r="E872" s="25"/>
    </row>
    <row r="873">
      <c r="A873" s="434"/>
      <c r="B873" s="25"/>
      <c r="C873" s="25"/>
      <c r="E873" s="25"/>
    </row>
    <row r="874">
      <c r="A874" s="434"/>
      <c r="B874" s="25"/>
      <c r="C874" s="25"/>
      <c r="E874" s="25"/>
    </row>
    <row r="875">
      <c r="A875" s="434"/>
      <c r="B875" s="25"/>
      <c r="C875" s="25"/>
      <c r="E875" s="25"/>
    </row>
    <row r="876">
      <c r="A876" s="434"/>
      <c r="B876" s="25"/>
      <c r="C876" s="25"/>
      <c r="E876" s="25"/>
    </row>
    <row r="877">
      <c r="A877" s="434"/>
      <c r="B877" s="25"/>
      <c r="C877" s="25"/>
      <c r="E877" s="25"/>
    </row>
    <row r="878">
      <c r="A878" s="434"/>
      <c r="B878" s="25"/>
      <c r="C878" s="25"/>
      <c r="E878" s="25"/>
    </row>
    <row r="879">
      <c r="A879" s="434"/>
      <c r="B879" s="25"/>
      <c r="C879" s="25"/>
      <c r="E879" s="25"/>
    </row>
    <row r="880">
      <c r="A880" s="434"/>
      <c r="B880" s="25"/>
      <c r="C880" s="25"/>
      <c r="E880" s="25"/>
    </row>
    <row r="881">
      <c r="A881" s="434"/>
      <c r="B881" s="25"/>
      <c r="C881" s="25"/>
      <c r="E881" s="25"/>
    </row>
    <row r="882">
      <c r="A882" s="434"/>
      <c r="B882" s="25"/>
      <c r="C882" s="25"/>
      <c r="E882" s="25"/>
    </row>
    <row r="883">
      <c r="A883" s="434"/>
      <c r="B883" s="25"/>
      <c r="C883" s="25"/>
      <c r="E883" s="25"/>
    </row>
    <row r="884">
      <c r="A884" s="434"/>
      <c r="B884" s="25"/>
      <c r="C884" s="25"/>
      <c r="E884" s="25"/>
    </row>
    <row r="885">
      <c r="A885" s="434"/>
      <c r="B885" s="25"/>
      <c r="C885" s="25"/>
      <c r="E885" s="25"/>
    </row>
    <row r="886">
      <c r="A886" s="434"/>
      <c r="B886" s="25"/>
      <c r="C886" s="25"/>
      <c r="E886" s="25"/>
    </row>
    <row r="887">
      <c r="A887" s="434"/>
      <c r="B887" s="25"/>
      <c r="C887" s="25"/>
      <c r="E887" s="25"/>
    </row>
    <row r="888">
      <c r="A888" s="434"/>
      <c r="B888" s="25"/>
      <c r="C888" s="25"/>
      <c r="E888" s="25"/>
    </row>
    <row r="889">
      <c r="A889" s="434"/>
      <c r="B889" s="25"/>
      <c r="C889" s="25"/>
      <c r="E889" s="25"/>
    </row>
    <row r="890">
      <c r="A890" s="434"/>
      <c r="B890" s="25"/>
      <c r="C890" s="25"/>
      <c r="E890" s="25"/>
    </row>
    <row r="891">
      <c r="A891" s="434"/>
      <c r="B891" s="25"/>
      <c r="C891" s="25"/>
      <c r="E891" s="25"/>
    </row>
    <row r="892">
      <c r="A892" s="434"/>
      <c r="B892" s="25"/>
      <c r="C892" s="25"/>
      <c r="E892" s="25"/>
    </row>
    <row r="893">
      <c r="A893" s="434"/>
      <c r="B893" s="25"/>
      <c r="C893" s="25"/>
      <c r="E893" s="25"/>
    </row>
    <row r="894">
      <c r="A894" s="434"/>
      <c r="B894" s="25"/>
      <c r="C894" s="25"/>
      <c r="E894" s="25"/>
    </row>
    <row r="895">
      <c r="A895" s="434"/>
      <c r="B895" s="25"/>
      <c r="C895" s="25"/>
      <c r="E895" s="25"/>
    </row>
    <row r="896">
      <c r="A896" s="434"/>
      <c r="B896" s="25"/>
      <c r="C896" s="25"/>
      <c r="E896" s="25"/>
    </row>
    <row r="897">
      <c r="A897" s="434"/>
      <c r="B897" s="25"/>
      <c r="C897" s="25"/>
      <c r="E897" s="25"/>
    </row>
    <row r="898">
      <c r="A898" s="434"/>
      <c r="B898" s="25"/>
      <c r="C898" s="25"/>
      <c r="E898" s="25"/>
    </row>
    <row r="899">
      <c r="A899" s="434"/>
      <c r="B899" s="25"/>
      <c r="C899" s="25"/>
      <c r="E899" s="25"/>
    </row>
    <row r="900">
      <c r="A900" s="434"/>
      <c r="B900" s="25"/>
      <c r="C900" s="25"/>
      <c r="E900" s="25"/>
    </row>
    <row r="901">
      <c r="A901" s="434"/>
      <c r="B901" s="25"/>
      <c r="C901" s="25"/>
      <c r="E901" s="25"/>
    </row>
    <row r="902">
      <c r="A902" s="434"/>
      <c r="B902" s="25"/>
      <c r="C902" s="25"/>
      <c r="E902" s="25"/>
    </row>
    <row r="903">
      <c r="A903" s="434"/>
      <c r="B903" s="25"/>
      <c r="C903" s="25"/>
      <c r="E903" s="25"/>
    </row>
    <row r="904">
      <c r="A904" s="434"/>
      <c r="B904" s="25"/>
      <c r="C904" s="25"/>
      <c r="E904" s="25"/>
    </row>
    <row r="905">
      <c r="A905" s="434"/>
      <c r="B905" s="25"/>
      <c r="C905" s="25"/>
      <c r="E905" s="25"/>
    </row>
    <row r="906">
      <c r="A906" s="434"/>
      <c r="B906" s="25"/>
      <c r="C906" s="25"/>
      <c r="E906" s="25"/>
    </row>
    <row r="907">
      <c r="A907" s="434"/>
      <c r="B907" s="25"/>
      <c r="C907" s="25"/>
      <c r="E907" s="25"/>
    </row>
    <row r="908">
      <c r="A908" s="434"/>
      <c r="B908" s="25"/>
      <c r="C908" s="25"/>
      <c r="E908" s="25"/>
    </row>
    <row r="909">
      <c r="A909" s="434"/>
      <c r="B909" s="25"/>
      <c r="C909" s="25"/>
      <c r="E909" s="25"/>
    </row>
    <row r="910">
      <c r="A910" s="434"/>
      <c r="B910" s="25"/>
      <c r="C910" s="25"/>
      <c r="E910" s="25"/>
    </row>
    <row r="911">
      <c r="A911" s="434"/>
      <c r="B911" s="25"/>
      <c r="C911" s="25"/>
      <c r="E911" s="25"/>
    </row>
    <row r="912">
      <c r="A912" s="434"/>
      <c r="B912" s="25"/>
      <c r="C912" s="25"/>
      <c r="E912" s="25"/>
    </row>
    <row r="913">
      <c r="A913" s="434"/>
      <c r="B913" s="25"/>
      <c r="C913" s="25"/>
      <c r="E913" s="25"/>
    </row>
    <row r="914">
      <c r="A914" s="434"/>
      <c r="B914" s="25"/>
      <c r="C914" s="25"/>
      <c r="E914" s="25"/>
    </row>
    <row r="915">
      <c r="A915" s="434"/>
      <c r="B915" s="25"/>
      <c r="C915" s="25"/>
      <c r="E915" s="25"/>
    </row>
    <row r="916">
      <c r="A916" s="434"/>
      <c r="B916" s="25"/>
      <c r="C916" s="25"/>
      <c r="E916" s="25"/>
    </row>
    <row r="917">
      <c r="A917" s="434"/>
      <c r="B917" s="25"/>
      <c r="C917" s="25"/>
      <c r="E917" s="25"/>
    </row>
    <row r="918">
      <c r="A918" s="434"/>
      <c r="B918" s="25"/>
      <c r="C918" s="25"/>
      <c r="E918" s="25"/>
    </row>
    <row r="919">
      <c r="A919" s="434"/>
      <c r="B919" s="25"/>
      <c r="C919" s="25"/>
      <c r="E919" s="25"/>
    </row>
    <row r="920">
      <c r="A920" s="434"/>
      <c r="B920" s="25"/>
      <c r="C920" s="25"/>
      <c r="E920" s="25"/>
    </row>
    <row r="921">
      <c r="A921" s="434"/>
      <c r="B921" s="25"/>
      <c r="C921" s="25"/>
      <c r="E921" s="25"/>
    </row>
    <row r="922">
      <c r="A922" s="434"/>
      <c r="B922" s="25"/>
      <c r="C922" s="25"/>
      <c r="E922" s="25"/>
    </row>
    <row r="923">
      <c r="A923" s="434"/>
      <c r="B923" s="25"/>
      <c r="C923" s="25"/>
      <c r="E923" s="25"/>
    </row>
    <row r="924">
      <c r="A924" s="434"/>
      <c r="B924" s="25"/>
      <c r="C924" s="25"/>
      <c r="E924" s="25"/>
    </row>
    <row r="925">
      <c r="A925" s="434"/>
      <c r="B925" s="25"/>
      <c r="C925" s="25"/>
      <c r="E925" s="25"/>
    </row>
    <row r="926">
      <c r="A926" s="434"/>
      <c r="B926" s="25"/>
      <c r="C926" s="25"/>
      <c r="E926" s="25"/>
    </row>
    <row r="927">
      <c r="A927" s="434"/>
      <c r="B927" s="25"/>
      <c r="C927" s="25"/>
      <c r="E927" s="25"/>
    </row>
    <row r="928">
      <c r="A928" s="434"/>
      <c r="B928" s="25"/>
      <c r="C928" s="25"/>
      <c r="E928" s="25"/>
    </row>
    <row r="929">
      <c r="A929" s="434"/>
      <c r="B929" s="25"/>
      <c r="C929" s="25"/>
      <c r="E929" s="25"/>
    </row>
    <row r="930">
      <c r="A930" s="434"/>
      <c r="B930" s="25"/>
      <c r="C930" s="25"/>
      <c r="E930" s="25"/>
    </row>
    <row r="931">
      <c r="A931" s="434"/>
      <c r="B931" s="25"/>
      <c r="C931" s="25"/>
      <c r="E931" s="25"/>
    </row>
    <row r="932">
      <c r="A932" s="434"/>
      <c r="B932" s="25"/>
      <c r="C932" s="25"/>
      <c r="E932" s="25"/>
    </row>
    <row r="933">
      <c r="A933" s="434"/>
      <c r="B933" s="25"/>
      <c r="C933" s="25"/>
      <c r="E933" s="25"/>
    </row>
    <row r="934">
      <c r="A934" s="434"/>
      <c r="B934" s="25"/>
      <c r="C934" s="25"/>
      <c r="E934" s="25"/>
    </row>
    <row r="935">
      <c r="A935" s="434"/>
      <c r="B935" s="25"/>
      <c r="C935" s="25"/>
      <c r="E935" s="25"/>
    </row>
    <row r="936">
      <c r="A936" s="434"/>
      <c r="B936" s="25"/>
      <c r="C936" s="25"/>
      <c r="E936" s="25"/>
    </row>
    <row r="937">
      <c r="A937" s="434"/>
      <c r="B937" s="25"/>
      <c r="C937" s="25"/>
      <c r="E937" s="25"/>
    </row>
    <row r="938">
      <c r="A938" s="434"/>
      <c r="B938" s="25"/>
      <c r="C938" s="25"/>
      <c r="E938" s="25"/>
    </row>
    <row r="939">
      <c r="A939" s="434"/>
      <c r="B939" s="25"/>
      <c r="C939" s="25"/>
      <c r="E939" s="25"/>
    </row>
    <row r="940">
      <c r="A940" s="434"/>
      <c r="B940" s="25"/>
      <c r="C940" s="25"/>
      <c r="E940" s="25"/>
    </row>
    <row r="941">
      <c r="A941" s="434"/>
      <c r="B941" s="25"/>
      <c r="C941" s="25"/>
      <c r="E941" s="25"/>
    </row>
    <row r="942">
      <c r="A942" s="434"/>
      <c r="B942" s="25"/>
      <c r="C942" s="25"/>
      <c r="E942" s="25"/>
    </row>
    <row r="943">
      <c r="A943" s="434"/>
      <c r="B943" s="25"/>
      <c r="C943" s="25"/>
      <c r="E943" s="25"/>
    </row>
    <row r="944">
      <c r="A944" s="434"/>
      <c r="B944" s="25"/>
      <c r="C944" s="25"/>
      <c r="E944" s="25"/>
    </row>
    <row r="945">
      <c r="A945" s="434"/>
      <c r="B945" s="25"/>
      <c r="C945" s="25"/>
      <c r="E945" s="25"/>
    </row>
    <row r="946">
      <c r="A946" s="434"/>
      <c r="B946" s="25"/>
      <c r="C946" s="25"/>
      <c r="E946" s="25"/>
    </row>
    <row r="947">
      <c r="A947" s="434"/>
      <c r="B947" s="25"/>
      <c r="C947" s="25"/>
      <c r="E947" s="25"/>
    </row>
    <row r="948">
      <c r="A948" s="434"/>
      <c r="B948" s="25"/>
      <c r="C948" s="25"/>
      <c r="E948" s="25"/>
    </row>
    <row r="949">
      <c r="A949" s="434"/>
      <c r="B949" s="25"/>
      <c r="C949" s="25"/>
      <c r="E949" s="25"/>
    </row>
    <row r="950">
      <c r="A950" s="434"/>
      <c r="B950" s="25"/>
      <c r="C950" s="25"/>
      <c r="E950" s="25"/>
    </row>
    <row r="951">
      <c r="A951" s="434"/>
      <c r="B951" s="25"/>
      <c r="C951" s="25"/>
      <c r="E951" s="25"/>
    </row>
    <row r="952">
      <c r="A952" s="434"/>
      <c r="B952" s="25"/>
      <c r="C952" s="25"/>
      <c r="E952" s="25"/>
    </row>
    <row r="953">
      <c r="A953" s="434"/>
      <c r="B953" s="25"/>
      <c r="C953" s="25"/>
      <c r="E953" s="25"/>
    </row>
    <row r="954">
      <c r="A954" s="434"/>
      <c r="B954" s="25"/>
      <c r="C954" s="25"/>
      <c r="E954" s="25"/>
    </row>
    <row r="955">
      <c r="A955" s="434"/>
      <c r="B955" s="25"/>
      <c r="C955" s="25"/>
      <c r="E955" s="25"/>
    </row>
    <row r="956">
      <c r="A956" s="434"/>
      <c r="B956" s="25"/>
      <c r="C956" s="25"/>
      <c r="E956" s="25"/>
    </row>
    <row r="957">
      <c r="A957" s="434"/>
      <c r="B957" s="25"/>
      <c r="C957" s="25"/>
      <c r="E957" s="25"/>
    </row>
    <row r="958">
      <c r="A958" s="434"/>
      <c r="B958" s="25"/>
      <c r="C958" s="25"/>
      <c r="E958" s="25"/>
    </row>
    <row r="959">
      <c r="A959" s="434"/>
      <c r="B959" s="25"/>
      <c r="C959" s="25"/>
      <c r="E959" s="25"/>
    </row>
    <row r="960">
      <c r="A960" s="434"/>
      <c r="B960" s="25"/>
      <c r="C960" s="25"/>
      <c r="E960" s="25"/>
    </row>
    <row r="961">
      <c r="A961" s="434"/>
      <c r="B961" s="25"/>
      <c r="C961" s="25"/>
      <c r="E961" s="25"/>
    </row>
    <row r="962">
      <c r="A962" s="434"/>
      <c r="B962" s="25"/>
      <c r="C962" s="25"/>
      <c r="E962" s="25"/>
    </row>
    <row r="963">
      <c r="A963" s="434"/>
      <c r="B963" s="25"/>
      <c r="C963" s="25"/>
      <c r="E963" s="25"/>
    </row>
    <row r="964">
      <c r="A964" s="434"/>
      <c r="B964" s="25"/>
      <c r="C964" s="25"/>
      <c r="E964" s="25"/>
    </row>
    <row r="965">
      <c r="A965" s="434"/>
      <c r="B965" s="25"/>
      <c r="C965" s="25"/>
      <c r="E965" s="25"/>
    </row>
    <row r="966">
      <c r="A966" s="434"/>
      <c r="B966" s="25"/>
      <c r="C966" s="25"/>
      <c r="E966" s="25"/>
    </row>
    <row r="967">
      <c r="A967" s="434"/>
      <c r="B967" s="25"/>
      <c r="C967" s="25"/>
      <c r="E967" s="25"/>
    </row>
    <row r="968">
      <c r="A968" s="434"/>
      <c r="B968" s="25"/>
      <c r="C968" s="25"/>
      <c r="E968" s="25"/>
    </row>
    <row r="969">
      <c r="A969" s="434"/>
      <c r="B969" s="25"/>
      <c r="C969" s="25"/>
      <c r="E969" s="25"/>
    </row>
    <row r="970">
      <c r="A970" s="434"/>
      <c r="B970" s="25"/>
      <c r="C970" s="25"/>
      <c r="E970" s="25"/>
    </row>
    <row r="971">
      <c r="A971" s="434"/>
      <c r="B971" s="25"/>
      <c r="C971" s="25"/>
      <c r="E971" s="25"/>
    </row>
    <row r="972">
      <c r="A972" s="434"/>
      <c r="B972" s="25"/>
      <c r="C972" s="25"/>
      <c r="E972" s="25"/>
    </row>
    <row r="973">
      <c r="A973" s="434"/>
      <c r="B973" s="25"/>
      <c r="C973" s="25"/>
      <c r="E973" s="25"/>
    </row>
    <row r="974">
      <c r="A974" s="434"/>
      <c r="B974" s="25"/>
      <c r="C974" s="25"/>
      <c r="E974" s="25"/>
    </row>
    <row r="975">
      <c r="A975" s="434"/>
      <c r="B975" s="25"/>
      <c r="C975" s="25"/>
      <c r="E975" s="25"/>
    </row>
    <row r="976">
      <c r="A976" s="434"/>
      <c r="B976" s="25"/>
      <c r="C976" s="25"/>
      <c r="E976" s="25"/>
    </row>
    <row r="977">
      <c r="A977" s="434"/>
      <c r="B977" s="25"/>
      <c r="C977" s="25"/>
      <c r="E977" s="25"/>
    </row>
    <row r="978">
      <c r="A978" s="434"/>
      <c r="B978" s="25"/>
      <c r="C978" s="25"/>
      <c r="E978" s="25"/>
    </row>
    <row r="979">
      <c r="A979" s="434"/>
      <c r="B979" s="25"/>
      <c r="C979" s="25"/>
      <c r="E979" s="25"/>
    </row>
    <row r="980">
      <c r="A980" s="434"/>
      <c r="B980" s="25"/>
      <c r="C980" s="25"/>
      <c r="E980" s="25"/>
    </row>
    <row r="981">
      <c r="A981" s="434"/>
      <c r="B981" s="25"/>
      <c r="C981" s="25"/>
      <c r="E981" s="25"/>
    </row>
    <row r="982">
      <c r="A982" s="434"/>
      <c r="B982" s="25"/>
      <c r="C982" s="25"/>
      <c r="E982" s="25"/>
    </row>
    <row r="983">
      <c r="A983" s="434"/>
      <c r="B983" s="25"/>
      <c r="C983" s="25"/>
      <c r="E983" s="25"/>
    </row>
    <row r="984">
      <c r="A984" s="434"/>
      <c r="B984" s="25"/>
      <c r="C984" s="25"/>
      <c r="E984" s="25"/>
    </row>
    <row r="985">
      <c r="A985" s="434"/>
      <c r="B985" s="25"/>
      <c r="C985" s="25"/>
      <c r="E985" s="25"/>
    </row>
    <row r="986">
      <c r="A986" s="434"/>
      <c r="B986" s="25"/>
      <c r="C986" s="25"/>
      <c r="E986" s="25"/>
    </row>
    <row r="987">
      <c r="A987" s="434"/>
      <c r="B987" s="25"/>
      <c r="C987" s="25"/>
      <c r="E987" s="25"/>
    </row>
    <row r="988">
      <c r="A988" s="434"/>
      <c r="B988" s="25"/>
      <c r="C988" s="25"/>
      <c r="E988" s="25"/>
    </row>
    <row r="989">
      <c r="A989" s="434"/>
      <c r="B989" s="25"/>
      <c r="C989" s="25"/>
      <c r="E989" s="25"/>
    </row>
    <row r="990">
      <c r="A990" s="434"/>
      <c r="B990" s="25"/>
      <c r="C990" s="25"/>
      <c r="E990" s="25"/>
    </row>
    <row r="991">
      <c r="A991" s="434"/>
      <c r="B991" s="25"/>
      <c r="C991" s="25"/>
      <c r="E991" s="25"/>
    </row>
    <row r="992">
      <c r="A992" s="434"/>
      <c r="B992" s="25"/>
      <c r="C992" s="25"/>
      <c r="E992" s="25"/>
    </row>
    <row r="993">
      <c r="A993" s="434"/>
      <c r="B993" s="25"/>
      <c r="C993" s="25"/>
      <c r="E993" s="25"/>
    </row>
    <row r="994">
      <c r="A994" s="434"/>
      <c r="B994" s="25"/>
      <c r="C994" s="25"/>
      <c r="E994" s="25"/>
    </row>
    <row r="995">
      <c r="A995" s="434"/>
      <c r="B995" s="25"/>
      <c r="C995" s="25"/>
      <c r="E995" s="25"/>
    </row>
    <row r="996">
      <c r="A996" s="434"/>
      <c r="B996" s="25"/>
      <c r="C996" s="25"/>
      <c r="E996" s="25"/>
    </row>
    <row r="997">
      <c r="A997" s="434"/>
      <c r="B997" s="25"/>
      <c r="C997" s="25"/>
      <c r="E997" s="25"/>
    </row>
    <row r="998">
      <c r="A998" s="434"/>
      <c r="B998" s="25"/>
      <c r="C998" s="25"/>
      <c r="E998" s="25"/>
    </row>
    <row r="999">
      <c r="A999" s="434"/>
      <c r="B999" s="25"/>
      <c r="C999" s="25"/>
      <c r="E999" s="25"/>
    </row>
    <row r="1000">
      <c r="A1000" s="434"/>
      <c r="B1000" s="25"/>
      <c r="C1000" s="25"/>
      <c r="E1000" s="25"/>
    </row>
    <row r="1001">
      <c r="A1001" s="434"/>
      <c r="B1001" s="25"/>
      <c r="C1001" s="25"/>
      <c r="E1001" s="25"/>
    </row>
    <row r="1002">
      <c r="A1002" s="434"/>
      <c r="B1002" s="25"/>
      <c r="C1002" s="25"/>
      <c r="E1002" s="25"/>
    </row>
    <row r="1003">
      <c r="A1003" s="434"/>
      <c r="B1003" s="25"/>
      <c r="C1003" s="25"/>
      <c r="E1003" s="25"/>
    </row>
    <row r="1004">
      <c r="A1004" s="434"/>
      <c r="B1004" s="25"/>
      <c r="C1004" s="25"/>
      <c r="E1004" s="25"/>
    </row>
    <row r="1005">
      <c r="A1005" s="434"/>
      <c r="B1005" s="25"/>
      <c r="C1005" s="25"/>
      <c r="E1005" s="25"/>
    </row>
    <row r="1006">
      <c r="A1006" s="434"/>
      <c r="B1006" s="25"/>
      <c r="C1006" s="25"/>
      <c r="E1006" s="25"/>
    </row>
    <row r="1007">
      <c r="A1007" s="434"/>
      <c r="B1007" s="25"/>
      <c r="C1007" s="25"/>
      <c r="E1007" s="25"/>
    </row>
    <row r="1008">
      <c r="A1008" s="434"/>
      <c r="B1008" s="25"/>
      <c r="C1008" s="25"/>
      <c r="E1008" s="25"/>
    </row>
    <row r="1009">
      <c r="A1009" s="434"/>
      <c r="B1009" s="25"/>
      <c r="C1009" s="25"/>
      <c r="E1009" s="25"/>
    </row>
    <row r="1010">
      <c r="A1010" s="434"/>
      <c r="B1010" s="25"/>
      <c r="C1010" s="25"/>
      <c r="E1010" s="25"/>
    </row>
    <row r="1011">
      <c r="A1011" s="434"/>
      <c r="B1011" s="25"/>
      <c r="C1011" s="25"/>
      <c r="E1011" s="25"/>
    </row>
    <row r="1012">
      <c r="A1012" s="434"/>
      <c r="B1012" s="25"/>
      <c r="C1012" s="25"/>
      <c r="E1012" s="25"/>
    </row>
    <row r="1013">
      <c r="A1013" s="434"/>
      <c r="B1013" s="25"/>
      <c r="C1013" s="25"/>
      <c r="E1013" s="25"/>
    </row>
    <row r="1014">
      <c r="A1014" s="434"/>
      <c r="B1014" s="25"/>
      <c r="C1014" s="25"/>
      <c r="E1014" s="25"/>
    </row>
    <row r="1015">
      <c r="A1015" s="434"/>
      <c r="B1015" s="25"/>
      <c r="C1015" s="25"/>
      <c r="E1015" s="25"/>
    </row>
    <row r="1016">
      <c r="A1016" s="434"/>
      <c r="B1016" s="25"/>
      <c r="C1016" s="25"/>
      <c r="E1016" s="25"/>
    </row>
    <row r="1017">
      <c r="A1017" s="434"/>
      <c r="B1017" s="25"/>
      <c r="C1017" s="25"/>
      <c r="E1017" s="25"/>
    </row>
    <row r="1018">
      <c r="A1018" s="434"/>
      <c r="B1018" s="25"/>
      <c r="C1018" s="25"/>
      <c r="E1018" s="25"/>
    </row>
    <row r="1019">
      <c r="A1019" s="434"/>
      <c r="B1019" s="25"/>
      <c r="C1019" s="25"/>
      <c r="E1019" s="25"/>
    </row>
    <row r="1020">
      <c r="A1020" s="434"/>
      <c r="B1020" s="25"/>
      <c r="C1020" s="25"/>
      <c r="E1020" s="25"/>
    </row>
    <row r="1021">
      <c r="A1021" s="434"/>
      <c r="B1021" s="25"/>
      <c r="C1021" s="25"/>
      <c r="E1021" s="25"/>
    </row>
    <row r="1022">
      <c r="A1022" s="434"/>
      <c r="B1022" s="25"/>
      <c r="C1022" s="25"/>
      <c r="E1022" s="25"/>
    </row>
    <row r="1023">
      <c r="A1023" s="434"/>
      <c r="B1023" s="25"/>
      <c r="C1023" s="25"/>
      <c r="E1023" s="25"/>
    </row>
    <row r="1024">
      <c r="A1024" s="434"/>
      <c r="B1024" s="25"/>
      <c r="C1024" s="25"/>
      <c r="E1024" s="25"/>
    </row>
    <row r="1025">
      <c r="A1025" s="434"/>
      <c r="B1025" s="25"/>
      <c r="C1025" s="25"/>
      <c r="E1025" s="25"/>
    </row>
    <row r="1026">
      <c r="A1026" s="434"/>
      <c r="B1026" s="25"/>
      <c r="C1026" s="25"/>
      <c r="E1026" s="25"/>
    </row>
    <row r="1027">
      <c r="A1027" s="434"/>
      <c r="B1027" s="25"/>
      <c r="C1027" s="25"/>
      <c r="E1027" s="25"/>
    </row>
    <row r="1028">
      <c r="A1028" s="434"/>
      <c r="B1028" s="25"/>
      <c r="C1028" s="25"/>
      <c r="E1028" s="25"/>
    </row>
    <row r="1029">
      <c r="A1029" s="434"/>
      <c r="B1029" s="25"/>
      <c r="C1029" s="25"/>
      <c r="E1029" s="25"/>
    </row>
    <row r="1030">
      <c r="A1030" s="434"/>
      <c r="B1030" s="25"/>
      <c r="C1030" s="25"/>
      <c r="E1030" s="25"/>
    </row>
    <row r="1031">
      <c r="A1031" s="434"/>
      <c r="B1031" s="25"/>
      <c r="C1031" s="25"/>
      <c r="E1031" s="25"/>
    </row>
    <row r="1032">
      <c r="A1032" s="434"/>
      <c r="B1032" s="25"/>
      <c r="C1032" s="25"/>
      <c r="E1032" s="25"/>
    </row>
    <row r="1033">
      <c r="A1033" s="434"/>
      <c r="B1033" s="25"/>
      <c r="C1033" s="25"/>
      <c r="E1033" s="25"/>
    </row>
    <row r="1034">
      <c r="A1034" s="434"/>
      <c r="B1034" s="25"/>
      <c r="C1034" s="25"/>
      <c r="E1034" s="25"/>
    </row>
    <row r="1035">
      <c r="A1035" s="434"/>
      <c r="B1035" s="25"/>
      <c r="C1035" s="25"/>
      <c r="E1035" s="25"/>
    </row>
    <row r="1036">
      <c r="A1036" s="434"/>
      <c r="B1036" s="25"/>
      <c r="C1036" s="25"/>
      <c r="E1036" s="25"/>
    </row>
    <row r="1037">
      <c r="A1037" s="434"/>
      <c r="B1037" s="25"/>
      <c r="C1037" s="25"/>
      <c r="E1037" s="25"/>
    </row>
    <row r="1038">
      <c r="A1038" s="434"/>
      <c r="B1038" s="25"/>
      <c r="C1038" s="25"/>
      <c r="E1038" s="25"/>
    </row>
    <row r="1039">
      <c r="A1039" s="434"/>
      <c r="B1039" s="25"/>
      <c r="C1039" s="25"/>
      <c r="E1039" s="25"/>
    </row>
    <row r="1040">
      <c r="A1040" s="434"/>
      <c r="B1040" s="25"/>
      <c r="C1040" s="25"/>
      <c r="E1040" s="25"/>
    </row>
    <row r="1041">
      <c r="A1041" s="434"/>
      <c r="B1041" s="25"/>
      <c r="C1041" s="25"/>
      <c r="E1041" s="25"/>
    </row>
    <row r="1042">
      <c r="A1042" s="434"/>
      <c r="B1042" s="25"/>
      <c r="C1042" s="25"/>
      <c r="E1042" s="25"/>
    </row>
    <row r="1043">
      <c r="A1043" s="434"/>
      <c r="B1043" s="25"/>
      <c r="C1043" s="25"/>
      <c r="E1043" s="25"/>
    </row>
  </sheetData>
  <printOptions/>
  <pageMargins bottom="0.787401575" footer="0.0" header="0.0" left="0.511811024" right="0.511811024" top="0.7874015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0.43"/>
    <col customWidth="1" min="3" max="3" width="8.86"/>
    <col customWidth="1" min="4" max="4" width="12.71"/>
    <col customWidth="1" min="5" max="5" width="112.57"/>
    <col customWidth="1" min="6" max="26" width="9.14"/>
  </cols>
  <sheetData>
    <row r="1">
      <c r="A1" s="25"/>
      <c r="B1" s="449"/>
      <c r="C1" s="449"/>
      <c r="D1" s="449"/>
      <c r="E1" s="25"/>
      <c r="F1" s="25"/>
      <c r="G1" s="25"/>
      <c r="H1" s="25"/>
      <c r="I1" s="25"/>
      <c r="J1" s="25"/>
      <c r="K1" s="25"/>
      <c r="L1" s="25"/>
      <c r="M1" s="25"/>
      <c r="N1" s="25"/>
      <c r="O1" s="25"/>
      <c r="P1" s="25"/>
      <c r="Q1" s="25"/>
      <c r="R1" s="25"/>
      <c r="S1" s="25"/>
      <c r="T1" s="25"/>
      <c r="U1" s="25"/>
      <c r="V1" s="25"/>
      <c r="W1" s="25"/>
      <c r="X1" s="25"/>
      <c r="Y1" s="25"/>
      <c r="Z1" s="25"/>
    </row>
    <row r="2">
      <c r="A2" s="25"/>
      <c r="B2" s="450" t="s">
        <v>132</v>
      </c>
      <c r="C2" s="451" t="s">
        <v>133</v>
      </c>
      <c r="D2" s="451" t="s">
        <v>134</v>
      </c>
      <c r="E2" s="452" t="s">
        <v>135</v>
      </c>
      <c r="F2" s="25"/>
      <c r="G2" s="25"/>
      <c r="H2" s="25"/>
      <c r="I2" s="25"/>
      <c r="J2" s="25"/>
      <c r="K2" s="25"/>
      <c r="L2" s="25"/>
      <c r="M2" s="25"/>
      <c r="N2" s="25"/>
      <c r="O2" s="25"/>
      <c r="P2" s="25"/>
      <c r="Q2" s="25"/>
      <c r="R2" s="25"/>
      <c r="S2" s="25"/>
      <c r="T2" s="25"/>
      <c r="U2" s="25"/>
      <c r="V2" s="25"/>
      <c r="W2" s="25"/>
      <c r="X2" s="25"/>
      <c r="Y2" s="25"/>
      <c r="Z2" s="25"/>
    </row>
    <row r="3">
      <c r="A3" s="25"/>
      <c r="B3" s="453" t="s">
        <v>136</v>
      </c>
      <c r="C3" s="435">
        <v>0.05</v>
      </c>
      <c r="D3" s="454">
        <v>1200000.0</v>
      </c>
      <c r="E3" s="455" t="s">
        <v>137</v>
      </c>
      <c r="F3" s="25"/>
      <c r="G3" s="25"/>
      <c r="H3" s="25"/>
      <c r="I3" s="25"/>
      <c r="J3" s="25"/>
      <c r="K3" s="25"/>
      <c r="L3" s="25"/>
      <c r="M3" s="25"/>
      <c r="N3" s="25"/>
      <c r="O3" s="25"/>
      <c r="P3" s="25"/>
      <c r="Q3" s="25"/>
      <c r="R3" s="25"/>
      <c r="S3" s="25"/>
      <c r="T3" s="25"/>
      <c r="U3" s="25"/>
      <c r="V3" s="25"/>
      <c r="W3" s="25"/>
      <c r="X3" s="25"/>
      <c r="Y3" s="25"/>
      <c r="Z3" s="25"/>
    </row>
    <row r="4">
      <c r="A4" s="25"/>
      <c r="B4" s="456" t="s">
        <v>138</v>
      </c>
      <c r="C4" s="435">
        <v>0.08</v>
      </c>
      <c r="D4" s="454">
        <v>1920000.0</v>
      </c>
      <c r="E4" s="457" t="s">
        <v>139</v>
      </c>
      <c r="F4" s="25"/>
      <c r="G4" s="25"/>
      <c r="H4" s="25"/>
      <c r="I4" s="25"/>
      <c r="J4" s="25"/>
      <c r="K4" s="25"/>
      <c r="L4" s="25"/>
      <c r="M4" s="25"/>
      <c r="N4" s="25"/>
      <c r="O4" s="25"/>
      <c r="P4" s="25"/>
      <c r="Q4" s="25"/>
      <c r="R4" s="25"/>
      <c r="S4" s="25"/>
      <c r="T4" s="25"/>
      <c r="U4" s="25"/>
      <c r="V4" s="25"/>
      <c r="W4" s="25"/>
      <c r="X4" s="25"/>
      <c r="Y4" s="25"/>
      <c r="Z4" s="25"/>
    </row>
    <row r="5">
      <c r="A5" s="25"/>
      <c r="B5" s="456" t="s">
        <v>140</v>
      </c>
      <c r="C5" s="435">
        <v>0.1</v>
      </c>
      <c r="D5" s="454">
        <v>2400000.0</v>
      </c>
      <c r="E5" s="457" t="s">
        <v>141</v>
      </c>
      <c r="F5" s="25"/>
      <c r="G5" s="25"/>
      <c r="H5" s="25"/>
      <c r="I5" s="25"/>
      <c r="J5" s="25"/>
      <c r="K5" s="25"/>
      <c r="L5" s="25"/>
      <c r="M5" s="25"/>
      <c r="N5" s="25"/>
      <c r="O5" s="25"/>
      <c r="P5" s="25"/>
      <c r="Q5" s="25"/>
      <c r="R5" s="25"/>
      <c r="S5" s="25"/>
      <c r="T5" s="25"/>
      <c r="U5" s="25"/>
      <c r="V5" s="25"/>
      <c r="W5" s="25"/>
      <c r="X5" s="25"/>
      <c r="Y5" s="25"/>
      <c r="Z5" s="25"/>
    </row>
    <row r="6">
      <c r="A6" s="25"/>
      <c r="B6" s="456" t="s">
        <v>142</v>
      </c>
      <c r="C6" s="435">
        <v>0.16</v>
      </c>
      <c r="D6" s="454">
        <v>3840000.0</v>
      </c>
      <c r="E6" s="457" t="s">
        <v>143</v>
      </c>
      <c r="F6" s="25"/>
      <c r="G6" s="25"/>
      <c r="H6" s="25"/>
      <c r="I6" s="25"/>
      <c r="J6" s="25"/>
      <c r="K6" s="25"/>
      <c r="L6" s="25"/>
      <c r="M6" s="25"/>
      <c r="N6" s="25"/>
      <c r="O6" s="25"/>
      <c r="P6" s="25"/>
      <c r="Q6" s="25"/>
      <c r="R6" s="25"/>
      <c r="S6" s="25"/>
      <c r="T6" s="25"/>
      <c r="U6" s="25"/>
      <c r="V6" s="25"/>
      <c r="W6" s="25"/>
      <c r="X6" s="25"/>
      <c r="Y6" s="25"/>
      <c r="Z6" s="25"/>
    </row>
    <row r="7">
      <c r="A7" s="25"/>
      <c r="B7" s="456" t="s">
        <v>144</v>
      </c>
      <c r="C7" s="435">
        <v>0.2</v>
      </c>
      <c r="D7" s="454">
        <v>4800000.0</v>
      </c>
      <c r="E7" s="457" t="s">
        <v>145</v>
      </c>
      <c r="F7" s="25"/>
      <c r="G7" s="25"/>
      <c r="H7" s="25"/>
      <c r="I7" s="25"/>
      <c r="J7" s="25"/>
      <c r="K7" s="25"/>
      <c r="L7" s="25"/>
      <c r="M7" s="25"/>
      <c r="N7" s="25"/>
      <c r="O7" s="25"/>
      <c r="P7" s="25"/>
      <c r="Q7" s="25"/>
      <c r="R7" s="25"/>
      <c r="S7" s="25"/>
      <c r="T7" s="25"/>
      <c r="U7" s="25"/>
      <c r="V7" s="25"/>
      <c r="W7" s="25"/>
      <c r="X7" s="25"/>
      <c r="Y7" s="25"/>
      <c r="Z7" s="25"/>
    </row>
    <row r="8">
      <c r="A8" s="25"/>
      <c r="B8" s="456" t="s">
        <v>146</v>
      </c>
      <c r="C8" s="435">
        <v>0.21</v>
      </c>
      <c r="D8" s="454">
        <v>5040000.0</v>
      </c>
      <c r="E8" s="457" t="s">
        <v>147</v>
      </c>
      <c r="F8" s="25"/>
      <c r="G8" s="25"/>
      <c r="H8" s="25"/>
      <c r="I8" s="25"/>
      <c r="J8" s="25"/>
      <c r="K8" s="25"/>
      <c r="L8" s="25"/>
      <c r="M8" s="25"/>
      <c r="N8" s="25"/>
      <c r="O8" s="25"/>
      <c r="P8" s="25"/>
      <c r="Q8" s="25"/>
      <c r="R8" s="25"/>
      <c r="S8" s="25"/>
      <c r="T8" s="25"/>
      <c r="U8" s="25"/>
      <c r="V8" s="25"/>
      <c r="W8" s="25"/>
      <c r="X8" s="25"/>
      <c r="Y8" s="25"/>
      <c r="Z8" s="25"/>
    </row>
    <row r="9">
      <c r="A9" s="25"/>
      <c r="B9" s="456" t="s">
        <v>148</v>
      </c>
      <c r="C9" s="435">
        <v>0.2</v>
      </c>
      <c r="D9" s="454">
        <v>4800000.0</v>
      </c>
      <c r="E9" s="457" t="s">
        <v>149</v>
      </c>
      <c r="F9" s="25"/>
      <c r="G9" s="25"/>
      <c r="H9" s="25"/>
      <c r="I9" s="25"/>
      <c r="J9" s="25"/>
      <c r="K9" s="25"/>
      <c r="L9" s="25"/>
      <c r="M9" s="25"/>
      <c r="N9" s="25"/>
      <c r="O9" s="25"/>
      <c r="P9" s="25"/>
      <c r="Q9" s="25"/>
      <c r="R9" s="25"/>
      <c r="S9" s="25"/>
      <c r="T9" s="25"/>
      <c r="U9" s="25"/>
      <c r="V9" s="25"/>
      <c r="W9" s="25"/>
      <c r="X9" s="25"/>
      <c r="Y9" s="25"/>
      <c r="Z9" s="25"/>
    </row>
    <row r="10">
      <c r="A10" s="25"/>
      <c r="B10" s="458" t="s">
        <v>150</v>
      </c>
      <c r="C10" s="459">
        <f t="shared" ref="C10:D10" si="1">SUM(C3:C9)</f>
        <v>1</v>
      </c>
      <c r="D10" s="460">
        <f t="shared" si="1"/>
        <v>24000000</v>
      </c>
      <c r="E10" s="461" t="s">
        <v>151</v>
      </c>
      <c r="F10" s="25"/>
      <c r="G10" s="25"/>
      <c r="H10" s="25"/>
      <c r="I10" s="25"/>
      <c r="J10" s="25"/>
      <c r="K10" s="25"/>
      <c r="L10" s="25"/>
      <c r="M10" s="25"/>
      <c r="N10" s="25"/>
      <c r="O10" s="25"/>
      <c r="P10" s="25"/>
      <c r="Q10" s="25"/>
      <c r="R10" s="25"/>
      <c r="S10" s="25"/>
      <c r="T10" s="25"/>
      <c r="U10" s="25"/>
      <c r="V10" s="25"/>
      <c r="W10" s="25"/>
      <c r="X10" s="25"/>
      <c r="Y10" s="25"/>
      <c r="Z10" s="25"/>
    </row>
    <row r="11">
      <c r="A11" s="25"/>
      <c r="B11" s="449"/>
      <c r="C11" s="449"/>
      <c r="D11" s="449"/>
      <c r="E11" s="25"/>
      <c r="F11" s="25"/>
      <c r="G11" s="25"/>
      <c r="H11" s="25"/>
      <c r="I11" s="25"/>
      <c r="J11" s="25"/>
      <c r="K11" s="25"/>
      <c r="L11" s="25"/>
      <c r="M11" s="25"/>
      <c r="N11" s="25"/>
      <c r="O11" s="25"/>
      <c r="P11" s="25"/>
      <c r="Q11" s="25"/>
      <c r="R11" s="25"/>
      <c r="S11" s="25"/>
      <c r="T11" s="25"/>
      <c r="U11" s="25"/>
      <c r="V11" s="25"/>
      <c r="W11" s="25"/>
      <c r="X11" s="25"/>
      <c r="Y11" s="25"/>
      <c r="Z11" s="25"/>
    </row>
    <row r="12">
      <c r="A12" s="25"/>
      <c r="B12" s="449"/>
      <c r="C12" s="449"/>
      <c r="D12" s="449"/>
      <c r="E12" s="25"/>
      <c r="F12" s="25"/>
      <c r="G12" s="25"/>
      <c r="H12" s="25"/>
      <c r="I12" s="25"/>
      <c r="J12" s="25"/>
      <c r="K12" s="25"/>
      <c r="L12" s="25"/>
      <c r="M12" s="25"/>
      <c r="N12" s="25"/>
      <c r="O12" s="25"/>
      <c r="P12" s="25"/>
      <c r="Q12" s="25"/>
      <c r="R12" s="25"/>
      <c r="S12" s="25"/>
      <c r="T12" s="25"/>
      <c r="U12" s="25"/>
      <c r="V12" s="25"/>
      <c r="W12" s="25"/>
      <c r="X12" s="25"/>
      <c r="Y12" s="25"/>
      <c r="Z12" s="25"/>
    </row>
    <row r="13">
      <c r="A13" s="25"/>
      <c r="B13" s="449"/>
      <c r="C13" s="449"/>
      <c r="D13" s="449"/>
      <c r="E13" s="25"/>
      <c r="F13" s="25"/>
      <c r="G13" s="25"/>
      <c r="H13" s="25"/>
      <c r="I13" s="25"/>
      <c r="J13" s="25"/>
      <c r="K13" s="25"/>
      <c r="L13" s="25"/>
      <c r="M13" s="25"/>
      <c r="N13" s="25"/>
      <c r="O13" s="25"/>
      <c r="P13" s="25"/>
      <c r="Q13" s="25"/>
      <c r="R13" s="25"/>
      <c r="S13" s="25"/>
      <c r="T13" s="25"/>
      <c r="U13" s="25"/>
      <c r="V13" s="25"/>
      <c r="W13" s="25"/>
      <c r="X13" s="25"/>
      <c r="Y13" s="25"/>
      <c r="Z13" s="25"/>
    </row>
    <row r="14">
      <c r="A14" s="25"/>
      <c r="B14" s="449"/>
      <c r="C14" s="449"/>
      <c r="D14" s="449"/>
      <c r="E14" s="25"/>
      <c r="F14" s="25"/>
      <c r="G14" s="25"/>
      <c r="H14" s="25"/>
      <c r="I14" s="25"/>
      <c r="J14" s="25"/>
      <c r="K14" s="25"/>
      <c r="L14" s="25"/>
      <c r="M14" s="25"/>
      <c r="N14" s="25"/>
      <c r="O14" s="25"/>
      <c r="P14" s="25"/>
      <c r="Q14" s="25"/>
      <c r="R14" s="25"/>
      <c r="S14" s="25"/>
      <c r="T14" s="25"/>
      <c r="U14" s="25"/>
      <c r="V14" s="25"/>
      <c r="W14" s="25"/>
      <c r="X14" s="25"/>
      <c r="Y14" s="25"/>
      <c r="Z14" s="25"/>
    </row>
    <row r="15">
      <c r="A15" s="25"/>
      <c r="B15" s="449"/>
      <c r="C15" s="449"/>
      <c r="D15" s="449"/>
      <c r="E15" s="25"/>
      <c r="F15" s="25"/>
      <c r="G15" s="25"/>
      <c r="H15" s="25"/>
      <c r="I15" s="25"/>
      <c r="J15" s="25"/>
      <c r="K15" s="25"/>
      <c r="L15" s="25"/>
      <c r="M15" s="25"/>
      <c r="N15" s="25"/>
      <c r="O15" s="25"/>
      <c r="P15" s="25"/>
      <c r="Q15" s="25"/>
      <c r="R15" s="25"/>
      <c r="S15" s="25"/>
      <c r="T15" s="25"/>
      <c r="U15" s="25"/>
      <c r="V15" s="25"/>
      <c r="W15" s="25"/>
      <c r="X15" s="25"/>
      <c r="Y15" s="25"/>
      <c r="Z15" s="25"/>
    </row>
    <row r="16">
      <c r="A16" s="25"/>
      <c r="B16" s="449"/>
      <c r="C16" s="449"/>
      <c r="D16" s="449"/>
      <c r="E16" s="25"/>
      <c r="F16" s="25"/>
      <c r="G16" s="25"/>
      <c r="H16" s="25"/>
      <c r="I16" s="25"/>
      <c r="J16" s="25"/>
      <c r="K16" s="25"/>
      <c r="L16" s="25"/>
      <c r="M16" s="25"/>
      <c r="N16" s="25"/>
      <c r="O16" s="25"/>
      <c r="P16" s="25"/>
      <c r="Q16" s="25"/>
      <c r="R16" s="25"/>
      <c r="S16" s="25"/>
      <c r="T16" s="25"/>
      <c r="U16" s="25"/>
      <c r="V16" s="25"/>
      <c r="W16" s="25"/>
      <c r="X16" s="25"/>
      <c r="Y16" s="25"/>
      <c r="Z16" s="25"/>
    </row>
    <row r="17">
      <c r="A17" s="25"/>
      <c r="B17" s="449"/>
      <c r="C17" s="449"/>
      <c r="D17" s="449"/>
      <c r="E17" s="25"/>
      <c r="F17" s="25"/>
      <c r="G17" s="25"/>
      <c r="H17" s="25"/>
      <c r="I17" s="25"/>
      <c r="J17" s="25"/>
      <c r="K17" s="25"/>
      <c r="L17" s="25"/>
      <c r="M17" s="25"/>
      <c r="N17" s="25"/>
      <c r="O17" s="25"/>
      <c r="P17" s="25"/>
      <c r="Q17" s="25"/>
      <c r="R17" s="25"/>
      <c r="S17" s="25"/>
      <c r="T17" s="25"/>
      <c r="U17" s="25"/>
      <c r="V17" s="25"/>
      <c r="W17" s="25"/>
      <c r="X17" s="25"/>
      <c r="Y17" s="25"/>
      <c r="Z17" s="25"/>
    </row>
    <row r="18">
      <c r="A18" s="25"/>
      <c r="B18" s="449"/>
      <c r="C18" s="449"/>
      <c r="D18" s="449"/>
      <c r="E18" s="25"/>
      <c r="F18" s="25"/>
      <c r="G18" s="25"/>
      <c r="H18" s="25"/>
      <c r="I18" s="25"/>
      <c r="J18" s="25"/>
      <c r="K18" s="25"/>
      <c r="L18" s="25"/>
      <c r="M18" s="25"/>
      <c r="N18" s="25"/>
      <c r="O18" s="25"/>
      <c r="P18" s="25"/>
      <c r="Q18" s="25"/>
      <c r="R18" s="25"/>
      <c r="S18" s="25"/>
      <c r="T18" s="25"/>
      <c r="U18" s="25"/>
      <c r="V18" s="25"/>
      <c r="W18" s="25"/>
      <c r="X18" s="25"/>
      <c r="Y18" s="25"/>
      <c r="Z18" s="25"/>
    </row>
    <row r="19">
      <c r="A19" s="25"/>
      <c r="B19" s="449"/>
      <c r="C19" s="449"/>
      <c r="D19" s="449"/>
      <c r="E19" s="25"/>
      <c r="F19" s="25"/>
      <c r="G19" s="25"/>
      <c r="H19" s="25"/>
      <c r="I19" s="25"/>
      <c r="J19" s="25"/>
      <c r="K19" s="25"/>
      <c r="L19" s="25"/>
      <c r="M19" s="25"/>
      <c r="N19" s="25"/>
      <c r="O19" s="25"/>
      <c r="P19" s="25"/>
      <c r="Q19" s="25"/>
      <c r="R19" s="25"/>
      <c r="S19" s="25"/>
      <c r="T19" s="25"/>
      <c r="U19" s="25"/>
      <c r="V19" s="25"/>
      <c r="W19" s="25"/>
      <c r="X19" s="25"/>
      <c r="Y19" s="25"/>
      <c r="Z19" s="25"/>
    </row>
    <row r="20">
      <c r="A20" s="25"/>
      <c r="B20" s="449"/>
      <c r="C20" s="449"/>
      <c r="D20" s="449"/>
      <c r="E20" s="25"/>
      <c r="F20" s="25"/>
      <c r="G20" s="25"/>
      <c r="H20" s="25"/>
      <c r="I20" s="25"/>
      <c r="J20" s="25"/>
      <c r="K20" s="25"/>
      <c r="L20" s="25"/>
      <c r="M20" s="25"/>
      <c r="N20" s="25"/>
      <c r="O20" s="25"/>
      <c r="P20" s="25"/>
      <c r="Q20" s="25"/>
      <c r="R20" s="25"/>
      <c r="S20" s="25"/>
      <c r="T20" s="25"/>
      <c r="U20" s="25"/>
      <c r="V20" s="25"/>
      <c r="W20" s="25"/>
      <c r="X20" s="25"/>
      <c r="Y20" s="25"/>
      <c r="Z20" s="25"/>
    </row>
    <row r="21" ht="15.75" customHeight="1">
      <c r="A21" s="25"/>
      <c r="B21" s="449"/>
      <c r="C21" s="449"/>
      <c r="D21" s="449"/>
      <c r="E21" s="25"/>
      <c r="F21" s="25"/>
      <c r="G21" s="25"/>
      <c r="H21" s="25"/>
      <c r="I21" s="25"/>
      <c r="J21" s="25"/>
      <c r="K21" s="25"/>
      <c r="L21" s="25"/>
      <c r="M21" s="25"/>
      <c r="N21" s="25"/>
      <c r="O21" s="25"/>
      <c r="P21" s="25"/>
      <c r="Q21" s="25"/>
      <c r="R21" s="25"/>
      <c r="S21" s="25"/>
      <c r="T21" s="25"/>
      <c r="U21" s="25"/>
      <c r="V21" s="25"/>
      <c r="W21" s="25"/>
      <c r="X21" s="25"/>
      <c r="Y21" s="25"/>
      <c r="Z21" s="25"/>
    </row>
    <row r="22" ht="15.75" customHeight="1">
      <c r="A22" s="25"/>
      <c r="B22" s="449"/>
      <c r="C22" s="449"/>
      <c r="D22" s="449"/>
      <c r="E22" s="25"/>
      <c r="F22" s="25"/>
      <c r="G22" s="25"/>
      <c r="H22" s="25"/>
      <c r="I22" s="25"/>
      <c r="J22" s="25"/>
      <c r="K22" s="25"/>
      <c r="L22" s="25"/>
      <c r="M22" s="25"/>
      <c r="N22" s="25"/>
      <c r="O22" s="25"/>
      <c r="P22" s="25"/>
      <c r="Q22" s="25"/>
      <c r="R22" s="25"/>
      <c r="S22" s="25"/>
      <c r="T22" s="25"/>
      <c r="U22" s="25"/>
      <c r="V22" s="25"/>
      <c r="W22" s="25"/>
      <c r="X22" s="25"/>
      <c r="Y22" s="25"/>
      <c r="Z22" s="25"/>
    </row>
    <row r="23" ht="15.75" customHeight="1">
      <c r="A23" s="25"/>
      <c r="B23" s="449"/>
      <c r="C23" s="449"/>
      <c r="D23" s="449"/>
      <c r="E23" s="25"/>
      <c r="F23" s="25"/>
      <c r="G23" s="25"/>
      <c r="H23" s="25"/>
      <c r="I23" s="25"/>
      <c r="J23" s="25"/>
      <c r="K23" s="25"/>
      <c r="L23" s="25"/>
      <c r="M23" s="25"/>
      <c r="N23" s="25"/>
      <c r="O23" s="25"/>
      <c r="P23" s="25"/>
      <c r="Q23" s="25"/>
      <c r="R23" s="25"/>
      <c r="S23" s="25"/>
      <c r="T23" s="25"/>
      <c r="U23" s="25"/>
      <c r="V23" s="25"/>
      <c r="W23" s="25"/>
      <c r="X23" s="25"/>
      <c r="Y23" s="25"/>
      <c r="Z23" s="25"/>
    </row>
    <row r="24" ht="15.75" customHeight="1">
      <c r="A24" s="25"/>
      <c r="B24" s="449"/>
      <c r="C24" s="449"/>
      <c r="D24" s="449"/>
      <c r="E24" s="25"/>
      <c r="F24" s="25"/>
      <c r="G24" s="25"/>
      <c r="H24" s="25"/>
      <c r="I24" s="25"/>
      <c r="J24" s="25"/>
      <c r="K24" s="25"/>
      <c r="L24" s="25"/>
      <c r="M24" s="25"/>
      <c r="N24" s="25"/>
      <c r="O24" s="25"/>
      <c r="P24" s="25"/>
      <c r="Q24" s="25"/>
      <c r="R24" s="25"/>
      <c r="S24" s="25"/>
      <c r="T24" s="25"/>
      <c r="U24" s="25"/>
      <c r="V24" s="25"/>
      <c r="W24" s="25"/>
      <c r="X24" s="25"/>
      <c r="Y24" s="25"/>
      <c r="Z24" s="25"/>
    </row>
    <row r="25" ht="15.75" customHeight="1">
      <c r="A25" s="25"/>
      <c r="B25" s="449"/>
      <c r="C25" s="449"/>
      <c r="D25" s="449"/>
      <c r="E25" s="25"/>
      <c r="F25" s="25"/>
      <c r="G25" s="25"/>
      <c r="H25" s="25"/>
      <c r="I25" s="25"/>
      <c r="J25" s="25"/>
      <c r="K25" s="25"/>
      <c r="L25" s="25"/>
      <c r="M25" s="25"/>
      <c r="N25" s="25"/>
      <c r="O25" s="25"/>
      <c r="P25" s="25"/>
      <c r="Q25" s="25"/>
      <c r="R25" s="25"/>
      <c r="S25" s="25"/>
      <c r="T25" s="25"/>
      <c r="U25" s="25"/>
      <c r="V25" s="25"/>
      <c r="W25" s="25"/>
      <c r="X25" s="25"/>
      <c r="Y25" s="25"/>
      <c r="Z25" s="25"/>
    </row>
    <row r="26" ht="15.75" customHeight="1">
      <c r="A26" s="25"/>
      <c r="B26" s="449"/>
      <c r="C26" s="449"/>
      <c r="D26" s="449"/>
      <c r="E26" s="25"/>
      <c r="F26" s="25"/>
      <c r="G26" s="25"/>
      <c r="H26" s="25"/>
      <c r="I26" s="25"/>
      <c r="J26" s="25"/>
      <c r="K26" s="25"/>
      <c r="L26" s="25"/>
      <c r="M26" s="25"/>
      <c r="N26" s="25"/>
      <c r="O26" s="25"/>
      <c r="P26" s="25"/>
      <c r="Q26" s="25"/>
      <c r="R26" s="25"/>
      <c r="S26" s="25"/>
      <c r="T26" s="25"/>
      <c r="U26" s="25"/>
      <c r="V26" s="25"/>
      <c r="W26" s="25"/>
      <c r="X26" s="25"/>
      <c r="Y26" s="25"/>
      <c r="Z26" s="25"/>
    </row>
    <row r="27" ht="15.75" customHeight="1">
      <c r="A27" s="25"/>
      <c r="B27" s="449"/>
      <c r="C27" s="449"/>
      <c r="D27" s="449"/>
      <c r="E27" s="25"/>
      <c r="F27" s="25"/>
      <c r="G27" s="25"/>
      <c r="H27" s="25"/>
      <c r="I27" s="25"/>
      <c r="J27" s="25"/>
      <c r="K27" s="25"/>
      <c r="L27" s="25"/>
      <c r="M27" s="25"/>
      <c r="N27" s="25"/>
      <c r="O27" s="25"/>
      <c r="P27" s="25"/>
      <c r="Q27" s="25"/>
      <c r="R27" s="25"/>
      <c r="S27" s="25"/>
      <c r="T27" s="25"/>
      <c r="U27" s="25"/>
      <c r="V27" s="25"/>
      <c r="W27" s="25"/>
      <c r="X27" s="25"/>
      <c r="Y27" s="25"/>
      <c r="Z27" s="25"/>
    </row>
    <row r="28" ht="15.75" customHeight="1">
      <c r="A28" s="25"/>
      <c r="B28" s="449"/>
      <c r="C28" s="449"/>
      <c r="D28" s="449"/>
      <c r="E28" s="25"/>
      <c r="F28" s="25"/>
      <c r="G28" s="25"/>
      <c r="H28" s="25"/>
      <c r="I28" s="25"/>
      <c r="J28" s="25"/>
      <c r="K28" s="25"/>
      <c r="L28" s="25"/>
      <c r="M28" s="25"/>
      <c r="N28" s="25"/>
      <c r="O28" s="25"/>
      <c r="P28" s="25"/>
      <c r="Q28" s="25"/>
      <c r="R28" s="25"/>
      <c r="S28" s="25"/>
      <c r="T28" s="25"/>
      <c r="U28" s="25"/>
      <c r="V28" s="25"/>
      <c r="W28" s="25"/>
      <c r="X28" s="25"/>
      <c r="Y28" s="25"/>
      <c r="Z28" s="25"/>
    </row>
    <row r="29" ht="15.75" customHeight="1">
      <c r="A29" s="25"/>
      <c r="B29" s="449"/>
      <c r="C29" s="449"/>
      <c r="D29" s="449"/>
      <c r="E29" s="25"/>
      <c r="F29" s="25"/>
      <c r="G29" s="25"/>
      <c r="H29" s="25"/>
      <c r="I29" s="25"/>
      <c r="J29" s="25"/>
      <c r="K29" s="25"/>
      <c r="L29" s="25"/>
      <c r="M29" s="25"/>
      <c r="N29" s="25"/>
      <c r="O29" s="25"/>
      <c r="P29" s="25"/>
      <c r="Q29" s="25"/>
      <c r="R29" s="25"/>
      <c r="S29" s="25"/>
      <c r="T29" s="25"/>
      <c r="U29" s="25"/>
      <c r="V29" s="25"/>
      <c r="W29" s="25"/>
      <c r="X29" s="25"/>
      <c r="Y29" s="25"/>
      <c r="Z29" s="25"/>
    </row>
    <row r="30" ht="15.75" customHeight="1">
      <c r="A30" s="25"/>
      <c r="B30" s="449"/>
      <c r="C30" s="449"/>
      <c r="D30" s="449"/>
      <c r="E30" s="25"/>
      <c r="F30" s="25"/>
      <c r="G30" s="25"/>
      <c r="H30" s="25"/>
      <c r="I30" s="25"/>
      <c r="J30" s="25"/>
      <c r="K30" s="25"/>
      <c r="L30" s="25"/>
      <c r="M30" s="25"/>
      <c r="N30" s="25"/>
      <c r="O30" s="25"/>
      <c r="P30" s="25"/>
      <c r="Q30" s="25"/>
      <c r="R30" s="25"/>
      <c r="S30" s="25"/>
      <c r="T30" s="25"/>
      <c r="U30" s="25"/>
      <c r="V30" s="25"/>
      <c r="W30" s="25"/>
      <c r="X30" s="25"/>
      <c r="Y30" s="25"/>
      <c r="Z30" s="25"/>
    </row>
    <row r="31" ht="15.75" customHeight="1">
      <c r="A31" s="25"/>
      <c r="B31" s="449"/>
      <c r="C31" s="449"/>
      <c r="D31" s="449"/>
      <c r="E31" s="25"/>
      <c r="F31" s="25"/>
      <c r="G31" s="25"/>
      <c r="H31" s="25"/>
      <c r="I31" s="25"/>
      <c r="J31" s="25"/>
      <c r="K31" s="25"/>
      <c r="L31" s="25"/>
      <c r="M31" s="25"/>
      <c r="N31" s="25"/>
      <c r="O31" s="25"/>
      <c r="P31" s="25"/>
      <c r="Q31" s="25"/>
      <c r="R31" s="25"/>
      <c r="S31" s="25"/>
      <c r="T31" s="25"/>
      <c r="U31" s="25"/>
      <c r="V31" s="25"/>
      <c r="W31" s="25"/>
      <c r="X31" s="25"/>
      <c r="Y31" s="25"/>
      <c r="Z31" s="25"/>
    </row>
    <row r="32" ht="15.75" customHeight="1">
      <c r="A32" s="25"/>
      <c r="B32" s="449"/>
      <c r="C32" s="449"/>
      <c r="D32" s="449"/>
      <c r="E32" s="25"/>
      <c r="F32" s="25"/>
      <c r="G32" s="25"/>
      <c r="H32" s="25"/>
      <c r="I32" s="25"/>
      <c r="J32" s="25"/>
      <c r="K32" s="25"/>
      <c r="L32" s="25"/>
      <c r="M32" s="25"/>
      <c r="N32" s="25"/>
      <c r="O32" s="25"/>
      <c r="P32" s="25"/>
      <c r="Q32" s="25"/>
      <c r="R32" s="25"/>
      <c r="S32" s="25"/>
      <c r="T32" s="25"/>
      <c r="U32" s="25"/>
      <c r="V32" s="25"/>
      <c r="W32" s="25"/>
      <c r="X32" s="25"/>
      <c r="Y32" s="25"/>
      <c r="Z32" s="25"/>
    </row>
    <row r="33" ht="15.75" customHeight="1">
      <c r="A33" s="25"/>
      <c r="B33" s="449"/>
      <c r="C33" s="449"/>
      <c r="D33" s="449"/>
      <c r="E33" s="25"/>
      <c r="F33" s="25"/>
      <c r="G33" s="25"/>
      <c r="H33" s="25"/>
      <c r="I33" s="25"/>
      <c r="J33" s="25"/>
      <c r="K33" s="25"/>
      <c r="L33" s="25"/>
      <c r="M33" s="25"/>
      <c r="N33" s="25"/>
      <c r="O33" s="25"/>
      <c r="P33" s="25"/>
      <c r="Q33" s="25"/>
      <c r="R33" s="25"/>
      <c r="S33" s="25"/>
      <c r="T33" s="25"/>
      <c r="U33" s="25"/>
      <c r="V33" s="25"/>
      <c r="W33" s="25"/>
      <c r="X33" s="25"/>
      <c r="Y33" s="25"/>
      <c r="Z33" s="25"/>
    </row>
    <row r="34" ht="15.75" customHeight="1">
      <c r="A34" s="25"/>
      <c r="B34" s="449"/>
      <c r="C34" s="449"/>
      <c r="D34" s="449"/>
      <c r="E34" s="25"/>
      <c r="F34" s="25"/>
      <c r="G34" s="25"/>
      <c r="H34" s="25"/>
      <c r="I34" s="25"/>
      <c r="J34" s="25"/>
      <c r="K34" s="25"/>
      <c r="L34" s="25"/>
      <c r="M34" s="25"/>
      <c r="N34" s="25"/>
      <c r="O34" s="25"/>
      <c r="P34" s="25"/>
      <c r="Q34" s="25"/>
      <c r="R34" s="25"/>
      <c r="S34" s="25"/>
      <c r="T34" s="25"/>
      <c r="U34" s="25"/>
      <c r="V34" s="25"/>
      <c r="W34" s="25"/>
      <c r="X34" s="25"/>
      <c r="Y34" s="25"/>
      <c r="Z34" s="25"/>
    </row>
    <row r="35" ht="15.75" customHeight="1">
      <c r="A35" s="25"/>
      <c r="B35" s="449"/>
      <c r="C35" s="449"/>
      <c r="D35" s="449"/>
      <c r="E35" s="25"/>
      <c r="F35" s="25"/>
      <c r="G35" s="25"/>
      <c r="H35" s="25"/>
      <c r="I35" s="25"/>
      <c r="J35" s="25"/>
      <c r="K35" s="25"/>
      <c r="L35" s="25"/>
      <c r="M35" s="25"/>
      <c r="N35" s="25"/>
      <c r="O35" s="25"/>
      <c r="P35" s="25"/>
      <c r="Q35" s="25"/>
      <c r="R35" s="25"/>
      <c r="S35" s="25"/>
      <c r="T35" s="25"/>
      <c r="U35" s="25"/>
      <c r="V35" s="25"/>
      <c r="W35" s="25"/>
      <c r="X35" s="25"/>
      <c r="Y35" s="25"/>
      <c r="Z35" s="25"/>
    </row>
    <row r="36" ht="15.75" customHeight="1">
      <c r="A36" s="25"/>
      <c r="B36" s="449"/>
      <c r="C36" s="449"/>
      <c r="D36" s="449"/>
      <c r="E36" s="25"/>
      <c r="F36" s="25"/>
      <c r="G36" s="25"/>
      <c r="H36" s="25"/>
      <c r="I36" s="25"/>
      <c r="J36" s="25"/>
      <c r="K36" s="25"/>
      <c r="L36" s="25"/>
      <c r="M36" s="25"/>
      <c r="N36" s="25"/>
      <c r="O36" s="25"/>
      <c r="P36" s="25"/>
      <c r="Q36" s="25"/>
      <c r="R36" s="25"/>
      <c r="S36" s="25"/>
      <c r="T36" s="25"/>
      <c r="U36" s="25"/>
      <c r="V36" s="25"/>
      <c r="W36" s="25"/>
      <c r="X36" s="25"/>
      <c r="Y36" s="25"/>
      <c r="Z36" s="25"/>
    </row>
    <row r="37" ht="15.75" customHeight="1">
      <c r="A37" s="25"/>
      <c r="B37" s="449"/>
      <c r="C37" s="449"/>
      <c r="D37" s="449"/>
      <c r="E37" s="25"/>
      <c r="F37" s="25"/>
      <c r="G37" s="25"/>
      <c r="H37" s="25"/>
      <c r="I37" s="25"/>
      <c r="J37" s="25"/>
      <c r="K37" s="25"/>
      <c r="L37" s="25"/>
      <c r="M37" s="25"/>
      <c r="N37" s="25"/>
      <c r="O37" s="25"/>
      <c r="P37" s="25"/>
      <c r="Q37" s="25"/>
      <c r="R37" s="25"/>
      <c r="S37" s="25"/>
      <c r="T37" s="25"/>
      <c r="U37" s="25"/>
      <c r="V37" s="25"/>
      <c r="W37" s="25"/>
      <c r="X37" s="25"/>
      <c r="Y37" s="25"/>
      <c r="Z37" s="25"/>
    </row>
    <row r="38" ht="15.75" customHeight="1">
      <c r="A38" s="25"/>
      <c r="B38" s="449"/>
      <c r="C38" s="449"/>
      <c r="D38" s="449"/>
      <c r="E38" s="25"/>
      <c r="F38" s="25"/>
      <c r="G38" s="25"/>
      <c r="H38" s="25"/>
      <c r="I38" s="25"/>
      <c r="J38" s="25"/>
      <c r="K38" s="25"/>
      <c r="L38" s="25"/>
      <c r="M38" s="25"/>
      <c r="N38" s="25"/>
      <c r="O38" s="25"/>
      <c r="P38" s="25"/>
      <c r="Q38" s="25"/>
      <c r="R38" s="25"/>
      <c r="S38" s="25"/>
      <c r="T38" s="25"/>
      <c r="U38" s="25"/>
      <c r="V38" s="25"/>
      <c r="W38" s="25"/>
      <c r="X38" s="25"/>
      <c r="Y38" s="25"/>
      <c r="Z38" s="25"/>
    </row>
    <row r="39" ht="15.75" customHeight="1">
      <c r="A39" s="25"/>
      <c r="B39" s="449"/>
      <c r="C39" s="449"/>
      <c r="D39" s="449"/>
      <c r="E39" s="25"/>
      <c r="F39" s="25"/>
      <c r="G39" s="25"/>
      <c r="H39" s="25"/>
      <c r="I39" s="25"/>
      <c r="J39" s="25"/>
      <c r="K39" s="25"/>
      <c r="L39" s="25"/>
      <c r="M39" s="25"/>
      <c r="N39" s="25"/>
      <c r="O39" s="25"/>
      <c r="P39" s="25"/>
      <c r="Q39" s="25"/>
      <c r="R39" s="25"/>
      <c r="S39" s="25"/>
      <c r="T39" s="25"/>
      <c r="U39" s="25"/>
      <c r="V39" s="25"/>
      <c r="W39" s="25"/>
      <c r="X39" s="25"/>
      <c r="Y39" s="25"/>
      <c r="Z39" s="25"/>
    </row>
    <row r="40" ht="15.75" customHeight="1">
      <c r="A40" s="25"/>
      <c r="B40" s="449"/>
      <c r="C40" s="449"/>
      <c r="D40" s="449"/>
      <c r="E40" s="25"/>
      <c r="F40" s="25"/>
      <c r="G40" s="25"/>
      <c r="H40" s="25"/>
      <c r="I40" s="25"/>
      <c r="J40" s="25"/>
      <c r="K40" s="25"/>
      <c r="L40" s="25"/>
      <c r="M40" s="25"/>
      <c r="N40" s="25"/>
      <c r="O40" s="25"/>
      <c r="P40" s="25"/>
      <c r="Q40" s="25"/>
      <c r="R40" s="25"/>
      <c r="S40" s="25"/>
      <c r="T40" s="25"/>
      <c r="U40" s="25"/>
      <c r="V40" s="25"/>
      <c r="W40" s="25"/>
      <c r="X40" s="25"/>
      <c r="Y40" s="25"/>
      <c r="Z40" s="25"/>
    </row>
    <row r="41" ht="15.75" customHeight="1">
      <c r="A41" s="25"/>
      <c r="B41" s="449"/>
      <c r="C41" s="449"/>
      <c r="D41" s="449"/>
      <c r="E41" s="25"/>
      <c r="F41" s="25"/>
      <c r="G41" s="25"/>
      <c r="H41" s="25"/>
      <c r="I41" s="25"/>
      <c r="J41" s="25"/>
      <c r="K41" s="25"/>
      <c r="L41" s="25"/>
      <c r="M41" s="25"/>
      <c r="N41" s="25"/>
      <c r="O41" s="25"/>
      <c r="P41" s="25"/>
      <c r="Q41" s="25"/>
      <c r="R41" s="25"/>
      <c r="S41" s="25"/>
      <c r="T41" s="25"/>
      <c r="U41" s="25"/>
      <c r="V41" s="25"/>
      <c r="W41" s="25"/>
      <c r="X41" s="25"/>
      <c r="Y41" s="25"/>
      <c r="Z41" s="25"/>
    </row>
    <row r="42" ht="15.75" customHeight="1">
      <c r="A42" s="25"/>
      <c r="B42" s="449"/>
      <c r="C42" s="449"/>
      <c r="D42" s="449"/>
      <c r="E42" s="25"/>
      <c r="F42" s="25"/>
      <c r="G42" s="25"/>
      <c r="H42" s="25"/>
      <c r="I42" s="25"/>
      <c r="J42" s="25"/>
      <c r="K42" s="25"/>
      <c r="L42" s="25"/>
      <c r="M42" s="25"/>
      <c r="N42" s="25"/>
      <c r="O42" s="25"/>
      <c r="P42" s="25"/>
      <c r="Q42" s="25"/>
      <c r="R42" s="25"/>
      <c r="S42" s="25"/>
      <c r="T42" s="25"/>
      <c r="U42" s="25"/>
      <c r="V42" s="25"/>
      <c r="W42" s="25"/>
      <c r="X42" s="25"/>
      <c r="Y42" s="25"/>
      <c r="Z42" s="25"/>
    </row>
    <row r="43" ht="15.75" customHeight="1">
      <c r="A43" s="25"/>
      <c r="B43" s="449"/>
      <c r="C43" s="449"/>
      <c r="D43" s="449"/>
      <c r="E43" s="25"/>
      <c r="F43" s="25"/>
      <c r="G43" s="25"/>
      <c r="H43" s="25"/>
      <c r="I43" s="25"/>
      <c r="J43" s="25"/>
      <c r="K43" s="25"/>
      <c r="L43" s="25"/>
      <c r="M43" s="25"/>
      <c r="N43" s="25"/>
      <c r="O43" s="25"/>
      <c r="P43" s="25"/>
      <c r="Q43" s="25"/>
      <c r="R43" s="25"/>
      <c r="S43" s="25"/>
      <c r="T43" s="25"/>
      <c r="U43" s="25"/>
      <c r="V43" s="25"/>
      <c r="W43" s="25"/>
      <c r="X43" s="25"/>
      <c r="Y43" s="25"/>
      <c r="Z43" s="25"/>
    </row>
    <row r="44" ht="15.75" customHeight="1">
      <c r="A44" s="25"/>
      <c r="B44" s="449"/>
      <c r="C44" s="449"/>
      <c r="D44" s="449"/>
      <c r="E44" s="25"/>
      <c r="F44" s="25"/>
      <c r="G44" s="25"/>
      <c r="H44" s="25"/>
      <c r="I44" s="25"/>
      <c r="J44" s="25"/>
      <c r="K44" s="25"/>
      <c r="L44" s="25"/>
      <c r="M44" s="25"/>
      <c r="N44" s="25"/>
      <c r="O44" s="25"/>
      <c r="P44" s="25"/>
      <c r="Q44" s="25"/>
      <c r="R44" s="25"/>
      <c r="S44" s="25"/>
      <c r="T44" s="25"/>
      <c r="U44" s="25"/>
      <c r="V44" s="25"/>
      <c r="W44" s="25"/>
      <c r="X44" s="25"/>
      <c r="Y44" s="25"/>
      <c r="Z44" s="25"/>
    </row>
    <row r="45" ht="15.75" customHeight="1">
      <c r="A45" s="25"/>
      <c r="B45" s="449"/>
      <c r="C45" s="449"/>
      <c r="D45" s="449"/>
      <c r="E45" s="25"/>
      <c r="F45" s="25"/>
      <c r="G45" s="25"/>
      <c r="H45" s="25"/>
      <c r="I45" s="25"/>
      <c r="J45" s="25"/>
      <c r="K45" s="25"/>
      <c r="L45" s="25"/>
      <c r="M45" s="25"/>
      <c r="N45" s="25"/>
      <c r="O45" s="25"/>
      <c r="P45" s="25"/>
      <c r="Q45" s="25"/>
      <c r="R45" s="25"/>
      <c r="S45" s="25"/>
      <c r="T45" s="25"/>
      <c r="U45" s="25"/>
      <c r="V45" s="25"/>
      <c r="W45" s="25"/>
      <c r="X45" s="25"/>
      <c r="Y45" s="25"/>
      <c r="Z45" s="25"/>
    </row>
    <row r="46" ht="15.75" customHeight="1">
      <c r="A46" s="25"/>
      <c r="B46" s="449"/>
      <c r="C46" s="449"/>
      <c r="D46" s="449"/>
      <c r="E46" s="25"/>
      <c r="F46" s="25"/>
      <c r="G46" s="25"/>
      <c r="H46" s="25"/>
      <c r="I46" s="25"/>
      <c r="J46" s="25"/>
      <c r="K46" s="25"/>
      <c r="L46" s="25"/>
      <c r="M46" s="25"/>
      <c r="N46" s="25"/>
      <c r="O46" s="25"/>
      <c r="P46" s="25"/>
      <c r="Q46" s="25"/>
      <c r="R46" s="25"/>
      <c r="S46" s="25"/>
      <c r="T46" s="25"/>
      <c r="U46" s="25"/>
      <c r="V46" s="25"/>
      <c r="W46" s="25"/>
      <c r="X46" s="25"/>
      <c r="Y46" s="25"/>
      <c r="Z46" s="25"/>
    </row>
    <row r="47" ht="15.75" customHeight="1">
      <c r="A47" s="25"/>
      <c r="B47" s="449"/>
      <c r="C47" s="449"/>
      <c r="D47" s="449"/>
      <c r="E47" s="25"/>
      <c r="F47" s="25"/>
      <c r="G47" s="25"/>
      <c r="H47" s="25"/>
      <c r="I47" s="25"/>
      <c r="J47" s="25"/>
      <c r="K47" s="25"/>
      <c r="L47" s="25"/>
      <c r="M47" s="25"/>
      <c r="N47" s="25"/>
      <c r="O47" s="25"/>
      <c r="P47" s="25"/>
      <c r="Q47" s="25"/>
      <c r="R47" s="25"/>
      <c r="S47" s="25"/>
      <c r="T47" s="25"/>
      <c r="U47" s="25"/>
      <c r="V47" s="25"/>
      <c r="W47" s="25"/>
      <c r="X47" s="25"/>
      <c r="Y47" s="25"/>
      <c r="Z47" s="25"/>
    </row>
    <row r="48" ht="15.75" customHeight="1">
      <c r="A48" s="25"/>
      <c r="B48" s="449"/>
      <c r="C48" s="449"/>
      <c r="D48" s="449"/>
      <c r="E48" s="25"/>
      <c r="F48" s="25"/>
      <c r="G48" s="25"/>
      <c r="H48" s="25"/>
      <c r="I48" s="25"/>
      <c r="J48" s="25"/>
      <c r="K48" s="25"/>
      <c r="L48" s="25"/>
      <c r="M48" s="25"/>
      <c r="N48" s="25"/>
      <c r="O48" s="25"/>
      <c r="P48" s="25"/>
      <c r="Q48" s="25"/>
      <c r="R48" s="25"/>
      <c r="S48" s="25"/>
      <c r="T48" s="25"/>
      <c r="U48" s="25"/>
      <c r="V48" s="25"/>
      <c r="W48" s="25"/>
      <c r="X48" s="25"/>
      <c r="Y48" s="25"/>
      <c r="Z48" s="25"/>
    </row>
    <row r="49" ht="15.75" customHeight="1">
      <c r="A49" s="25"/>
      <c r="B49" s="449"/>
      <c r="C49" s="449"/>
      <c r="D49" s="449"/>
      <c r="E49" s="25"/>
      <c r="F49" s="25"/>
      <c r="G49" s="25"/>
      <c r="H49" s="25"/>
      <c r="I49" s="25"/>
      <c r="J49" s="25"/>
      <c r="K49" s="25"/>
      <c r="L49" s="25"/>
      <c r="M49" s="25"/>
      <c r="N49" s="25"/>
      <c r="O49" s="25"/>
      <c r="P49" s="25"/>
      <c r="Q49" s="25"/>
      <c r="R49" s="25"/>
      <c r="S49" s="25"/>
      <c r="T49" s="25"/>
      <c r="U49" s="25"/>
      <c r="V49" s="25"/>
      <c r="W49" s="25"/>
      <c r="X49" s="25"/>
      <c r="Y49" s="25"/>
      <c r="Z49" s="25"/>
    </row>
    <row r="50" ht="15.75" customHeight="1">
      <c r="A50" s="25"/>
      <c r="B50" s="449"/>
      <c r="C50" s="449"/>
      <c r="D50" s="449"/>
      <c r="E50" s="25"/>
      <c r="F50" s="25"/>
      <c r="G50" s="25"/>
      <c r="H50" s="25"/>
      <c r="I50" s="25"/>
      <c r="J50" s="25"/>
      <c r="K50" s="25"/>
      <c r="L50" s="25"/>
      <c r="M50" s="25"/>
      <c r="N50" s="25"/>
      <c r="O50" s="25"/>
      <c r="P50" s="25"/>
      <c r="Q50" s="25"/>
      <c r="R50" s="25"/>
      <c r="S50" s="25"/>
      <c r="T50" s="25"/>
      <c r="U50" s="25"/>
      <c r="V50" s="25"/>
      <c r="W50" s="25"/>
      <c r="X50" s="25"/>
      <c r="Y50" s="25"/>
      <c r="Z50" s="25"/>
    </row>
    <row r="51" ht="15.75" customHeight="1">
      <c r="A51" s="25"/>
      <c r="B51" s="449"/>
      <c r="C51" s="449"/>
      <c r="D51" s="449"/>
      <c r="E51" s="25"/>
      <c r="F51" s="25"/>
      <c r="G51" s="25"/>
      <c r="H51" s="25"/>
      <c r="I51" s="25"/>
      <c r="J51" s="25"/>
      <c r="K51" s="25"/>
      <c r="L51" s="25"/>
      <c r="M51" s="25"/>
      <c r="N51" s="25"/>
      <c r="O51" s="25"/>
      <c r="P51" s="25"/>
      <c r="Q51" s="25"/>
      <c r="R51" s="25"/>
      <c r="S51" s="25"/>
      <c r="T51" s="25"/>
      <c r="U51" s="25"/>
      <c r="V51" s="25"/>
      <c r="W51" s="25"/>
      <c r="X51" s="25"/>
      <c r="Y51" s="25"/>
      <c r="Z51" s="25"/>
    </row>
    <row r="52" ht="15.75" customHeight="1">
      <c r="A52" s="25"/>
      <c r="B52" s="449"/>
      <c r="C52" s="449"/>
      <c r="D52" s="449"/>
      <c r="E52" s="25"/>
      <c r="F52" s="25"/>
      <c r="G52" s="25"/>
      <c r="H52" s="25"/>
      <c r="I52" s="25"/>
      <c r="J52" s="25"/>
      <c r="K52" s="25"/>
      <c r="L52" s="25"/>
      <c r="M52" s="25"/>
      <c r="N52" s="25"/>
      <c r="O52" s="25"/>
      <c r="P52" s="25"/>
      <c r="Q52" s="25"/>
      <c r="R52" s="25"/>
      <c r="S52" s="25"/>
      <c r="T52" s="25"/>
      <c r="U52" s="25"/>
      <c r="V52" s="25"/>
      <c r="W52" s="25"/>
      <c r="X52" s="25"/>
      <c r="Y52" s="25"/>
      <c r="Z52" s="25"/>
    </row>
    <row r="53" ht="15.75" customHeight="1">
      <c r="A53" s="25"/>
      <c r="B53" s="449"/>
      <c r="C53" s="449"/>
      <c r="D53" s="449"/>
      <c r="E53" s="25"/>
      <c r="F53" s="25"/>
      <c r="G53" s="25"/>
      <c r="H53" s="25"/>
      <c r="I53" s="25"/>
      <c r="J53" s="25"/>
      <c r="K53" s="25"/>
      <c r="L53" s="25"/>
      <c r="M53" s="25"/>
      <c r="N53" s="25"/>
      <c r="O53" s="25"/>
      <c r="P53" s="25"/>
      <c r="Q53" s="25"/>
      <c r="R53" s="25"/>
      <c r="S53" s="25"/>
      <c r="T53" s="25"/>
      <c r="U53" s="25"/>
      <c r="V53" s="25"/>
      <c r="W53" s="25"/>
      <c r="X53" s="25"/>
      <c r="Y53" s="25"/>
      <c r="Z53" s="25"/>
    </row>
    <row r="54" ht="15.75" customHeight="1">
      <c r="A54" s="25"/>
      <c r="B54" s="449"/>
      <c r="C54" s="449"/>
      <c r="D54" s="449"/>
      <c r="E54" s="25"/>
      <c r="F54" s="25"/>
      <c r="G54" s="25"/>
      <c r="H54" s="25"/>
      <c r="I54" s="25"/>
      <c r="J54" s="25"/>
      <c r="K54" s="25"/>
      <c r="L54" s="25"/>
      <c r="M54" s="25"/>
      <c r="N54" s="25"/>
      <c r="O54" s="25"/>
      <c r="P54" s="25"/>
      <c r="Q54" s="25"/>
      <c r="R54" s="25"/>
      <c r="S54" s="25"/>
      <c r="T54" s="25"/>
      <c r="U54" s="25"/>
      <c r="V54" s="25"/>
      <c r="W54" s="25"/>
      <c r="X54" s="25"/>
      <c r="Y54" s="25"/>
      <c r="Z54" s="25"/>
    </row>
    <row r="55" ht="15.75" customHeight="1">
      <c r="A55" s="25"/>
      <c r="B55" s="449"/>
      <c r="C55" s="449"/>
      <c r="D55" s="449"/>
      <c r="E55" s="25"/>
      <c r="F55" s="25"/>
      <c r="G55" s="25"/>
      <c r="H55" s="25"/>
      <c r="I55" s="25"/>
      <c r="J55" s="25"/>
      <c r="K55" s="25"/>
      <c r="L55" s="25"/>
      <c r="M55" s="25"/>
      <c r="N55" s="25"/>
      <c r="O55" s="25"/>
      <c r="P55" s="25"/>
      <c r="Q55" s="25"/>
      <c r="R55" s="25"/>
      <c r="S55" s="25"/>
      <c r="T55" s="25"/>
      <c r="U55" s="25"/>
      <c r="V55" s="25"/>
      <c r="W55" s="25"/>
      <c r="X55" s="25"/>
      <c r="Y55" s="25"/>
      <c r="Z55" s="25"/>
    </row>
    <row r="56" ht="15.75" customHeight="1">
      <c r="A56" s="25"/>
      <c r="B56" s="449"/>
      <c r="C56" s="449"/>
      <c r="D56" s="449"/>
      <c r="E56" s="25"/>
      <c r="F56" s="25"/>
      <c r="G56" s="25"/>
      <c r="H56" s="25"/>
      <c r="I56" s="25"/>
      <c r="J56" s="25"/>
      <c r="K56" s="25"/>
      <c r="L56" s="25"/>
      <c r="M56" s="25"/>
      <c r="N56" s="25"/>
      <c r="O56" s="25"/>
      <c r="P56" s="25"/>
      <c r="Q56" s="25"/>
      <c r="R56" s="25"/>
      <c r="S56" s="25"/>
      <c r="T56" s="25"/>
      <c r="U56" s="25"/>
      <c r="V56" s="25"/>
      <c r="W56" s="25"/>
      <c r="X56" s="25"/>
      <c r="Y56" s="25"/>
      <c r="Z56" s="25"/>
    </row>
    <row r="57" ht="15.75" customHeight="1">
      <c r="A57" s="25"/>
      <c r="B57" s="449"/>
      <c r="C57" s="449"/>
      <c r="D57" s="449"/>
      <c r="E57" s="25"/>
      <c r="F57" s="25"/>
      <c r="G57" s="25"/>
      <c r="H57" s="25"/>
      <c r="I57" s="25"/>
      <c r="J57" s="25"/>
      <c r="K57" s="25"/>
      <c r="L57" s="25"/>
      <c r="M57" s="25"/>
      <c r="N57" s="25"/>
      <c r="O57" s="25"/>
      <c r="P57" s="25"/>
      <c r="Q57" s="25"/>
      <c r="R57" s="25"/>
      <c r="S57" s="25"/>
      <c r="T57" s="25"/>
      <c r="U57" s="25"/>
      <c r="V57" s="25"/>
      <c r="W57" s="25"/>
      <c r="X57" s="25"/>
      <c r="Y57" s="25"/>
      <c r="Z57" s="25"/>
    </row>
    <row r="58" ht="15.75" customHeight="1">
      <c r="A58" s="25"/>
      <c r="B58" s="449"/>
      <c r="C58" s="449"/>
      <c r="D58" s="449"/>
      <c r="E58" s="25"/>
      <c r="F58" s="25"/>
      <c r="G58" s="25"/>
      <c r="H58" s="25"/>
      <c r="I58" s="25"/>
      <c r="J58" s="25"/>
      <c r="K58" s="25"/>
      <c r="L58" s="25"/>
      <c r="M58" s="25"/>
      <c r="N58" s="25"/>
      <c r="O58" s="25"/>
      <c r="P58" s="25"/>
      <c r="Q58" s="25"/>
      <c r="R58" s="25"/>
      <c r="S58" s="25"/>
      <c r="T58" s="25"/>
      <c r="U58" s="25"/>
      <c r="V58" s="25"/>
      <c r="W58" s="25"/>
      <c r="X58" s="25"/>
      <c r="Y58" s="25"/>
      <c r="Z58" s="25"/>
    </row>
    <row r="59" ht="15.75" customHeight="1">
      <c r="A59" s="25"/>
      <c r="B59" s="449"/>
      <c r="C59" s="449"/>
      <c r="D59" s="449"/>
      <c r="E59" s="25"/>
      <c r="F59" s="25"/>
      <c r="G59" s="25"/>
      <c r="H59" s="25"/>
      <c r="I59" s="25"/>
      <c r="J59" s="25"/>
      <c r="K59" s="25"/>
      <c r="L59" s="25"/>
      <c r="M59" s="25"/>
      <c r="N59" s="25"/>
      <c r="O59" s="25"/>
      <c r="P59" s="25"/>
      <c r="Q59" s="25"/>
      <c r="R59" s="25"/>
      <c r="S59" s="25"/>
      <c r="T59" s="25"/>
      <c r="U59" s="25"/>
      <c r="V59" s="25"/>
      <c r="W59" s="25"/>
      <c r="X59" s="25"/>
      <c r="Y59" s="25"/>
      <c r="Z59" s="25"/>
    </row>
    <row r="60" ht="15.75" customHeight="1">
      <c r="A60" s="25"/>
      <c r="B60" s="449"/>
      <c r="C60" s="449"/>
      <c r="D60" s="449"/>
      <c r="E60" s="25"/>
      <c r="F60" s="25"/>
      <c r="G60" s="25"/>
      <c r="H60" s="25"/>
      <c r="I60" s="25"/>
      <c r="J60" s="25"/>
      <c r="K60" s="25"/>
      <c r="L60" s="25"/>
      <c r="M60" s="25"/>
      <c r="N60" s="25"/>
      <c r="O60" s="25"/>
      <c r="P60" s="25"/>
      <c r="Q60" s="25"/>
      <c r="R60" s="25"/>
      <c r="S60" s="25"/>
      <c r="T60" s="25"/>
      <c r="U60" s="25"/>
      <c r="V60" s="25"/>
      <c r="W60" s="25"/>
      <c r="X60" s="25"/>
      <c r="Y60" s="25"/>
      <c r="Z60" s="25"/>
    </row>
    <row r="61" ht="15.75" customHeight="1">
      <c r="A61" s="25"/>
      <c r="B61" s="449"/>
      <c r="C61" s="449"/>
      <c r="D61" s="449"/>
      <c r="E61" s="25"/>
      <c r="F61" s="25"/>
      <c r="G61" s="25"/>
      <c r="H61" s="25"/>
      <c r="I61" s="25"/>
      <c r="J61" s="25"/>
      <c r="K61" s="25"/>
      <c r="L61" s="25"/>
      <c r="M61" s="25"/>
      <c r="N61" s="25"/>
      <c r="O61" s="25"/>
      <c r="P61" s="25"/>
      <c r="Q61" s="25"/>
      <c r="R61" s="25"/>
      <c r="S61" s="25"/>
      <c r="T61" s="25"/>
      <c r="U61" s="25"/>
      <c r="V61" s="25"/>
      <c r="W61" s="25"/>
      <c r="X61" s="25"/>
      <c r="Y61" s="25"/>
      <c r="Z61" s="25"/>
    </row>
    <row r="62" ht="15.75" customHeight="1">
      <c r="A62" s="25"/>
      <c r="B62" s="449"/>
      <c r="C62" s="449"/>
      <c r="D62" s="449"/>
      <c r="E62" s="25"/>
      <c r="F62" s="25"/>
      <c r="G62" s="25"/>
      <c r="H62" s="25"/>
      <c r="I62" s="25"/>
      <c r="J62" s="25"/>
      <c r="K62" s="25"/>
      <c r="L62" s="25"/>
      <c r="M62" s="25"/>
      <c r="N62" s="25"/>
      <c r="O62" s="25"/>
      <c r="P62" s="25"/>
      <c r="Q62" s="25"/>
      <c r="R62" s="25"/>
      <c r="S62" s="25"/>
      <c r="T62" s="25"/>
      <c r="U62" s="25"/>
      <c r="V62" s="25"/>
      <c r="W62" s="25"/>
      <c r="X62" s="25"/>
      <c r="Y62" s="25"/>
      <c r="Z62" s="25"/>
    </row>
    <row r="63" ht="15.75" customHeight="1">
      <c r="A63" s="25"/>
      <c r="B63" s="449"/>
      <c r="C63" s="449"/>
      <c r="D63" s="449"/>
      <c r="E63" s="25"/>
      <c r="F63" s="25"/>
      <c r="G63" s="25"/>
      <c r="H63" s="25"/>
      <c r="I63" s="25"/>
      <c r="J63" s="25"/>
      <c r="K63" s="25"/>
      <c r="L63" s="25"/>
      <c r="M63" s="25"/>
      <c r="N63" s="25"/>
      <c r="O63" s="25"/>
      <c r="P63" s="25"/>
      <c r="Q63" s="25"/>
      <c r="R63" s="25"/>
      <c r="S63" s="25"/>
      <c r="T63" s="25"/>
      <c r="U63" s="25"/>
      <c r="V63" s="25"/>
      <c r="W63" s="25"/>
      <c r="X63" s="25"/>
      <c r="Y63" s="25"/>
      <c r="Z63" s="25"/>
    </row>
    <row r="64" ht="15.75" customHeight="1">
      <c r="A64" s="25"/>
      <c r="B64" s="449"/>
      <c r="C64" s="449"/>
      <c r="D64" s="449"/>
      <c r="E64" s="25"/>
      <c r="F64" s="25"/>
      <c r="G64" s="25"/>
      <c r="H64" s="25"/>
      <c r="I64" s="25"/>
      <c r="J64" s="25"/>
      <c r="K64" s="25"/>
      <c r="L64" s="25"/>
      <c r="M64" s="25"/>
      <c r="N64" s="25"/>
      <c r="O64" s="25"/>
      <c r="P64" s="25"/>
      <c r="Q64" s="25"/>
      <c r="R64" s="25"/>
      <c r="S64" s="25"/>
      <c r="T64" s="25"/>
      <c r="U64" s="25"/>
      <c r="V64" s="25"/>
      <c r="W64" s="25"/>
      <c r="X64" s="25"/>
      <c r="Y64" s="25"/>
      <c r="Z64" s="25"/>
    </row>
    <row r="65" ht="15.75" customHeight="1">
      <c r="A65" s="25"/>
      <c r="B65" s="449"/>
      <c r="C65" s="449"/>
      <c r="D65" s="449"/>
      <c r="E65" s="25"/>
      <c r="F65" s="25"/>
      <c r="G65" s="25"/>
      <c r="H65" s="25"/>
      <c r="I65" s="25"/>
      <c r="J65" s="25"/>
      <c r="K65" s="25"/>
      <c r="L65" s="25"/>
      <c r="M65" s="25"/>
      <c r="N65" s="25"/>
      <c r="O65" s="25"/>
      <c r="P65" s="25"/>
      <c r="Q65" s="25"/>
      <c r="R65" s="25"/>
      <c r="S65" s="25"/>
      <c r="T65" s="25"/>
      <c r="U65" s="25"/>
      <c r="V65" s="25"/>
      <c r="W65" s="25"/>
      <c r="X65" s="25"/>
      <c r="Y65" s="25"/>
      <c r="Z65" s="25"/>
    </row>
    <row r="66" ht="15.75" customHeight="1">
      <c r="A66" s="25"/>
      <c r="B66" s="449"/>
      <c r="C66" s="449"/>
      <c r="D66" s="449"/>
      <c r="E66" s="25"/>
      <c r="F66" s="25"/>
      <c r="G66" s="25"/>
      <c r="H66" s="25"/>
      <c r="I66" s="25"/>
      <c r="J66" s="25"/>
      <c r="K66" s="25"/>
      <c r="L66" s="25"/>
      <c r="M66" s="25"/>
      <c r="N66" s="25"/>
      <c r="O66" s="25"/>
      <c r="P66" s="25"/>
      <c r="Q66" s="25"/>
      <c r="R66" s="25"/>
      <c r="S66" s="25"/>
      <c r="T66" s="25"/>
      <c r="U66" s="25"/>
      <c r="V66" s="25"/>
      <c r="W66" s="25"/>
      <c r="X66" s="25"/>
      <c r="Y66" s="25"/>
      <c r="Z66" s="25"/>
    </row>
    <row r="67" ht="15.75" customHeight="1">
      <c r="A67" s="25"/>
      <c r="B67" s="449"/>
      <c r="C67" s="449"/>
      <c r="D67" s="449"/>
      <c r="E67" s="25"/>
      <c r="F67" s="25"/>
      <c r="G67" s="25"/>
      <c r="H67" s="25"/>
      <c r="I67" s="25"/>
      <c r="J67" s="25"/>
      <c r="K67" s="25"/>
      <c r="L67" s="25"/>
      <c r="M67" s="25"/>
      <c r="N67" s="25"/>
      <c r="O67" s="25"/>
      <c r="P67" s="25"/>
      <c r="Q67" s="25"/>
      <c r="R67" s="25"/>
      <c r="S67" s="25"/>
      <c r="T67" s="25"/>
      <c r="U67" s="25"/>
      <c r="V67" s="25"/>
      <c r="W67" s="25"/>
      <c r="X67" s="25"/>
      <c r="Y67" s="25"/>
      <c r="Z67" s="25"/>
    </row>
    <row r="68" ht="15.75" customHeight="1">
      <c r="A68" s="25"/>
      <c r="B68" s="449"/>
      <c r="C68" s="449"/>
      <c r="D68" s="449"/>
      <c r="E68" s="25"/>
      <c r="F68" s="25"/>
      <c r="G68" s="25"/>
      <c r="H68" s="25"/>
      <c r="I68" s="25"/>
      <c r="J68" s="25"/>
      <c r="K68" s="25"/>
      <c r="L68" s="25"/>
      <c r="M68" s="25"/>
      <c r="N68" s="25"/>
      <c r="O68" s="25"/>
      <c r="P68" s="25"/>
      <c r="Q68" s="25"/>
      <c r="R68" s="25"/>
      <c r="S68" s="25"/>
      <c r="T68" s="25"/>
      <c r="U68" s="25"/>
      <c r="V68" s="25"/>
      <c r="W68" s="25"/>
      <c r="X68" s="25"/>
      <c r="Y68" s="25"/>
      <c r="Z68" s="25"/>
    </row>
    <row r="69" ht="15.75" customHeight="1">
      <c r="A69" s="25"/>
      <c r="B69" s="449"/>
      <c r="C69" s="449"/>
      <c r="D69" s="449"/>
      <c r="E69" s="25"/>
      <c r="F69" s="25"/>
      <c r="G69" s="25"/>
      <c r="H69" s="25"/>
      <c r="I69" s="25"/>
      <c r="J69" s="25"/>
      <c r="K69" s="25"/>
      <c r="L69" s="25"/>
      <c r="M69" s="25"/>
      <c r="N69" s="25"/>
      <c r="O69" s="25"/>
      <c r="P69" s="25"/>
      <c r="Q69" s="25"/>
      <c r="R69" s="25"/>
      <c r="S69" s="25"/>
      <c r="T69" s="25"/>
      <c r="U69" s="25"/>
      <c r="V69" s="25"/>
      <c r="W69" s="25"/>
      <c r="X69" s="25"/>
      <c r="Y69" s="25"/>
      <c r="Z69" s="25"/>
    </row>
    <row r="70" ht="15.75" customHeight="1">
      <c r="A70" s="25"/>
      <c r="B70" s="449"/>
      <c r="C70" s="449"/>
      <c r="D70" s="449"/>
      <c r="E70" s="25"/>
      <c r="F70" s="25"/>
      <c r="G70" s="25"/>
      <c r="H70" s="25"/>
      <c r="I70" s="25"/>
      <c r="J70" s="25"/>
      <c r="K70" s="25"/>
      <c r="L70" s="25"/>
      <c r="M70" s="25"/>
      <c r="N70" s="25"/>
      <c r="O70" s="25"/>
      <c r="P70" s="25"/>
      <c r="Q70" s="25"/>
      <c r="R70" s="25"/>
      <c r="S70" s="25"/>
      <c r="T70" s="25"/>
      <c r="U70" s="25"/>
      <c r="V70" s="25"/>
      <c r="W70" s="25"/>
      <c r="X70" s="25"/>
      <c r="Y70" s="25"/>
      <c r="Z70" s="25"/>
    </row>
    <row r="71" ht="15.75" customHeight="1">
      <c r="A71" s="25"/>
      <c r="B71" s="449"/>
      <c r="C71" s="449"/>
      <c r="D71" s="449"/>
      <c r="E71" s="25"/>
      <c r="F71" s="25"/>
      <c r="G71" s="25"/>
      <c r="H71" s="25"/>
      <c r="I71" s="25"/>
      <c r="J71" s="25"/>
      <c r="K71" s="25"/>
      <c r="L71" s="25"/>
      <c r="M71" s="25"/>
      <c r="N71" s="25"/>
      <c r="O71" s="25"/>
      <c r="P71" s="25"/>
      <c r="Q71" s="25"/>
      <c r="R71" s="25"/>
      <c r="S71" s="25"/>
      <c r="T71" s="25"/>
      <c r="U71" s="25"/>
      <c r="V71" s="25"/>
      <c r="W71" s="25"/>
      <c r="X71" s="25"/>
      <c r="Y71" s="25"/>
      <c r="Z71" s="25"/>
    </row>
    <row r="72" ht="15.75" customHeight="1">
      <c r="A72" s="25"/>
      <c r="B72" s="449"/>
      <c r="C72" s="449"/>
      <c r="D72" s="449"/>
      <c r="E72" s="25"/>
      <c r="F72" s="25"/>
      <c r="G72" s="25"/>
      <c r="H72" s="25"/>
      <c r="I72" s="25"/>
      <c r="J72" s="25"/>
      <c r="K72" s="25"/>
      <c r="L72" s="25"/>
      <c r="M72" s="25"/>
      <c r="N72" s="25"/>
      <c r="O72" s="25"/>
      <c r="P72" s="25"/>
      <c r="Q72" s="25"/>
      <c r="R72" s="25"/>
      <c r="S72" s="25"/>
      <c r="T72" s="25"/>
      <c r="U72" s="25"/>
      <c r="V72" s="25"/>
      <c r="W72" s="25"/>
      <c r="X72" s="25"/>
      <c r="Y72" s="25"/>
      <c r="Z72" s="25"/>
    </row>
    <row r="73" ht="15.75" customHeight="1">
      <c r="A73" s="25"/>
      <c r="B73" s="449"/>
      <c r="C73" s="449"/>
      <c r="D73" s="449"/>
      <c r="E73" s="25"/>
      <c r="F73" s="25"/>
      <c r="G73" s="25"/>
      <c r="H73" s="25"/>
      <c r="I73" s="25"/>
      <c r="J73" s="25"/>
      <c r="K73" s="25"/>
      <c r="L73" s="25"/>
      <c r="M73" s="25"/>
      <c r="N73" s="25"/>
      <c r="O73" s="25"/>
      <c r="P73" s="25"/>
      <c r="Q73" s="25"/>
      <c r="R73" s="25"/>
      <c r="S73" s="25"/>
      <c r="T73" s="25"/>
      <c r="U73" s="25"/>
      <c r="V73" s="25"/>
      <c r="W73" s="25"/>
      <c r="X73" s="25"/>
      <c r="Y73" s="25"/>
      <c r="Z73" s="25"/>
    </row>
    <row r="74" ht="15.75" customHeight="1">
      <c r="A74" s="25"/>
      <c r="B74" s="449"/>
      <c r="C74" s="449"/>
      <c r="D74" s="449"/>
      <c r="E74" s="25"/>
      <c r="F74" s="25"/>
      <c r="G74" s="25"/>
      <c r="H74" s="25"/>
      <c r="I74" s="25"/>
      <c r="J74" s="25"/>
      <c r="K74" s="25"/>
      <c r="L74" s="25"/>
      <c r="M74" s="25"/>
      <c r="N74" s="25"/>
      <c r="O74" s="25"/>
      <c r="P74" s="25"/>
      <c r="Q74" s="25"/>
      <c r="R74" s="25"/>
      <c r="S74" s="25"/>
      <c r="T74" s="25"/>
      <c r="U74" s="25"/>
      <c r="V74" s="25"/>
      <c r="W74" s="25"/>
      <c r="X74" s="25"/>
      <c r="Y74" s="25"/>
      <c r="Z74" s="25"/>
    </row>
    <row r="75" ht="15.75" customHeight="1">
      <c r="A75" s="25"/>
      <c r="B75" s="449"/>
      <c r="C75" s="449"/>
      <c r="D75" s="449"/>
      <c r="E75" s="25"/>
      <c r="F75" s="25"/>
      <c r="G75" s="25"/>
      <c r="H75" s="25"/>
      <c r="I75" s="25"/>
      <c r="J75" s="25"/>
      <c r="K75" s="25"/>
      <c r="L75" s="25"/>
      <c r="M75" s="25"/>
      <c r="N75" s="25"/>
      <c r="O75" s="25"/>
      <c r="P75" s="25"/>
      <c r="Q75" s="25"/>
      <c r="R75" s="25"/>
      <c r="S75" s="25"/>
      <c r="T75" s="25"/>
      <c r="U75" s="25"/>
      <c r="V75" s="25"/>
      <c r="W75" s="25"/>
      <c r="X75" s="25"/>
      <c r="Y75" s="25"/>
      <c r="Z75" s="25"/>
    </row>
    <row r="76" ht="15.75" customHeight="1">
      <c r="A76" s="25"/>
      <c r="B76" s="449"/>
      <c r="C76" s="449"/>
      <c r="D76" s="449"/>
      <c r="E76" s="25"/>
      <c r="F76" s="25"/>
      <c r="G76" s="25"/>
      <c r="H76" s="25"/>
      <c r="I76" s="25"/>
      <c r="J76" s="25"/>
      <c r="K76" s="25"/>
      <c r="L76" s="25"/>
      <c r="M76" s="25"/>
      <c r="N76" s="25"/>
      <c r="O76" s="25"/>
      <c r="P76" s="25"/>
      <c r="Q76" s="25"/>
      <c r="R76" s="25"/>
      <c r="S76" s="25"/>
      <c r="T76" s="25"/>
      <c r="U76" s="25"/>
      <c r="V76" s="25"/>
      <c r="W76" s="25"/>
      <c r="X76" s="25"/>
      <c r="Y76" s="25"/>
      <c r="Z76" s="25"/>
    </row>
    <row r="77" ht="15.75" customHeight="1">
      <c r="A77" s="25"/>
      <c r="B77" s="449"/>
      <c r="C77" s="449"/>
      <c r="D77" s="449"/>
      <c r="E77" s="25"/>
      <c r="F77" s="25"/>
      <c r="G77" s="25"/>
      <c r="H77" s="25"/>
      <c r="I77" s="25"/>
      <c r="J77" s="25"/>
      <c r="K77" s="25"/>
      <c r="L77" s="25"/>
      <c r="M77" s="25"/>
      <c r="N77" s="25"/>
      <c r="O77" s="25"/>
      <c r="P77" s="25"/>
      <c r="Q77" s="25"/>
      <c r="R77" s="25"/>
      <c r="S77" s="25"/>
      <c r="T77" s="25"/>
      <c r="U77" s="25"/>
      <c r="V77" s="25"/>
      <c r="W77" s="25"/>
      <c r="X77" s="25"/>
      <c r="Y77" s="25"/>
      <c r="Z77" s="25"/>
    </row>
    <row r="78" ht="15.75" customHeight="1">
      <c r="A78" s="25"/>
      <c r="B78" s="449"/>
      <c r="C78" s="449"/>
      <c r="D78" s="449"/>
      <c r="E78" s="25"/>
      <c r="F78" s="25"/>
      <c r="G78" s="25"/>
      <c r="H78" s="25"/>
      <c r="I78" s="25"/>
      <c r="J78" s="25"/>
      <c r="K78" s="25"/>
      <c r="L78" s="25"/>
      <c r="M78" s="25"/>
      <c r="N78" s="25"/>
      <c r="O78" s="25"/>
      <c r="P78" s="25"/>
      <c r="Q78" s="25"/>
      <c r="R78" s="25"/>
      <c r="S78" s="25"/>
      <c r="T78" s="25"/>
      <c r="U78" s="25"/>
      <c r="V78" s="25"/>
      <c r="W78" s="25"/>
      <c r="X78" s="25"/>
      <c r="Y78" s="25"/>
      <c r="Z78" s="25"/>
    </row>
    <row r="79" ht="15.75" customHeight="1">
      <c r="A79" s="25"/>
      <c r="B79" s="449"/>
      <c r="C79" s="449"/>
      <c r="D79" s="449"/>
      <c r="E79" s="25"/>
      <c r="F79" s="25"/>
      <c r="G79" s="25"/>
      <c r="H79" s="25"/>
      <c r="I79" s="25"/>
      <c r="J79" s="25"/>
      <c r="K79" s="25"/>
      <c r="L79" s="25"/>
      <c r="M79" s="25"/>
      <c r="N79" s="25"/>
      <c r="O79" s="25"/>
      <c r="P79" s="25"/>
      <c r="Q79" s="25"/>
      <c r="R79" s="25"/>
      <c r="S79" s="25"/>
      <c r="T79" s="25"/>
      <c r="U79" s="25"/>
      <c r="V79" s="25"/>
      <c r="W79" s="25"/>
      <c r="X79" s="25"/>
      <c r="Y79" s="25"/>
      <c r="Z79" s="25"/>
    </row>
    <row r="80" ht="15.75" customHeight="1">
      <c r="A80" s="25"/>
      <c r="B80" s="449"/>
      <c r="C80" s="449"/>
      <c r="D80" s="449"/>
      <c r="E80" s="25"/>
      <c r="F80" s="25"/>
      <c r="G80" s="25"/>
      <c r="H80" s="25"/>
      <c r="I80" s="25"/>
      <c r="J80" s="25"/>
      <c r="K80" s="25"/>
      <c r="L80" s="25"/>
      <c r="M80" s="25"/>
      <c r="N80" s="25"/>
      <c r="O80" s="25"/>
      <c r="P80" s="25"/>
      <c r="Q80" s="25"/>
      <c r="R80" s="25"/>
      <c r="S80" s="25"/>
      <c r="T80" s="25"/>
      <c r="U80" s="25"/>
      <c r="V80" s="25"/>
      <c r="W80" s="25"/>
      <c r="X80" s="25"/>
      <c r="Y80" s="25"/>
      <c r="Z80" s="25"/>
    </row>
    <row r="81" ht="15.75" customHeight="1">
      <c r="A81" s="25"/>
      <c r="B81" s="449"/>
      <c r="C81" s="449"/>
      <c r="D81" s="449"/>
      <c r="E81" s="25"/>
      <c r="F81" s="25"/>
      <c r="G81" s="25"/>
      <c r="H81" s="25"/>
      <c r="I81" s="25"/>
      <c r="J81" s="25"/>
      <c r="K81" s="25"/>
      <c r="L81" s="25"/>
      <c r="M81" s="25"/>
      <c r="N81" s="25"/>
      <c r="O81" s="25"/>
      <c r="P81" s="25"/>
      <c r="Q81" s="25"/>
      <c r="R81" s="25"/>
      <c r="S81" s="25"/>
      <c r="T81" s="25"/>
      <c r="U81" s="25"/>
      <c r="V81" s="25"/>
      <c r="W81" s="25"/>
      <c r="X81" s="25"/>
      <c r="Y81" s="25"/>
      <c r="Z81" s="25"/>
    </row>
    <row r="82" ht="15.75" customHeight="1">
      <c r="A82" s="25"/>
      <c r="B82" s="449"/>
      <c r="C82" s="449"/>
      <c r="D82" s="449"/>
      <c r="E82" s="25"/>
      <c r="F82" s="25"/>
      <c r="G82" s="25"/>
      <c r="H82" s="25"/>
      <c r="I82" s="25"/>
      <c r="J82" s="25"/>
      <c r="K82" s="25"/>
      <c r="L82" s="25"/>
      <c r="M82" s="25"/>
      <c r="N82" s="25"/>
      <c r="O82" s="25"/>
      <c r="P82" s="25"/>
      <c r="Q82" s="25"/>
      <c r="R82" s="25"/>
      <c r="S82" s="25"/>
      <c r="T82" s="25"/>
      <c r="U82" s="25"/>
      <c r="V82" s="25"/>
      <c r="W82" s="25"/>
      <c r="X82" s="25"/>
      <c r="Y82" s="25"/>
      <c r="Z82" s="25"/>
    </row>
    <row r="83" ht="15.75" customHeight="1">
      <c r="A83" s="25"/>
      <c r="B83" s="449"/>
      <c r="C83" s="449"/>
      <c r="D83" s="449"/>
      <c r="E83" s="25"/>
      <c r="F83" s="25"/>
      <c r="G83" s="25"/>
      <c r="H83" s="25"/>
      <c r="I83" s="25"/>
      <c r="J83" s="25"/>
      <c r="K83" s="25"/>
      <c r="L83" s="25"/>
      <c r="M83" s="25"/>
      <c r="N83" s="25"/>
      <c r="O83" s="25"/>
      <c r="P83" s="25"/>
      <c r="Q83" s="25"/>
      <c r="R83" s="25"/>
      <c r="S83" s="25"/>
      <c r="T83" s="25"/>
      <c r="U83" s="25"/>
      <c r="V83" s="25"/>
      <c r="W83" s="25"/>
      <c r="X83" s="25"/>
      <c r="Y83" s="25"/>
      <c r="Z83" s="25"/>
    </row>
    <row r="84" ht="15.75" customHeight="1">
      <c r="A84" s="25"/>
      <c r="B84" s="449"/>
      <c r="C84" s="449"/>
      <c r="D84" s="449"/>
      <c r="E84" s="25"/>
      <c r="F84" s="25"/>
      <c r="G84" s="25"/>
      <c r="H84" s="25"/>
      <c r="I84" s="25"/>
      <c r="J84" s="25"/>
      <c r="K84" s="25"/>
      <c r="L84" s="25"/>
      <c r="M84" s="25"/>
      <c r="N84" s="25"/>
      <c r="O84" s="25"/>
      <c r="P84" s="25"/>
      <c r="Q84" s="25"/>
      <c r="R84" s="25"/>
      <c r="S84" s="25"/>
      <c r="T84" s="25"/>
      <c r="U84" s="25"/>
      <c r="V84" s="25"/>
      <c r="W84" s="25"/>
      <c r="X84" s="25"/>
      <c r="Y84" s="25"/>
      <c r="Z84" s="25"/>
    </row>
    <row r="85" ht="15.75" customHeight="1">
      <c r="A85" s="25"/>
      <c r="B85" s="449"/>
      <c r="C85" s="449"/>
      <c r="D85" s="449"/>
      <c r="E85" s="25"/>
      <c r="F85" s="25"/>
      <c r="G85" s="25"/>
      <c r="H85" s="25"/>
      <c r="I85" s="25"/>
      <c r="J85" s="25"/>
      <c r="K85" s="25"/>
      <c r="L85" s="25"/>
      <c r="M85" s="25"/>
      <c r="N85" s="25"/>
      <c r="O85" s="25"/>
      <c r="P85" s="25"/>
      <c r="Q85" s="25"/>
      <c r="R85" s="25"/>
      <c r="S85" s="25"/>
      <c r="T85" s="25"/>
      <c r="U85" s="25"/>
      <c r="V85" s="25"/>
      <c r="W85" s="25"/>
      <c r="X85" s="25"/>
      <c r="Y85" s="25"/>
      <c r="Z85" s="25"/>
    </row>
    <row r="86" ht="15.75" customHeight="1">
      <c r="A86" s="25"/>
      <c r="B86" s="449"/>
      <c r="C86" s="449"/>
      <c r="D86" s="449"/>
      <c r="E86" s="25"/>
      <c r="F86" s="25"/>
      <c r="G86" s="25"/>
      <c r="H86" s="25"/>
      <c r="I86" s="25"/>
      <c r="J86" s="25"/>
      <c r="K86" s="25"/>
      <c r="L86" s="25"/>
      <c r="M86" s="25"/>
      <c r="N86" s="25"/>
      <c r="O86" s="25"/>
      <c r="P86" s="25"/>
      <c r="Q86" s="25"/>
      <c r="R86" s="25"/>
      <c r="S86" s="25"/>
      <c r="T86" s="25"/>
      <c r="U86" s="25"/>
      <c r="V86" s="25"/>
      <c r="W86" s="25"/>
      <c r="X86" s="25"/>
      <c r="Y86" s="25"/>
      <c r="Z86" s="25"/>
    </row>
    <row r="87" ht="15.75" customHeight="1">
      <c r="A87" s="25"/>
      <c r="B87" s="449"/>
      <c r="C87" s="449"/>
      <c r="D87" s="449"/>
      <c r="E87" s="25"/>
      <c r="F87" s="25"/>
      <c r="G87" s="25"/>
      <c r="H87" s="25"/>
      <c r="I87" s="25"/>
      <c r="J87" s="25"/>
      <c r="K87" s="25"/>
      <c r="L87" s="25"/>
      <c r="M87" s="25"/>
      <c r="N87" s="25"/>
      <c r="O87" s="25"/>
      <c r="P87" s="25"/>
      <c r="Q87" s="25"/>
      <c r="R87" s="25"/>
      <c r="S87" s="25"/>
      <c r="T87" s="25"/>
      <c r="U87" s="25"/>
      <c r="V87" s="25"/>
      <c r="W87" s="25"/>
      <c r="X87" s="25"/>
      <c r="Y87" s="25"/>
      <c r="Z87" s="25"/>
    </row>
    <row r="88" ht="15.75" customHeight="1">
      <c r="A88" s="25"/>
      <c r="B88" s="449"/>
      <c r="C88" s="449"/>
      <c r="D88" s="449"/>
      <c r="E88" s="25"/>
      <c r="F88" s="25"/>
      <c r="G88" s="25"/>
      <c r="H88" s="25"/>
      <c r="I88" s="25"/>
      <c r="J88" s="25"/>
      <c r="K88" s="25"/>
      <c r="L88" s="25"/>
      <c r="M88" s="25"/>
      <c r="N88" s="25"/>
      <c r="O88" s="25"/>
      <c r="P88" s="25"/>
      <c r="Q88" s="25"/>
      <c r="R88" s="25"/>
      <c r="S88" s="25"/>
      <c r="T88" s="25"/>
      <c r="U88" s="25"/>
      <c r="V88" s="25"/>
      <c r="W88" s="25"/>
      <c r="X88" s="25"/>
      <c r="Y88" s="25"/>
      <c r="Z88" s="25"/>
    </row>
    <row r="89" ht="15.75" customHeight="1">
      <c r="A89" s="25"/>
      <c r="B89" s="449"/>
      <c r="C89" s="449"/>
      <c r="D89" s="449"/>
      <c r="E89" s="25"/>
      <c r="F89" s="25"/>
      <c r="G89" s="25"/>
      <c r="H89" s="25"/>
      <c r="I89" s="25"/>
      <c r="J89" s="25"/>
      <c r="K89" s="25"/>
      <c r="L89" s="25"/>
      <c r="M89" s="25"/>
      <c r="N89" s="25"/>
      <c r="O89" s="25"/>
      <c r="P89" s="25"/>
      <c r="Q89" s="25"/>
      <c r="R89" s="25"/>
      <c r="S89" s="25"/>
      <c r="T89" s="25"/>
      <c r="U89" s="25"/>
      <c r="V89" s="25"/>
      <c r="W89" s="25"/>
      <c r="X89" s="25"/>
      <c r="Y89" s="25"/>
      <c r="Z89" s="25"/>
    </row>
    <row r="90" ht="15.75" customHeight="1">
      <c r="A90" s="25"/>
      <c r="B90" s="449"/>
      <c r="C90" s="449"/>
      <c r="D90" s="449"/>
      <c r="E90" s="25"/>
      <c r="F90" s="25"/>
      <c r="G90" s="25"/>
      <c r="H90" s="25"/>
      <c r="I90" s="25"/>
      <c r="J90" s="25"/>
      <c r="K90" s="25"/>
      <c r="L90" s="25"/>
      <c r="M90" s="25"/>
      <c r="N90" s="25"/>
      <c r="O90" s="25"/>
      <c r="P90" s="25"/>
      <c r="Q90" s="25"/>
      <c r="R90" s="25"/>
      <c r="S90" s="25"/>
      <c r="T90" s="25"/>
      <c r="U90" s="25"/>
      <c r="V90" s="25"/>
      <c r="W90" s="25"/>
      <c r="X90" s="25"/>
      <c r="Y90" s="25"/>
      <c r="Z90" s="25"/>
    </row>
    <row r="91" ht="15.75" customHeight="1">
      <c r="A91" s="25"/>
      <c r="B91" s="449"/>
      <c r="C91" s="449"/>
      <c r="D91" s="449"/>
      <c r="E91" s="25"/>
      <c r="F91" s="25"/>
      <c r="G91" s="25"/>
      <c r="H91" s="25"/>
      <c r="I91" s="25"/>
      <c r="J91" s="25"/>
      <c r="K91" s="25"/>
      <c r="L91" s="25"/>
      <c r="M91" s="25"/>
      <c r="N91" s="25"/>
      <c r="O91" s="25"/>
      <c r="P91" s="25"/>
      <c r="Q91" s="25"/>
      <c r="R91" s="25"/>
      <c r="S91" s="25"/>
      <c r="T91" s="25"/>
      <c r="U91" s="25"/>
      <c r="V91" s="25"/>
      <c r="W91" s="25"/>
      <c r="X91" s="25"/>
      <c r="Y91" s="25"/>
      <c r="Z91" s="25"/>
    </row>
    <row r="92" ht="15.75" customHeight="1">
      <c r="A92" s="25"/>
      <c r="B92" s="449"/>
      <c r="C92" s="449"/>
      <c r="D92" s="449"/>
      <c r="E92" s="25"/>
      <c r="F92" s="25"/>
      <c r="G92" s="25"/>
      <c r="H92" s="25"/>
      <c r="I92" s="25"/>
      <c r="J92" s="25"/>
      <c r="K92" s="25"/>
      <c r="L92" s="25"/>
      <c r="M92" s="25"/>
      <c r="N92" s="25"/>
      <c r="O92" s="25"/>
      <c r="P92" s="25"/>
      <c r="Q92" s="25"/>
      <c r="R92" s="25"/>
      <c r="S92" s="25"/>
      <c r="T92" s="25"/>
      <c r="U92" s="25"/>
      <c r="V92" s="25"/>
      <c r="W92" s="25"/>
      <c r="X92" s="25"/>
      <c r="Y92" s="25"/>
      <c r="Z92" s="25"/>
    </row>
    <row r="93" ht="15.75" customHeight="1">
      <c r="A93" s="25"/>
      <c r="B93" s="449"/>
      <c r="C93" s="449"/>
      <c r="D93" s="449"/>
      <c r="E93" s="25"/>
      <c r="F93" s="25"/>
      <c r="G93" s="25"/>
      <c r="H93" s="25"/>
      <c r="I93" s="25"/>
      <c r="J93" s="25"/>
      <c r="K93" s="25"/>
      <c r="L93" s="25"/>
      <c r="M93" s="25"/>
      <c r="N93" s="25"/>
      <c r="O93" s="25"/>
      <c r="P93" s="25"/>
      <c r="Q93" s="25"/>
      <c r="R93" s="25"/>
      <c r="S93" s="25"/>
      <c r="T93" s="25"/>
      <c r="U93" s="25"/>
      <c r="V93" s="25"/>
      <c r="W93" s="25"/>
      <c r="X93" s="25"/>
      <c r="Y93" s="25"/>
      <c r="Z93" s="25"/>
    </row>
    <row r="94" ht="15.75" customHeight="1">
      <c r="A94" s="25"/>
      <c r="B94" s="449"/>
      <c r="C94" s="449"/>
      <c r="D94" s="449"/>
      <c r="E94" s="25"/>
      <c r="F94" s="25"/>
      <c r="G94" s="25"/>
      <c r="H94" s="25"/>
      <c r="I94" s="25"/>
      <c r="J94" s="25"/>
      <c r="K94" s="25"/>
      <c r="L94" s="25"/>
      <c r="M94" s="25"/>
      <c r="N94" s="25"/>
      <c r="O94" s="25"/>
      <c r="P94" s="25"/>
      <c r="Q94" s="25"/>
      <c r="R94" s="25"/>
      <c r="S94" s="25"/>
      <c r="T94" s="25"/>
      <c r="U94" s="25"/>
      <c r="V94" s="25"/>
      <c r="W94" s="25"/>
      <c r="X94" s="25"/>
      <c r="Y94" s="25"/>
      <c r="Z94" s="25"/>
    </row>
    <row r="95" ht="15.75" customHeight="1">
      <c r="A95" s="25"/>
      <c r="B95" s="449"/>
      <c r="C95" s="449"/>
      <c r="D95" s="449"/>
      <c r="E95" s="25"/>
      <c r="F95" s="25"/>
      <c r="G95" s="25"/>
      <c r="H95" s="25"/>
      <c r="I95" s="25"/>
      <c r="J95" s="25"/>
      <c r="K95" s="25"/>
      <c r="L95" s="25"/>
      <c r="M95" s="25"/>
      <c r="N95" s="25"/>
      <c r="O95" s="25"/>
      <c r="P95" s="25"/>
      <c r="Q95" s="25"/>
      <c r="R95" s="25"/>
      <c r="S95" s="25"/>
      <c r="T95" s="25"/>
      <c r="U95" s="25"/>
      <c r="V95" s="25"/>
      <c r="W95" s="25"/>
      <c r="X95" s="25"/>
      <c r="Y95" s="25"/>
      <c r="Z95" s="25"/>
    </row>
    <row r="96" ht="15.75" customHeight="1">
      <c r="A96" s="25"/>
      <c r="B96" s="449"/>
      <c r="C96" s="449"/>
      <c r="D96" s="449"/>
      <c r="E96" s="25"/>
      <c r="F96" s="25"/>
      <c r="G96" s="25"/>
      <c r="H96" s="25"/>
      <c r="I96" s="25"/>
      <c r="J96" s="25"/>
      <c r="K96" s="25"/>
      <c r="L96" s="25"/>
      <c r="M96" s="25"/>
      <c r="N96" s="25"/>
      <c r="O96" s="25"/>
      <c r="P96" s="25"/>
      <c r="Q96" s="25"/>
      <c r="R96" s="25"/>
      <c r="S96" s="25"/>
      <c r="T96" s="25"/>
      <c r="U96" s="25"/>
      <c r="V96" s="25"/>
      <c r="W96" s="25"/>
      <c r="X96" s="25"/>
      <c r="Y96" s="25"/>
      <c r="Z96" s="25"/>
    </row>
    <row r="97" ht="15.75" customHeight="1">
      <c r="A97" s="25"/>
      <c r="B97" s="449"/>
      <c r="C97" s="449"/>
      <c r="D97" s="449"/>
      <c r="E97" s="25"/>
      <c r="F97" s="25"/>
      <c r="G97" s="25"/>
      <c r="H97" s="25"/>
      <c r="I97" s="25"/>
      <c r="J97" s="25"/>
      <c r="K97" s="25"/>
      <c r="L97" s="25"/>
      <c r="M97" s="25"/>
      <c r="N97" s="25"/>
      <c r="O97" s="25"/>
      <c r="P97" s="25"/>
      <c r="Q97" s="25"/>
      <c r="R97" s="25"/>
      <c r="S97" s="25"/>
      <c r="T97" s="25"/>
      <c r="U97" s="25"/>
      <c r="V97" s="25"/>
      <c r="W97" s="25"/>
      <c r="X97" s="25"/>
      <c r="Y97" s="25"/>
      <c r="Z97" s="25"/>
    </row>
    <row r="98" ht="15.75" customHeight="1">
      <c r="A98" s="25"/>
      <c r="B98" s="449"/>
      <c r="C98" s="449"/>
      <c r="D98" s="449"/>
      <c r="E98" s="25"/>
      <c r="F98" s="25"/>
      <c r="G98" s="25"/>
      <c r="H98" s="25"/>
      <c r="I98" s="25"/>
      <c r="J98" s="25"/>
      <c r="K98" s="25"/>
      <c r="L98" s="25"/>
      <c r="M98" s="25"/>
      <c r="N98" s="25"/>
      <c r="O98" s="25"/>
      <c r="P98" s="25"/>
      <c r="Q98" s="25"/>
      <c r="R98" s="25"/>
      <c r="S98" s="25"/>
      <c r="T98" s="25"/>
      <c r="U98" s="25"/>
      <c r="V98" s="25"/>
      <c r="W98" s="25"/>
      <c r="X98" s="25"/>
      <c r="Y98" s="25"/>
      <c r="Z98" s="25"/>
    </row>
    <row r="99" ht="15.75" customHeight="1">
      <c r="A99" s="25"/>
      <c r="B99" s="449"/>
      <c r="C99" s="449"/>
      <c r="D99" s="449"/>
      <c r="E99" s="25"/>
      <c r="F99" s="25"/>
      <c r="G99" s="25"/>
      <c r="H99" s="25"/>
      <c r="I99" s="25"/>
      <c r="J99" s="25"/>
      <c r="K99" s="25"/>
      <c r="L99" s="25"/>
      <c r="M99" s="25"/>
      <c r="N99" s="25"/>
      <c r="O99" s="25"/>
      <c r="P99" s="25"/>
      <c r="Q99" s="25"/>
      <c r="R99" s="25"/>
      <c r="S99" s="25"/>
      <c r="T99" s="25"/>
      <c r="U99" s="25"/>
      <c r="V99" s="25"/>
      <c r="W99" s="25"/>
      <c r="X99" s="25"/>
      <c r="Y99" s="25"/>
      <c r="Z99" s="25"/>
    </row>
    <row r="100" ht="15.75" customHeight="1">
      <c r="A100" s="25"/>
      <c r="B100" s="449"/>
      <c r="C100" s="449"/>
      <c r="D100" s="449"/>
      <c r="E100" s="25"/>
      <c r="F100" s="25"/>
      <c r="G100" s="25"/>
      <c r="H100" s="25"/>
      <c r="I100" s="25"/>
      <c r="J100" s="25"/>
      <c r="K100" s="25"/>
      <c r="L100" s="25"/>
      <c r="M100" s="25"/>
      <c r="N100" s="25"/>
      <c r="O100" s="25"/>
      <c r="P100" s="25"/>
      <c r="Q100" s="25"/>
      <c r="R100" s="25"/>
      <c r="S100" s="25"/>
      <c r="T100" s="25"/>
      <c r="U100" s="25"/>
      <c r="V100" s="25"/>
      <c r="W100" s="25"/>
      <c r="X100" s="25"/>
      <c r="Y100" s="25"/>
      <c r="Z100" s="25"/>
    </row>
    <row r="101" ht="15.75" customHeight="1">
      <c r="A101" s="25"/>
      <c r="B101" s="449"/>
      <c r="C101" s="449"/>
      <c r="D101" s="449"/>
      <c r="E101" s="25"/>
      <c r="F101" s="25"/>
      <c r="G101" s="25"/>
      <c r="H101" s="25"/>
      <c r="I101" s="25"/>
      <c r="J101" s="25"/>
      <c r="K101" s="25"/>
      <c r="L101" s="25"/>
      <c r="M101" s="25"/>
      <c r="N101" s="25"/>
      <c r="O101" s="25"/>
      <c r="P101" s="25"/>
      <c r="Q101" s="25"/>
      <c r="R101" s="25"/>
      <c r="S101" s="25"/>
      <c r="T101" s="25"/>
      <c r="U101" s="25"/>
      <c r="V101" s="25"/>
      <c r="W101" s="25"/>
      <c r="X101" s="25"/>
      <c r="Y101" s="25"/>
      <c r="Z101" s="25"/>
    </row>
    <row r="102" ht="15.75" customHeight="1">
      <c r="A102" s="25"/>
      <c r="B102" s="449"/>
      <c r="C102" s="449"/>
      <c r="D102" s="449"/>
      <c r="E102" s="25"/>
      <c r="F102" s="25"/>
      <c r="G102" s="25"/>
      <c r="H102" s="25"/>
      <c r="I102" s="25"/>
      <c r="J102" s="25"/>
      <c r="K102" s="25"/>
      <c r="L102" s="25"/>
      <c r="M102" s="25"/>
      <c r="N102" s="25"/>
      <c r="O102" s="25"/>
      <c r="P102" s="25"/>
      <c r="Q102" s="25"/>
      <c r="R102" s="25"/>
      <c r="S102" s="25"/>
      <c r="T102" s="25"/>
      <c r="U102" s="25"/>
      <c r="V102" s="25"/>
      <c r="W102" s="25"/>
      <c r="X102" s="25"/>
      <c r="Y102" s="25"/>
      <c r="Z102" s="25"/>
    </row>
    <row r="103" ht="15.75" customHeight="1">
      <c r="A103" s="25"/>
      <c r="B103" s="449"/>
      <c r="C103" s="449"/>
      <c r="D103" s="449"/>
      <c r="E103" s="25"/>
      <c r="F103" s="25"/>
      <c r="G103" s="25"/>
      <c r="H103" s="25"/>
      <c r="I103" s="25"/>
      <c r="J103" s="25"/>
      <c r="K103" s="25"/>
      <c r="L103" s="25"/>
      <c r="M103" s="25"/>
      <c r="N103" s="25"/>
      <c r="O103" s="25"/>
      <c r="P103" s="25"/>
      <c r="Q103" s="25"/>
      <c r="R103" s="25"/>
      <c r="S103" s="25"/>
      <c r="T103" s="25"/>
      <c r="U103" s="25"/>
      <c r="V103" s="25"/>
      <c r="W103" s="25"/>
      <c r="X103" s="25"/>
      <c r="Y103" s="25"/>
      <c r="Z103" s="25"/>
    </row>
    <row r="104" ht="15.75" customHeight="1">
      <c r="A104" s="25"/>
      <c r="B104" s="449"/>
      <c r="C104" s="449"/>
      <c r="D104" s="449"/>
      <c r="E104" s="25"/>
      <c r="F104" s="25"/>
      <c r="G104" s="25"/>
      <c r="H104" s="25"/>
      <c r="I104" s="25"/>
      <c r="J104" s="25"/>
      <c r="K104" s="25"/>
      <c r="L104" s="25"/>
      <c r="M104" s="25"/>
      <c r="N104" s="25"/>
      <c r="O104" s="25"/>
      <c r="P104" s="25"/>
      <c r="Q104" s="25"/>
      <c r="R104" s="25"/>
      <c r="S104" s="25"/>
      <c r="T104" s="25"/>
      <c r="U104" s="25"/>
      <c r="V104" s="25"/>
      <c r="W104" s="25"/>
      <c r="X104" s="25"/>
      <c r="Y104" s="25"/>
      <c r="Z104" s="25"/>
    </row>
    <row r="105" ht="15.75" customHeight="1">
      <c r="A105" s="25"/>
      <c r="B105" s="449"/>
      <c r="C105" s="449"/>
      <c r="D105" s="449"/>
      <c r="E105" s="25"/>
      <c r="F105" s="25"/>
      <c r="G105" s="25"/>
      <c r="H105" s="25"/>
      <c r="I105" s="25"/>
      <c r="J105" s="25"/>
      <c r="K105" s="25"/>
      <c r="L105" s="25"/>
      <c r="M105" s="25"/>
      <c r="N105" s="25"/>
      <c r="O105" s="25"/>
      <c r="P105" s="25"/>
      <c r="Q105" s="25"/>
      <c r="R105" s="25"/>
      <c r="S105" s="25"/>
      <c r="T105" s="25"/>
      <c r="U105" s="25"/>
      <c r="V105" s="25"/>
      <c r="W105" s="25"/>
      <c r="X105" s="25"/>
      <c r="Y105" s="25"/>
      <c r="Z105" s="25"/>
    </row>
    <row r="106" ht="15.75" customHeight="1">
      <c r="A106" s="25"/>
      <c r="B106" s="449"/>
      <c r="C106" s="449"/>
      <c r="D106" s="449"/>
      <c r="E106" s="25"/>
      <c r="F106" s="25"/>
      <c r="G106" s="25"/>
      <c r="H106" s="25"/>
      <c r="I106" s="25"/>
      <c r="J106" s="25"/>
      <c r="K106" s="25"/>
      <c r="L106" s="25"/>
      <c r="M106" s="25"/>
      <c r="N106" s="25"/>
      <c r="O106" s="25"/>
      <c r="P106" s="25"/>
      <c r="Q106" s="25"/>
      <c r="R106" s="25"/>
      <c r="S106" s="25"/>
      <c r="T106" s="25"/>
      <c r="U106" s="25"/>
      <c r="V106" s="25"/>
      <c r="W106" s="25"/>
      <c r="X106" s="25"/>
      <c r="Y106" s="25"/>
      <c r="Z106" s="25"/>
    </row>
    <row r="107" ht="15.75" customHeight="1">
      <c r="A107" s="25"/>
      <c r="B107" s="449"/>
      <c r="C107" s="449"/>
      <c r="D107" s="449"/>
      <c r="E107" s="25"/>
      <c r="F107" s="25"/>
      <c r="G107" s="25"/>
      <c r="H107" s="25"/>
      <c r="I107" s="25"/>
      <c r="J107" s="25"/>
      <c r="K107" s="25"/>
      <c r="L107" s="25"/>
      <c r="M107" s="25"/>
      <c r="N107" s="25"/>
      <c r="O107" s="25"/>
      <c r="P107" s="25"/>
      <c r="Q107" s="25"/>
      <c r="R107" s="25"/>
      <c r="S107" s="25"/>
      <c r="T107" s="25"/>
      <c r="U107" s="25"/>
      <c r="V107" s="25"/>
      <c r="W107" s="25"/>
      <c r="X107" s="25"/>
      <c r="Y107" s="25"/>
      <c r="Z107" s="25"/>
    </row>
    <row r="108" ht="15.75" customHeight="1">
      <c r="A108" s="25"/>
      <c r="B108" s="449"/>
      <c r="C108" s="449"/>
      <c r="D108" s="449"/>
      <c r="E108" s="25"/>
      <c r="F108" s="25"/>
      <c r="G108" s="25"/>
      <c r="H108" s="25"/>
      <c r="I108" s="25"/>
      <c r="J108" s="25"/>
      <c r="K108" s="25"/>
      <c r="L108" s="25"/>
      <c r="M108" s="25"/>
      <c r="N108" s="25"/>
      <c r="O108" s="25"/>
      <c r="P108" s="25"/>
      <c r="Q108" s="25"/>
      <c r="R108" s="25"/>
      <c r="S108" s="25"/>
      <c r="T108" s="25"/>
      <c r="U108" s="25"/>
      <c r="V108" s="25"/>
      <c r="W108" s="25"/>
      <c r="X108" s="25"/>
      <c r="Y108" s="25"/>
      <c r="Z108" s="25"/>
    </row>
    <row r="109" ht="15.75" customHeight="1">
      <c r="A109" s="25"/>
      <c r="B109" s="449"/>
      <c r="C109" s="449"/>
      <c r="D109" s="449"/>
      <c r="E109" s="25"/>
      <c r="F109" s="25"/>
      <c r="G109" s="25"/>
      <c r="H109" s="25"/>
      <c r="I109" s="25"/>
      <c r="J109" s="25"/>
      <c r="K109" s="25"/>
      <c r="L109" s="25"/>
      <c r="M109" s="25"/>
      <c r="N109" s="25"/>
      <c r="O109" s="25"/>
      <c r="P109" s="25"/>
      <c r="Q109" s="25"/>
      <c r="R109" s="25"/>
      <c r="S109" s="25"/>
      <c r="T109" s="25"/>
      <c r="U109" s="25"/>
      <c r="V109" s="25"/>
      <c r="W109" s="25"/>
      <c r="X109" s="25"/>
      <c r="Y109" s="25"/>
      <c r="Z109" s="25"/>
    </row>
    <row r="110" ht="15.75" customHeight="1">
      <c r="A110" s="25"/>
      <c r="B110" s="449"/>
      <c r="C110" s="449"/>
      <c r="D110" s="449"/>
      <c r="E110" s="25"/>
      <c r="F110" s="25"/>
      <c r="G110" s="25"/>
      <c r="H110" s="25"/>
      <c r="I110" s="25"/>
      <c r="J110" s="25"/>
      <c r="K110" s="25"/>
      <c r="L110" s="25"/>
      <c r="M110" s="25"/>
      <c r="N110" s="25"/>
      <c r="O110" s="25"/>
      <c r="P110" s="25"/>
      <c r="Q110" s="25"/>
      <c r="R110" s="25"/>
      <c r="S110" s="25"/>
      <c r="T110" s="25"/>
      <c r="U110" s="25"/>
      <c r="V110" s="25"/>
      <c r="W110" s="25"/>
      <c r="X110" s="25"/>
      <c r="Y110" s="25"/>
      <c r="Z110" s="25"/>
    </row>
    <row r="111" ht="15.75" customHeight="1">
      <c r="A111" s="25"/>
      <c r="B111" s="449"/>
      <c r="C111" s="449"/>
      <c r="D111" s="449"/>
      <c r="E111" s="25"/>
      <c r="F111" s="25"/>
      <c r="G111" s="25"/>
      <c r="H111" s="25"/>
      <c r="I111" s="25"/>
      <c r="J111" s="25"/>
      <c r="K111" s="25"/>
      <c r="L111" s="25"/>
      <c r="M111" s="25"/>
      <c r="N111" s="25"/>
      <c r="O111" s="25"/>
      <c r="P111" s="25"/>
      <c r="Q111" s="25"/>
      <c r="R111" s="25"/>
      <c r="S111" s="25"/>
      <c r="T111" s="25"/>
      <c r="U111" s="25"/>
      <c r="V111" s="25"/>
      <c r="W111" s="25"/>
      <c r="X111" s="25"/>
      <c r="Y111" s="25"/>
      <c r="Z111" s="25"/>
    </row>
    <row r="112" ht="15.75" customHeight="1">
      <c r="A112" s="25"/>
      <c r="B112" s="449"/>
      <c r="C112" s="449"/>
      <c r="D112" s="449"/>
      <c r="E112" s="25"/>
      <c r="F112" s="25"/>
      <c r="G112" s="25"/>
      <c r="H112" s="25"/>
      <c r="I112" s="25"/>
      <c r="J112" s="25"/>
      <c r="K112" s="25"/>
      <c r="L112" s="25"/>
      <c r="M112" s="25"/>
      <c r="N112" s="25"/>
      <c r="O112" s="25"/>
      <c r="P112" s="25"/>
      <c r="Q112" s="25"/>
      <c r="R112" s="25"/>
      <c r="S112" s="25"/>
      <c r="T112" s="25"/>
      <c r="U112" s="25"/>
      <c r="V112" s="25"/>
      <c r="W112" s="25"/>
      <c r="X112" s="25"/>
      <c r="Y112" s="25"/>
      <c r="Z112" s="25"/>
    </row>
    <row r="113" ht="15.75" customHeight="1">
      <c r="A113" s="25"/>
      <c r="B113" s="449"/>
      <c r="C113" s="449"/>
      <c r="D113" s="449"/>
      <c r="E113" s="25"/>
      <c r="F113" s="25"/>
      <c r="G113" s="25"/>
      <c r="H113" s="25"/>
      <c r="I113" s="25"/>
      <c r="J113" s="25"/>
      <c r="K113" s="25"/>
      <c r="L113" s="25"/>
      <c r="M113" s="25"/>
      <c r="N113" s="25"/>
      <c r="O113" s="25"/>
      <c r="P113" s="25"/>
      <c r="Q113" s="25"/>
      <c r="R113" s="25"/>
      <c r="S113" s="25"/>
      <c r="T113" s="25"/>
      <c r="U113" s="25"/>
      <c r="V113" s="25"/>
      <c r="W113" s="25"/>
      <c r="X113" s="25"/>
      <c r="Y113" s="25"/>
      <c r="Z113" s="25"/>
    </row>
    <row r="114" ht="15.75" customHeight="1">
      <c r="A114" s="25"/>
      <c r="B114" s="449"/>
      <c r="C114" s="449"/>
      <c r="D114" s="449"/>
      <c r="E114" s="25"/>
      <c r="F114" s="25"/>
      <c r="G114" s="25"/>
      <c r="H114" s="25"/>
      <c r="I114" s="25"/>
      <c r="J114" s="25"/>
      <c r="K114" s="25"/>
      <c r="L114" s="25"/>
      <c r="M114" s="25"/>
      <c r="N114" s="25"/>
      <c r="O114" s="25"/>
      <c r="P114" s="25"/>
      <c r="Q114" s="25"/>
      <c r="R114" s="25"/>
      <c r="S114" s="25"/>
      <c r="T114" s="25"/>
      <c r="U114" s="25"/>
      <c r="V114" s="25"/>
      <c r="W114" s="25"/>
      <c r="X114" s="25"/>
      <c r="Y114" s="25"/>
      <c r="Z114" s="25"/>
    </row>
    <row r="115" ht="15.75" customHeight="1">
      <c r="A115" s="25"/>
      <c r="B115" s="449"/>
      <c r="C115" s="449"/>
      <c r="D115" s="449"/>
      <c r="E115" s="25"/>
      <c r="F115" s="25"/>
      <c r="G115" s="25"/>
      <c r="H115" s="25"/>
      <c r="I115" s="25"/>
      <c r="J115" s="25"/>
      <c r="K115" s="25"/>
      <c r="L115" s="25"/>
      <c r="M115" s="25"/>
      <c r="N115" s="25"/>
      <c r="O115" s="25"/>
      <c r="P115" s="25"/>
      <c r="Q115" s="25"/>
      <c r="R115" s="25"/>
      <c r="S115" s="25"/>
      <c r="T115" s="25"/>
      <c r="U115" s="25"/>
      <c r="V115" s="25"/>
      <c r="W115" s="25"/>
      <c r="X115" s="25"/>
      <c r="Y115" s="25"/>
      <c r="Z115" s="25"/>
    </row>
    <row r="116" ht="15.75" customHeight="1">
      <c r="A116" s="25"/>
      <c r="B116" s="449"/>
      <c r="C116" s="449"/>
      <c r="D116" s="449"/>
      <c r="E116" s="25"/>
      <c r="F116" s="25"/>
      <c r="G116" s="25"/>
      <c r="H116" s="25"/>
      <c r="I116" s="25"/>
      <c r="J116" s="25"/>
      <c r="K116" s="25"/>
      <c r="L116" s="25"/>
      <c r="M116" s="25"/>
      <c r="N116" s="25"/>
      <c r="O116" s="25"/>
      <c r="P116" s="25"/>
      <c r="Q116" s="25"/>
      <c r="R116" s="25"/>
      <c r="S116" s="25"/>
      <c r="T116" s="25"/>
      <c r="U116" s="25"/>
      <c r="V116" s="25"/>
      <c r="W116" s="25"/>
      <c r="X116" s="25"/>
      <c r="Y116" s="25"/>
      <c r="Z116" s="25"/>
    </row>
    <row r="117" ht="15.75" customHeight="1">
      <c r="A117" s="25"/>
      <c r="B117" s="449"/>
      <c r="C117" s="449"/>
      <c r="D117" s="449"/>
      <c r="E117" s="25"/>
      <c r="F117" s="25"/>
      <c r="G117" s="25"/>
      <c r="H117" s="25"/>
      <c r="I117" s="25"/>
      <c r="J117" s="25"/>
      <c r="K117" s="25"/>
      <c r="L117" s="25"/>
      <c r="M117" s="25"/>
      <c r="N117" s="25"/>
      <c r="O117" s="25"/>
      <c r="P117" s="25"/>
      <c r="Q117" s="25"/>
      <c r="R117" s="25"/>
      <c r="S117" s="25"/>
      <c r="T117" s="25"/>
      <c r="U117" s="25"/>
      <c r="V117" s="25"/>
      <c r="W117" s="25"/>
      <c r="X117" s="25"/>
      <c r="Y117" s="25"/>
      <c r="Z117" s="25"/>
    </row>
    <row r="118" ht="15.75" customHeight="1">
      <c r="A118" s="25"/>
      <c r="B118" s="449"/>
      <c r="C118" s="449"/>
      <c r="D118" s="449"/>
      <c r="E118" s="25"/>
      <c r="F118" s="25"/>
      <c r="G118" s="25"/>
      <c r="H118" s="25"/>
      <c r="I118" s="25"/>
      <c r="J118" s="25"/>
      <c r="K118" s="25"/>
      <c r="L118" s="25"/>
      <c r="M118" s="25"/>
      <c r="N118" s="25"/>
      <c r="O118" s="25"/>
      <c r="P118" s="25"/>
      <c r="Q118" s="25"/>
      <c r="R118" s="25"/>
      <c r="S118" s="25"/>
      <c r="T118" s="25"/>
      <c r="U118" s="25"/>
      <c r="V118" s="25"/>
      <c r="W118" s="25"/>
      <c r="X118" s="25"/>
      <c r="Y118" s="25"/>
      <c r="Z118" s="25"/>
    </row>
    <row r="119" ht="15.75" customHeight="1">
      <c r="A119" s="25"/>
      <c r="B119" s="449"/>
      <c r="C119" s="449"/>
      <c r="D119" s="449"/>
      <c r="E119" s="25"/>
      <c r="F119" s="25"/>
      <c r="G119" s="25"/>
      <c r="H119" s="25"/>
      <c r="I119" s="25"/>
      <c r="J119" s="25"/>
      <c r="K119" s="25"/>
      <c r="L119" s="25"/>
      <c r="M119" s="25"/>
      <c r="N119" s="25"/>
      <c r="O119" s="25"/>
      <c r="P119" s="25"/>
      <c r="Q119" s="25"/>
      <c r="R119" s="25"/>
      <c r="S119" s="25"/>
      <c r="T119" s="25"/>
      <c r="U119" s="25"/>
      <c r="V119" s="25"/>
      <c r="W119" s="25"/>
      <c r="X119" s="25"/>
      <c r="Y119" s="25"/>
      <c r="Z119" s="25"/>
    </row>
    <row r="120" ht="15.75" customHeight="1">
      <c r="A120" s="25"/>
      <c r="B120" s="449"/>
      <c r="C120" s="449"/>
      <c r="D120" s="449"/>
      <c r="E120" s="25"/>
      <c r="F120" s="25"/>
      <c r="G120" s="25"/>
      <c r="H120" s="25"/>
      <c r="I120" s="25"/>
      <c r="J120" s="25"/>
      <c r="K120" s="25"/>
      <c r="L120" s="25"/>
      <c r="M120" s="25"/>
      <c r="N120" s="25"/>
      <c r="O120" s="25"/>
      <c r="P120" s="25"/>
      <c r="Q120" s="25"/>
      <c r="R120" s="25"/>
      <c r="S120" s="25"/>
      <c r="T120" s="25"/>
      <c r="U120" s="25"/>
      <c r="V120" s="25"/>
      <c r="W120" s="25"/>
      <c r="X120" s="25"/>
      <c r="Y120" s="25"/>
      <c r="Z120" s="25"/>
    </row>
    <row r="121" ht="15.75" customHeight="1">
      <c r="A121" s="25"/>
      <c r="B121" s="449"/>
      <c r="C121" s="449"/>
      <c r="D121" s="449"/>
      <c r="E121" s="25"/>
      <c r="F121" s="25"/>
      <c r="G121" s="25"/>
      <c r="H121" s="25"/>
      <c r="I121" s="25"/>
      <c r="J121" s="25"/>
      <c r="K121" s="25"/>
      <c r="L121" s="25"/>
      <c r="M121" s="25"/>
      <c r="N121" s="25"/>
      <c r="O121" s="25"/>
      <c r="P121" s="25"/>
      <c r="Q121" s="25"/>
      <c r="R121" s="25"/>
      <c r="S121" s="25"/>
      <c r="T121" s="25"/>
      <c r="U121" s="25"/>
      <c r="V121" s="25"/>
      <c r="W121" s="25"/>
      <c r="X121" s="25"/>
      <c r="Y121" s="25"/>
      <c r="Z121" s="25"/>
    </row>
    <row r="122" ht="15.75" customHeight="1">
      <c r="A122" s="25"/>
      <c r="B122" s="449"/>
      <c r="C122" s="449"/>
      <c r="D122" s="449"/>
      <c r="E122" s="25"/>
      <c r="F122" s="25"/>
      <c r="G122" s="25"/>
      <c r="H122" s="25"/>
      <c r="I122" s="25"/>
      <c r="J122" s="25"/>
      <c r="K122" s="25"/>
      <c r="L122" s="25"/>
      <c r="M122" s="25"/>
      <c r="N122" s="25"/>
      <c r="O122" s="25"/>
      <c r="P122" s="25"/>
      <c r="Q122" s="25"/>
      <c r="R122" s="25"/>
      <c r="S122" s="25"/>
      <c r="T122" s="25"/>
      <c r="U122" s="25"/>
      <c r="V122" s="25"/>
      <c r="W122" s="25"/>
      <c r="X122" s="25"/>
      <c r="Y122" s="25"/>
      <c r="Z122" s="25"/>
    </row>
    <row r="123" ht="15.75" customHeight="1">
      <c r="A123" s="25"/>
      <c r="B123" s="449"/>
      <c r="C123" s="449"/>
      <c r="D123" s="449"/>
      <c r="E123" s="25"/>
      <c r="F123" s="25"/>
      <c r="G123" s="25"/>
      <c r="H123" s="25"/>
      <c r="I123" s="25"/>
      <c r="J123" s="25"/>
      <c r="K123" s="25"/>
      <c r="L123" s="25"/>
      <c r="M123" s="25"/>
      <c r="N123" s="25"/>
      <c r="O123" s="25"/>
      <c r="P123" s="25"/>
      <c r="Q123" s="25"/>
      <c r="R123" s="25"/>
      <c r="S123" s="25"/>
      <c r="T123" s="25"/>
      <c r="U123" s="25"/>
      <c r="V123" s="25"/>
      <c r="W123" s="25"/>
      <c r="X123" s="25"/>
      <c r="Y123" s="25"/>
      <c r="Z123" s="25"/>
    </row>
    <row r="124" ht="15.75" customHeight="1">
      <c r="A124" s="25"/>
      <c r="B124" s="449"/>
      <c r="C124" s="449"/>
      <c r="D124" s="449"/>
      <c r="E124" s="25"/>
      <c r="F124" s="25"/>
      <c r="G124" s="25"/>
      <c r="H124" s="25"/>
      <c r="I124" s="25"/>
      <c r="J124" s="25"/>
      <c r="K124" s="25"/>
      <c r="L124" s="25"/>
      <c r="M124" s="25"/>
      <c r="N124" s="25"/>
      <c r="O124" s="25"/>
      <c r="P124" s="25"/>
      <c r="Q124" s="25"/>
      <c r="R124" s="25"/>
      <c r="S124" s="25"/>
      <c r="T124" s="25"/>
      <c r="U124" s="25"/>
      <c r="V124" s="25"/>
      <c r="W124" s="25"/>
      <c r="X124" s="25"/>
      <c r="Y124" s="25"/>
      <c r="Z124" s="25"/>
    </row>
    <row r="125" ht="15.75" customHeight="1">
      <c r="A125" s="25"/>
      <c r="B125" s="449"/>
      <c r="C125" s="449"/>
      <c r="D125" s="449"/>
      <c r="E125" s="25"/>
      <c r="F125" s="25"/>
      <c r="G125" s="25"/>
      <c r="H125" s="25"/>
      <c r="I125" s="25"/>
      <c r="J125" s="25"/>
      <c r="K125" s="25"/>
      <c r="L125" s="25"/>
      <c r="M125" s="25"/>
      <c r="N125" s="25"/>
      <c r="O125" s="25"/>
      <c r="P125" s="25"/>
      <c r="Q125" s="25"/>
      <c r="R125" s="25"/>
      <c r="S125" s="25"/>
      <c r="T125" s="25"/>
      <c r="U125" s="25"/>
      <c r="V125" s="25"/>
      <c r="W125" s="25"/>
      <c r="X125" s="25"/>
      <c r="Y125" s="25"/>
      <c r="Z125" s="25"/>
    </row>
    <row r="126" ht="15.75" customHeight="1">
      <c r="A126" s="25"/>
      <c r="B126" s="449"/>
      <c r="C126" s="449"/>
      <c r="D126" s="449"/>
      <c r="E126" s="25"/>
      <c r="F126" s="25"/>
      <c r="G126" s="25"/>
      <c r="H126" s="25"/>
      <c r="I126" s="25"/>
      <c r="J126" s="25"/>
      <c r="K126" s="25"/>
      <c r="L126" s="25"/>
      <c r="M126" s="25"/>
      <c r="N126" s="25"/>
      <c r="O126" s="25"/>
      <c r="P126" s="25"/>
      <c r="Q126" s="25"/>
      <c r="R126" s="25"/>
      <c r="S126" s="25"/>
      <c r="T126" s="25"/>
      <c r="U126" s="25"/>
      <c r="V126" s="25"/>
      <c r="W126" s="25"/>
      <c r="X126" s="25"/>
      <c r="Y126" s="25"/>
      <c r="Z126" s="25"/>
    </row>
    <row r="127" ht="15.75" customHeight="1">
      <c r="A127" s="25"/>
      <c r="B127" s="449"/>
      <c r="C127" s="449"/>
      <c r="D127" s="449"/>
      <c r="E127" s="25"/>
      <c r="F127" s="25"/>
      <c r="G127" s="25"/>
      <c r="H127" s="25"/>
      <c r="I127" s="25"/>
      <c r="J127" s="25"/>
      <c r="K127" s="25"/>
      <c r="L127" s="25"/>
      <c r="M127" s="25"/>
      <c r="N127" s="25"/>
      <c r="O127" s="25"/>
      <c r="P127" s="25"/>
      <c r="Q127" s="25"/>
      <c r="R127" s="25"/>
      <c r="S127" s="25"/>
      <c r="T127" s="25"/>
      <c r="U127" s="25"/>
      <c r="V127" s="25"/>
      <c r="W127" s="25"/>
      <c r="X127" s="25"/>
      <c r="Y127" s="25"/>
      <c r="Z127" s="25"/>
    </row>
    <row r="128" ht="15.75" customHeight="1">
      <c r="A128" s="25"/>
      <c r="B128" s="449"/>
      <c r="C128" s="449"/>
      <c r="D128" s="449"/>
      <c r="E128" s="25"/>
      <c r="F128" s="25"/>
      <c r="G128" s="25"/>
      <c r="H128" s="25"/>
      <c r="I128" s="25"/>
      <c r="J128" s="25"/>
      <c r="K128" s="25"/>
      <c r="L128" s="25"/>
      <c r="M128" s="25"/>
      <c r="N128" s="25"/>
      <c r="O128" s="25"/>
      <c r="P128" s="25"/>
      <c r="Q128" s="25"/>
      <c r="R128" s="25"/>
      <c r="S128" s="25"/>
      <c r="T128" s="25"/>
      <c r="U128" s="25"/>
      <c r="V128" s="25"/>
      <c r="W128" s="25"/>
      <c r="X128" s="25"/>
      <c r="Y128" s="25"/>
      <c r="Z128" s="25"/>
    </row>
    <row r="129" ht="15.75" customHeight="1">
      <c r="A129" s="25"/>
      <c r="B129" s="449"/>
      <c r="C129" s="449"/>
      <c r="D129" s="449"/>
      <c r="E129" s="25"/>
      <c r="F129" s="25"/>
      <c r="G129" s="25"/>
      <c r="H129" s="25"/>
      <c r="I129" s="25"/>
      <c r="J129" s="25"/>
      <c r="K129" s="25"/>
      <c r="L129" s="25"/>
      <c r="M129" s="25"/>
      <c r="N129" s="25"/>
      <c r="O129" s="25"/>
      <c r="P129" s="25"/>
      <c r="Q129" s="25"/>
      <c r="R129" s="25"/>
      <c r="S129" s="25"/>
      <c r="T129" s="25"/>
      <c r="U129" s="25"/>
      <c r="V129" s="25"/>
      <c r="W129" s="25"/>
      <c r="X129" s="25"/>
      <c r="Y129" s="25"/>
      <c r="Z129" s="25"/>
    </row>
    <row r="130" ht="15.75" customHeight="1">
      <c r="A130" s="25"/>
      <c r="B130" s="449"/>
      <c r="C130" s="449"/>
      <c r="D130" s="449"/>
      <c r="E130" s="25"/>
      <c r="F130" s="25"/>
      <c r="G130" s="25"/>
      <c r="H130" s="25"/>
      <c r="I130" s="25"/>
      <c r="J130" s="25"/>
      <c r="K130" s="25"/>
      <c r="L130" s="25"/>
      <c r="M130" s="25"/>
      <c r="N130" s="25"/>
      <c r="O130" s="25"/>
      <c r="P130" s="25"/>
      <c r="Q130" s="25"/>
      <c r="R130" s="25"/>
      <c r="S130" s="25"/>
      <c r="T130" s="25"/>
      <c r="U130" s="25"/>
      <c r="V130" s="25"/>
      <c r="W130" s="25"/>
      <c r="X130" s="25"/>
      <c r="Y130" s="25"/>
      <c r="Z130" s="25"/>
    </row>
    <row r="131" ht="15.75" customHeight="1">
      <c r="A131" s="25"/>
      <c r="B131" s="449"/>
      <c r="C131" s="449"/>
      <c r="D131" s="449"/>
      <c r="E131" s="25"/>
      <c r="F131" s="25"/>
      <c r="G131" s="25"/>
      <c r="H131" s="25"/>
      <c r="I131" s="25"/>
      <c r="J131" s="25"/>
      <c r="K131" s="25"/>
      <c r="L131" s="25"/>
      <c r="M131" s="25"/>
      <c r="N131" s="25"/>
      <c r="O131" s="25"/>
      <c r="P131" s="25"/>
      <c r="Q131" s="25"/>
      <c r="R131" s="25"/>
      <c r="S131" s="25"/>
      <c r="T131" s="25"/>
      <c r="U131" s="25"/>
      <c r="V131" s="25"/>
      <c r="W131" s="25"/>
      <c r="X131" s="25"/>
      <c r="Y131" s="25"/>
      <c r="Z131" s="25"/>
    </row>
    <row r="132" ht="15.75" customHeight="1">
      <c r="A132" s="25"/>
      <c r="B132" s="449"/>
      <c r="C132" s="449"/>
      <c r="D132" s="449"/>
      <c r="E132" s="25"/>
      <c r="F132" s="25"/>
      <c r="G132" s="25"/>
      <c r="H132" s="25"/>
      <c r="I132" s="25"/>
      <c r="J132" s="25"/>
      <c r="K132" s="25"/>
      <c r="L132" s="25"/>
      <c r="M132" s="25"/>
      <c r="N132" s="25"/>
      <c r="O132" s="25"/>
      <c r="P132" s="25"/>
      <c r="Q132" s="25"/>
      <c r="R132" s="25"/>
      <c r="S132" s="25"/>
      <c r="T132" s="25"/>
      <c r="U132" s="25"/>
      <c r="V132" s="25"/>
      <c r="W132" s="25"/>
      <c r="X132" s="25"/>
      <c r="Y132" s="25"/>
      <c r="Z132" s="25"/>
    </row>
    <row r="133" ht="15.75" customHeight="1">
      <c r="A133" s="25"/>
      <c r="B133" s="449"/>
      <c r="C133" s="449"/>
      <c r="D133" s="449"/>
      <c r="E133" s="25"/>
      <c r="F133" s="25"/>
      <c r="G133" s="25"/>
      <c r="H133" s="25"/>
      <c r="I133" s="25"/>
      <c r="J133" s="25"/>
      <c r="K133" s="25"/>
      <c r="L133" s="25"/>
      <c r="M133" s="25"/>
      <c r="N133" s="25"/>
      <c r="O133" s="25"/>
      <c r="P133" s="25"/>
      <c r="Q133" s="25"/>
      <c r="R133" s="25"/>
      <c r="S133" s="25"/>
      <c r="T133" s="25"/>
      <c r="U133" s="25"/>
      <c r="V133" s="25"/>
      <c r="W133" s="25"/>
      <c r="X133" s="25"/>
      <c r="Y133" s="25"/>
      <c r="Z133" s="25"/>
    </row>
    <row r="134" ht="15.75" customHeight="1">
      <c r="A134" s="25"/>
      <c r="B134" s="449"/>
      <c r="C134" s="449"/>
      <c r="D134" s="449"/>
      <c r="E134" s="25"/>
      <c r="F134" s="25"/>
      <c r="G134" s="25"/>
      <c r="H134" s="25"/>
      <c r="I134" s="25"/>
      <c r="J134" s="25"/>
      <c r="K134" s="25"/>
      <c r="L134" s="25"/>
      <c r="M134" s="25"/>
      <c r="N134" s="25"/>
      <c r="O134" s="25"/>
      <c r="P134" s="25"/>
      <c r="Q134" s="25"/>
      <c r="R134" s="25"/>
      <c r="S134" s="25"/>
      <c r="T134" s="25"/>
      <c r="U134" s="25"/>
      <c r="V134" s="25"/>
      <c r="W134" s="25"/>
      <c r="X134" s="25"/>
      <c r="Y134" s="25"/>
      <c r="Z134" s="25"/>
    </row>
    <row r="135" ht="15.75" customHeight="1">
      <c r="A135" s="25"/>
      <c r="B135" s="449"/>
      <c r="C135" s="449"/>
      <c r="D135" s="449"/>
      <c r="E135" s="25"/>
      <c r="F135" s="25"/>
      <c r="G135" s="25"/>
      <c r="H135" s="25"/>
      <c r="I135" s="25"/>
      <c r="J135" s="25"/>
      <c r="K135" s="25"/>
      <c r="L135" s="25"/>
      <c r="M135" s="25"/>
      <c r="N135" s="25"/>
      <c r="O135" s="25"/>
      <c r="P135" s="25"/>
      <c r="Q135" s="25"/>
      <c r="R135" s="25"/>
      <c r="S135" s="25"/>
      <c r="T135" s="25"/>
      <c r="U135" s="25"/>
      <c r="V135" s="25"/>
      <c r="W135" s="25"/>
      <c r="X135" s="25"/>
      <c r="Y135" s="25"/>
      <c r="Z135" s="25"/>
    </row>
    <row r="136" ht="15.75" customHeight="1">
      <c r="A136" s="25"/>
      <c r="B136" s="449"/>
      <c r="C136" s="449"/>
      <c r="D136" s="449"/>
      <c r="E136" s="25"/>
      <c r="F136" s="25"/>
      <c r="G136" s="25"/>
      <c r="H136" s="25"/>
      <c r="I136" s="25"/>
      <c r="J136" s="25"/>
      <c r="K136" s="25"/>
      <c r="L136" s="25"/>
      <c r="M136" s="25"/>
      <c r="N136" s="25"/>
      <c r="O136" s="25"/>
      <c r="P136" s="25"/>
      <c r="Q136" s="25"/>
      <c r="R136" s="25"/>
      <c r="S136" s="25"/>
      <c r="T136" s="25"/>
      <c r="U136" s="25"/>
      <c r="V136" s="25"/>
      <c r="W136" s="25"/>
      <c r="X136" s="25"/>
      <c r="Y136" s="25"/>
      <c r="Z136" s="25"/>
    </row>
    <row r="137" ht="15.75" customHeight="1">
      <c r="A137" s="25"/>
      <c r="B137" s="449"/>
      <c r="C137" s="449"/>
      <c r="D137" s="449"/>
      <c r="E137" s="25"/>
      <c r="F137" s="25"/>
      <c r="G137" s="25"/>
      <c r="H137" s="25"/>
      <c r="I137" s="25"/>
      <c r="J137" s="25"/>
      <c r="K137" s="25"/>
      <c r="L137" s="25"/>
      <c r="M137" s="25"/>
      <c r="N137" s="25"/>
      <c r="O137" s="25"/>
      <c r="P137" s="25"/>
      <c r="Q137" s="25"/>
      <c r="R137" s="25"/>
      <c r="S137" s="25"/>
      <c r="T137" s="25"/>
      <c r="U137" s="25"/>
      <c r="V137" s="25"/>
      <c r="W137" s="25"/>
      <c r="X137" s="25"/>
      <c r="Y137" s="25"/>
      <c r="Z137" s="25"/>
    </row>
    <row r="138" ht="15.75" customHeight="1">
      <c r="A138" s="25"/>
      <c r="B138" s="449"/>
      <c r="C138" s="449"/>
      <c r="D138" s="449"/>
      <c r="E138" s="25"/>
      <c r="F138" s="25"/>
      <c r="G138" s="25"/>
      <c r="H138" s="25"/>
      <c r="I138" s="25"/>
      <c r="J138" s="25"/>
      <c r="K138" s="25"/>
      <c r="L138" s="25"/>
      <c r="M138" s="25"/>
      <c r="N138" s="25"/>
      <c r="O138" s="25"/>
      <c r="P138" s="25"/>
      <c r="Q138" s="25"/>
      <c r="R138" s="25"/>
      <c r="S138" s="25"/>
      <c r="T138" s="25"/>
      <c r="U138" s="25"/>
      <c r="V138" s="25"/>
      <c r="W138" s="25"/>
      <c r="X138" s="25"/>
      <c r="Y138" s="25"/>
      <c r="Z138" s="25"/>
    </row>
    <row r="139" ht="15.75" customHeight="1">
      <c r="A139" s="25"/>
      <c r="B139" s="449"/>
      <c r="C139" s="449"/>
      <c r="D139" s="449"/>
      <c r="E139" s="25"/>
      <c r="F139" s="25"/>
      <c r="G139" s="25"/>
      <c r="H139" s="25"/>
      <c r="I139" s="25"/>
      <c r="J139" s="25"/>
      <c r="K139" s="25"/>
      <c r="L139" s="25"/>
      <c r="M139" s="25"/>
      <c r="N139" s="25"/>
      <c r="O139" s="25"/>
      <c r="P139" s="25"/>
      <c r="Q139" s="25"/>
      <c r="R139" s="25"/>
      <c r="S139" s="25"/>
      <c r="T139" s="25"/>
      <c r="U139" s="25"/>
      <c r="V139" s="25"/>
      <c r="W139" s="25"/>
      <c r="X139" s="25"/>
      <c r="Y139" s="25"/>
      <c r="Z139" s="25"/>
    </row>
    <row r="140" ht="15.75" customHeight="1">
      <c r="A140" s="25"/>
      <c r="B140" s="449"/>
      <c r="C140" s="449"/>
      <c r="D140" s="449"/>
      <c r="E140" s="25"/>
      <c r="F140" s="25"/>
      <c r="G140" s="25"/>
      <c r="H140" s="25"/>
      <c r="I140" s="25"/>
      <c r="J140" s="25"/>
      <c r="K140" s="25"/>
      <c r="L140" s="25"/>
      <c r="M140" s="25"/>
      <c r="N140" s="25"/>
      <c r="O140" s="25"/>
      <c r="P140" s="25"/>
      <c r="Q140" s="25"/>
      <c r="R140" s="25"/>
      <c r="S140" s="25"/>
      <c r="T140" s="25"/>
      <c r="U140" s="25"/>
      <c r="V140" s="25"/>
      <c r="W140" s="25"/>
      <c r="X140" s="25"/>
      <c r="Y140" s="25"/>
      <c r="Z140" s="25"/>
    </row>
    <row r="141" ht="15.75" customHeight="1">
      <c r="A141" s="25"/>
      <c r="B141" s="449"/>
      <c r="C141" s="449"/>
      <c r="D141" s="449"/>
      <c r="E141" s="25"/>
      <c r="F141" s="25"/>
      <c r="G141" s="25"/>
      <c r="H141" s="25"/>
      <c r="I141" s="25"/>
      <c r="J141" s="25"/>
      <c r="K141" s="25"/>
      <c r="L141" s="25"/>
      <c r="M141" s="25"/>
      <c r="N141" s="25"/>
      <c r="O141" s="25"/>
      <c r="P141" s="25"/>
      <c r="Q141" s="25"/>
      <c r="R141" s="25"/>
      <c r="S141" s="25"/>
      <c r="T141" s="25"/>
      <c r="U141" s="25"/>
      <c r="V141" s="25"/>
      <c r="W141" s="25"/>
      <c r="X141" s="25"/>
      <c r="Y141" s="25"/>
      <c r="Z141" s="25"/>
    </row>
    <row r="142" ht="15.75" customHeight="1">
      <c r="A142" s="25"/>
      <c r="B142" s="449"/>
      <c r="C142" s="449"/>
      <c r="D142" s="449"/>
      <c r="E142" s="25"/>
      <c r="F142" s="25"/>
      <c r="G142" s="25"/>
      <c r="H142" s="25"/>
      <c r="I142" s="25"/>
      <c r="J142" s="25"/>
      <c r="K142" s="25"/>
      <c r="L142" s="25"/>
      <c r="M142" s="25"/>
      <c r="N142" s="25"/>
      <c r="O142" s="25"/>
      <c r="P142" s="25"/>
      <c r="Q142" s="25"/>
      <c r="R142" s="25"/>
      <c r="S142" s="25"/>
      <c r="T142" s="25"/>
      <c r="U142" s="25"/>
      <c r="V142" s="25"/>
      <c r="W142" s="25"/>
      <c r="X142" s="25"/>
      <c r="Y142" s="25"/>
      <c r="Z142" s="25"/>
    </row>
    <row r="143" ht="15.75" customHeight="1">
      <c r="A143" s="25"/>
      <c r="B143" s="449"/>
      <c r="C143" s="449"/>
      <c r="D143" s="449"/>
      <c r="E143" s="25"/>
      <c r="F143" s="25"/>
      <c r="G143" s="25"/>
      <c r="H143" s="25"/>
      <c r="I143" s="25"/>
      <c r="J143" s="25"/>
      <c r="K143" s="25"/>
      <c r="L143" s="25"/>
      <c r="M143" s="25"/>
      <c r="N143" s="25"/>
      <c r="O143" s="25"/>
      <c r="P143" s="25"/>
      <c r="Q143" s="25"/>
      <c r="R143" s="25"/>
      <c r="S143" s="25"/>
      <c r="T143" s="25"/>
      <c r="U143" s="25"/>
      <c r="V143" s="25"/>
      <c r="W143" s="25"/>
      <c r="X143" s="25"/>
      <c r="Y143" s="25"/>
      <c r="Z143" s="25"/>
    </row>
    <row r="144" ht="15.75" customHeight="1">
      <c r="A144" s="25"/>
      <c r="B144" s="449"/>
      <c r="C144" s="449"/>
      <c r="D144" s="449"/>
      <c r="E144" s="25"/>
      <c r="F144" s="25"/>
      <c r="G144" s="25"/>
      <c r="H144" s="25"/>
      <c r="I144" s="25"/>
      <c r="J144" s="25"/>
      <c r="K144" s="25"/>
      <c r="L144" s="25"/>
      <c r="M144" s="25"/>
      <c r="N144" s="25"/>
      <c r="O144" s="25"/>
      <c r="P144" s="25"/>
      <c r="Q144" s="25"/>
      <c r="R144" s="25"/>
      <c r="S144" s="25"/>
      <c r="T144" s="25"/>
      <c r="U144" s="25"/>
      <c r="V144" s="25"/>
      <c r="W144" s="25"/>
      <c r="X144" s="25"/>
      <c r="Y144" s="25"/>
      <c r="Z144" s="25"/>
    </row>
    <row r="145" ht="15.75" customHeight="1">
      <c r="A145" s="25"/>
      <c r="B145" s="449"/>
      <c r="C145" s="449"/>
      <c r="D145" s="449"/>
      <c r="E145" s="25"/>
      <c r="F145" s="25"/>
      <c r="G145" s="25"/>
      <c r="H145" s="25"/>
      <c r="I145" s="25"/>
      <c r="J145" s="25"/>
      <c r="K145" s="25"/>
      <c r="L145" s="25"/>
      <c r="M145" s="25"/>
      <c r="N145" s="25"/>
      <c r="O145" s="25"/>
      <c r="P145" s="25"/>
      <c r="Q145" s="25"/>
      <c r="R145" s="25"/>
      <c r="S145" s="25"/>
      <c r="T145" s="25"/>
      <c r="U145" s="25"/>
      <c r="V145" s="25"/>
      <c r="W145" s="25"/>
      <c r="X145" s="25"/>
      <c r="Y145" s="25"/>
      <c r="Z145" s="25"/>
    </row>
    <row r="146" ht="15.75" customHeight="1">
      <c r="A146" s="25"/>
      <c r="B146" s="449"/>
      <c r="C146" s="449"/>
      <c r="D146" s="449"/>
      <c r="E146" s="25"/>
      <c r="F146" s="25"/>
      <c r="G146" s="25"/>
      <c r="H146" s="25"/>
      <c r="I146" s="25"/>
      <c r="J146" s="25"/>
      <c r="K146" s="25"/>
      <c r="L146" s="25"/>
      <c r="M146" s="25"/>
      <c r="N146" s="25"/>
      <c r="O146" s="25"/>
      <c r="P146" s="25"/>
      <c r="Q146" s="25"/>
      <c r="R146" s="25"/>
      <c r="S146" s="25"/>
      <c r="T146" s="25"/>
      <c r="U146" s="25"/>
      <c r="V146" s="25"/>
      <c r="W146" s="25"/>
      <c r="X146" s="25"/>
      <c r="Y146" s="25"/>
      <c r="Z146" s="25"/>
    </row>
    <row r="147" ht="15.75" customHeight="1">
      <c r="A147" s="25"/>
      <c r="B147" s="449"/>
      <c r="C147" s="449"/>
      <c r="D147" s="449"/>
      <c r="E147" s="25"/>
      <c r="F147" s="25"/>
      <c r="G147" s="25"/>
      <c r="H147" s="25"/>
      <c r="I147" s="25"/>
      <c r="J147" s="25"/>
      <c r="K147" s="25"/>
      <c r="L147" s="25"/>
      <c r="M147" s="25"/>
      <c r="N147" s="25"/>
      <c r="O147" s="25"/>
      <c r="P147" s="25"/>
      <c r="Q147" s="25"/>
      <c r="R147" s="25"/>
      <c r="S147" s="25"/>
      <c r="T147" s="25"/>
      <c r="U147" s="25"/>
      <c r="V147" s="25"/>
      <c r="W147" s="25"/>
      <c r="X147" s="25"/>
      <c r="Y147" s="25"/>
      <c r="Z147" s="25"/>
    </row>
    <row r="148" ht="15.75" customHeight="1">
      <c r="A148" s="25"/>
      <c r="B148" s="449"/>
      <c r="C148" s="449"/>
      <c r="D148" s="449"/>
      <c r="E148" s="25"/>
      <c r="F148" s="25"/>
      <c r="G148" s="25"/>
      <c r="H148" s="25"/>
      <c r="I148" s="25"/>
      <c r="J148" s="25"/>
      <c r="K148" s="25"/>
      <c r="L148" s="25"/>
      <c r="M148" s="25"/>
      <c r="N148" s="25"/>
      <c r="O148" s="25"/>
      <c r="P148" s="25"/>
      <c r="Q148" s="25"/>
      <c r="R148" s="25"/>
      <c r="S148" s="25"/>
      <c r="T148" s="25"/>
      <c r="U148" s="25"/>
      <c r="V148" s="25"/>
      <c r="W148" s="25"/>
      <c r="X148" s="25"/>
      <c r="Y148" s="25"/>
      <c r="Z148" s="25"/>
    </row>
    <row r="149" ht="15.75" customHeight="1">
      <c r="A149" s="25"/>
      <c r="B149" s="449"/>
      <c r="C149" s="449"/>
      <c r="D149" s="449"/>
      <c r="E149" s="25"/>
      <c r="F149" s="25"/>
      <c r="G149" s="25"/>
      <c r="H149" s="25"/>
      <c r="I149" s="25"/>
      <c r="J149" s="25"/>
      <c r="K149" s="25"/>
      <c r="L149" s="25"/>
      <c r="M149" s="25"/>
      <c r="N149" s="25"/>
      <c r="O149" s="25"/>
      <c r="P149" s="25"/>
      <c r="Q149" s="25"/>
      <c r="R149" s="25"/>
      <c r="S149" s="25"/>
      <c r="T149" s="25"/>
      <c r="U149" s="25"/>
      <c r="V149" s="25"/>
      <c r="W149" s="25"/>
      <c r="X149" s="25"/>
      <c r="Y149" s="25"/>
      <c r="Z149" s="25"/>
    </row>
    <row r="150" ht="15.75" customHeight="1">
      <c r="A150" s="25"/>
      <c r="B150" s="449"/>
      <c r="C150" s="449"/>
      <c r="D150" s="449"/>
      <c r="E150" s="25"/>
      <c r="F150" s="25"/>
      <c r="G150" s="25"/>
      <c r="H150" s="25"/>
      <c r="I150" s="25"/>
      <c r="J150" s="25"/>
      <c r="K150" s="25"/>
      <c r="L150" s="25"/>
      <c r="M150" s="25"/>
      <c r="N150" s="25"/>
      <c r="O150" s="25"/>
      <c r="P150" s="25"/>
      <c r="Q150" s="25"/>
      <c r="R150" s="25"/>
      <c r="S150" s="25"/>
      <c r="T150" s="25"/>
      <c r="U150" s="25"/>
      <c r="V150" s="25"/>
      <c r="W150" s="25"/>
      <c r="X150" s="25"/>
      <c r="Y150" s="25"/>
      <c r="Z150" s="25"/>
    </row>
    <row r="151" ht="15.75" customHeight="1">
      <c r="A151" s="25"/>
      <c r="B151" s="449"/>
      <c r="C151" s="449"/>
      <c r="D151" s="449"/>
      <c r="E151" s="25"/>
      <c r="F151" s="25"/>
      <c r="G151" s="25"/>
      <c r="H151" s="25"/>
      <c r="I151" s="25"/>
      <c r="J151" s="25"/>
      <c r="K151" s="25"/>
      <c r="L151" s="25"/>
      <c r="M151" s="25"/>
      <c r="N151" s="25"/>
      <c r="O151" s="25"/>
      <c r="P151" s="25"/>
      <c r="Q151" s="25"/>
      <c r="R151" s="25"/>
      <c r="S151" s="25"/>
      <c r="T151" s="25"/>
      <c r="U151" s="25"/>
      <c r="V151" s="25"/>
      <c r="W151" s="25"/>
      <c r="X151" s="25"/>
      <c r="Y151" s="25"/>
      <c r="Z151" s="25"/>
    </row>
    <row r="152" ht="15.75" customHeight="1">
      <c r="A152" s="25"/>
      <c r="B152" s="449"/>
      <c r="C152" s="449"/>
      <c r="D152" s="449"/>
      <c r="E152" s="25"/>
      <c r="F152" s="25"/>
      <c r="G152" s="25"/>
      <c r="H152" s="25"/>
      <c r="I152" s="25"/>
      <c r="J152" s="25"/>
      <c r="K152" s="25"/>
      <c r="L152" s="25"/>
      <c r="M152" s="25"/>
      <c r="N152" s="25"/>
      <c r="O152" s="25"/>
      <c r="P152" s="25"/>
      <c r="Q152" s="25"/>
      <c r="R152" s="25"/>
      <c r="S152" s="25"/>
      <c r="T152" s="25"/>
      <c r="U152" s="25"/>
      <c r="V152" s="25"/>
      <c r="W152" s="25"/>
      <c r="X152" s="25"/>
      <c r="Y152" s="25"/>
      <c r="Z152" s="25"/>
    </row>
    <row r="153" ht="15.75" customHeight="1">
      <c r="A153" s="25"/>
      <c r="B153" s="449"/>
      <c r="C153" s="449"/>
      <c r="D153" s="449"/>
      <c r="E153" s="25"/>
      <c r="F153" s="25"/>
      <c r="G153" s="25"/>
      <c r="H153" s="25"/>
      <c r="I153" s="25"/>
      <c r="J153" s="25"/>
      <c r="K153" s="25"/>
      <c r="L153" s="25"/>
      <c r="M153" s="25"/>
      <c r="N153" s="25"/>
      <c r="O153" s="25"/>
      <c r="P153" s="25"/>
      <c r="Q153" s="25"/>
      <c r="R153" s="25"/>
      <c r="S153" s="25"/>
      <c r="T153" s="25"/>
      <c r="U153" s="25"/>
      <c r="V153" s="25"/>
      <c r="W153" s="25"/>
      <c r="X153" s="25"/>
      <c r="Y153" s="25"/>
      <c r="Z153" s="25"/>
    </row>
    <row r="154" ht="15.75" customHeight="1">
      <c r="A154" s="25"/>
      <c r="B154" s="449"/>
      <c r="C154" s="449"/>
      <c r="D154" s="449"/>
      <c r="E154" s="25"/>
      <c r="F154" s="25"/>
      <c r="G154" s="25"/>
      <c r="H154" s="25"/>
      <c r="I154" s="25"/>
      <c r="J154" s="25"/>
      <c r="K154" s="25"/>
      <c r="L154" s="25"/>
      <c r="M154" s="25"/>
      <c r="N154" s="25"/>
      <c r="O154" s="25"/>
      <c r="P154" s="25"/>
      <c r="Q154" s="25"/>
      <c r="R154" s="25"/>
      <c r="S154" s="25"/>
      <c r="T154" s="25"/>
      <c r="U154" s="25"/>
      <c r="V154" s="25"/>
      <c r="W154" s="25"/>
      <c r="X154" s="25"/>
      <c r="Y154" s="25"/>
      <c r="Z154" s="25"/>
    </row>
    <row r="155" ht="15.75" customHeight="1">
      <c r="A155" s="25"/>
      <c r="B155" s="449"/>
      <c r="C155" s="449"/>
      <c r="D155" s="449"/>
      <c r="E155" s="25"/>
      <c r="F155" s="25"/>
      <c r="G155" s="25"/>
      <c r="H155" s="25"/>
      <c r="I155" s="25"/>
      <c r="J155" s="25"/>
      <c r="K155" s="25"/>
      <c r="L155" s="25"/>
      <c r="M155" s="25"/>
      <c r="N155" s="25"/>
      <c r="O155" s="25"/>
      <c r="P155" s="25"/>
      <c r="Q155" s="25"/>
      <c r="R155" s="25"/>
      <c r="S155" s="25"/>
      <c r="T155" s="25"/>
      <c r="U155" s="25"/>
      <c r="V155" s="25"/>
      <c r="W155" s="25"/>
      <c r="X155" s="25"/>
      <c r="Y155" s="25"/>
      <c r="Z155" s="25"/>
    </row>
    <row r="156" ht="15.75" customHeight="1">
      <c r="A156" s="25"/>
      <c r="B156" s="449"/>
      <c r="C156" s="449"/>
      <c r="D156" s="449"/>
      <c r="E156" s="25"/>
      <c r="F156" s="25"/>
      <c r="G156" s="25"/>
      <c r="H156" s="25"/>
      <c r="I156" s="25"/>
      <c r="J156" s="25"/>
      <c r="K156" s="25"/>
      <c r="L156" s="25"/>
      <c r="M156" s="25"/>
      <c r="N156" s="25"/>
      <c r="O156" s="25"/>
      <c r="P156" s="25"/>
      <c r="Q156" s="25"/>
      <c r="R156" s="25"/>
      <c r="S156" s="25"/>
      <c r="T156" s="25"/>
      <c r="U156" s="25"/>
      <c r="V156" s="25"/>
      <c r="W156" s="25"/>
      <c r="X156" s="25"/>
      <c r="Y156" s="25"/>
      <c r="Z156" s="25"/>
    </row>
    <row r="157" ht="15.75" customHeight="1">
      <c r="A157" s="25"/>
      <c r="B157" s="449"/>
      <c r="C157" s="449"/>
      <c r="D157" s="449"/>
      <c r="E157" s="25"/>
      <c r="F157" s="25"/>
      <c r="G157" s="25"/>
      <c r="H157" s="25"/>
      <c r="I157" s="25"/>
      <c r="J157" s="25"/>
      <c r="K157" s="25"/>
      <c r="L157" s="25"/>
      <c r="M157" s="25"/>
      <c r="N157" s="25"/>
      <c r="O157" s="25"/>
      <c r="P157" s="25"/>
      <c r="Q157" s="25"/>
      <c r="R157" s="25"/>
      <c r="S157" s="25"/>
      <c r="T157" s="25"/>
      <c r="U157" s="25"/>
      <c r="V157" s="25"/>
      <c r="W157" s="25"/>
      <c r="X157" s="25"/>
      <c r="Y157" s="25"/>
      <c r="Z157" s="25"/>
    </row>
    <row r="158" ht="15.75" customHeight="1">
      <c r="A158" s="25"/>
      <c r="B158" s="449"/>
      <c r="C158" s="449"/>
      <c r="D158" s="449"/>
      <c r="E158" s="25"/>
      <c r="F158" s="25"/>
      <c r="G158" s="25"/>
      <c r="H158" s="25"/>
      <c r="I158" s="25"/>
      <c r="J158" s="25"/>
      <c r="K158" s="25"/>
      <c r="L158" s="25"/>
      <c r="M158" s="25"/>
      <c r="N158" s="25"/>
      <c r="O158" s="25"/>
      <c r="P158" s="25"/>
      <c r="Q158" s="25"/>
      <c r="R158" s="25"/>
      <c r="S158" s="25"/>
      <c r="T158" s="25"/>
      <c r="U158" s="25"/>
      <c r="V158" s="25"/>
      <c r="W158" s="25"/>
      <c r="X158" s="25"/>
      <c r="Y158" s="25"/>
      <c r="Z158" s="25"/>
    </row>
    <row r="159" ht="15.75" customHeight="1">
      <c r="A159" s="25"/>
      <c r="B159" s="449"/>
      <c r="C159" s="449"/>
      <c r="D159" s="449"/>
      <c r="E159" s="25"/>
      <c r="F159" s="25"/>
      <c r="G159" s="25"/>
      <c r="H159" s="25"/>
      <c r="I159" s="25"/>
      <c r="J159" s="25"/>
      <c r="K159" s="25"/>
      <c r="L159" s="25"/>
      <c r="M159" s="25"/>
      <c r="N159" s="25"/>
      <c r="O159" s="25"/>
      <c r="P159" s="25"/>
      <c r="Q159" s="25"/>
      <c r="R159" s="25"/>
      <c r="S159" s="25"/>
      <c r="T159" s="25"/>
      <c r="U159" s="25"/>
      <c r="V159" s="25"/>
      <c r="W159" s="25"/>
      <c r="X159" s="25"/>
      <c r="Y159" s="25"/>
      <c r="Z159" s="25"/>
    </row>
    <row r="160" ht="15.75" customHeight="1">
      <c r="A160" s="25"/>
      <c r="B160" s="449"/>
      <c r="C160" s="449"/>
      <c r="D160" s="449"/>
      <c r="E160" s="25"/>
      <c r="F160" s="25"/>
      <c r="G160" s="25"/>
      <c r="H160" s="25"/>
      <c r="I160" s="25"/>
      <c r="J160" s="25"/>
      <c r="K160" s="25"/>
      <c r="L160" s="25"/>
      <c r="M160" s="25"/>
      <c r="N160" s="25"/>
      <c r="O160" s="25"/>
      <c r="P160" s="25"/>
      <c r="Q160" s="25"/>
      <c r="R160" s="25"/>
      <c r="S160" s="25"/>
      <c r="T160" s="25"/>
      <c r="U160" s="25"/>
      <c r="V160" s="25"/>
      <c r="W160" s="25"/>
      <c r="X160" s="25"/>
      <c r="Y160" s="25"/>
      <c r="Z160" s="25"/>
    </row>
    <row r="161" ht="15.75" customHeight="1">
      <c r="A161" s="25"/>
      <c r="B161" s="449"/>
      <c r="C161" s="449"/>
      <c r="D161" s="449"/>
      <c r="E161" s="25"/>
      <c r="F161" s="25"/>
      <c r="G161" s="25"/>
      <c r="H161" s="25"/>
      <c r="I161" s="25"/>
      <c r="J161" s="25"/>
      <c r="K161" s="25"/>
      <c r="L161" s="25"/>
      <c r="M161" s="25"/>
      <c r="N161" s="25"/>
      <c r="O161" s="25"/>
      <c r="P161" s="25"/>
      <c r="Q161" s="25"/>
      <c r="R161" s="25"/>
      <c r="S161" s="25"/>
      <c r="T161" s="25"/>
      <c r="U161" s="25"/>
      <c r="V161" s="25"/>
      <c r="W161" s="25"/>
      <c r="X161" s="25"/>
      <c r="Y161" s="25"/>
      <c r="Z161" s="25"/>
    </row>
    <row r="162" ht="15.75" customHeight="1">
      <c r="A162" s="25"/>
      <c r="B162" s="449"/>
      <c r="C162" s="449"/>
      <c r="D162" s="449"/>
      <c r="E162" s="25"/>
      <c r="F162" s="25"/>
      <c r="G162" s="25"/>
      <c r="H162" s="25"/>
      <c r="I162" s="25"/>
      <c r="J162" s="25"/>
      <c r="K162" s="25"/>
      <c r="L162" s="25"/>
      <c r="M162" s="25"/>
      <c r="N162" s="25"/>
      <c r="O162" s="25"/>
      <c r="P162" s="25"/>
      <c r="Q162" s="25"/>
      <c r="R162" s="25"/>
      <c r="S162" s="25"/>
      <c r="T162" s="25"/>
      <c r="U162" s="25"/>
      <c r="V162" s="25"/>
      <c r="W162" s="25"/>
      <c r="X162" s="25"/>
      <c r="Y162" s="25"/>
      <c r="Z162" s="25"/>
    </row>
    <row r="163" ht="15.75" customHeight="1">
      <c r="A163" s="25"/>
      <c r="B163" s="449"/>
      <c r="C163" s="449"/>
      <c r="D163" s="449"/>
      <c r="E163" s="25"/>
      <c r="F163" s="25"/>
      <c r="G163" s="25"/>
      <c r="H163" s="25"/>
      <c r="I163" s="25"/>
      <c r="J163" s="25"/>
      <c r="K163" s="25"/>
      <c r="L163" s="25"/>
      <c r="M163" s="25"/>
      <c r="N163" s="25"/>
      <c r="O163" s="25"/>
      <c r="P163" s="25"/>
      <c r="Q163" s="25"/>
      <c r="R163" s="25"/>
      <c r="S163" s="25"/>
      <c r="T163" s="25"/>
      <c r="U163" s="25"/>
      <c r="V163" s="25"/>
      <c r="W163" s="25"/>
      <c r="X163" s="25"/>
      <c r="Y163" s="25"/>
      <c r="Z163" s="25"/>
    </row>
    <row r="164" ht="15.75" customHeight="1">
      <c r="A164" s="25"/>
      <c r="B164" s="449"/>
      <c r="C164" s="449"/>
      <c r="D164" s="449"/>
      <c r="E164" s="25"/>
      <c r="F164" s="25"/>
      <c r="G164" s="25"/>
      <c r="H164" s="25"/>
      <c r="I164" s="25"/>
      <c r="J164" s="25"/>
      <c r="K164" s="25"/>
      <c r="L164" s="25"/>
      <c r="M164" s="25"/>
      <c r="N164" s="25"/>
      <c r="O164" s="25"/>
      <c r="P164" s="25"/>
      <c r="Q164" s="25"/>
      <c r="R164" s="25"/>
      <c r="S164" s="25"/>
      <c r="T164" s="25"/>
      <c r="U164" s="25"/>
      <c r="V164" s="25"/>
      <c r="W164" s="25"/>
      <c r="X164" s="25"/>
      <c r="Y164" s="25"/>
      <c r="Z164" s="25"/>
    </row>
    <row r="165" ht="15.75" customHeight="1">
      <c r="A165" s="25"/>
      <c r="B165" s="449"/>
      <c r="C165" s="449"/>
      <c r="D165" s="449"/>
      <c r="E165" s="25"/>
      <c r="F165" s="25"/>
      <c r="G165" s="25"/>
      <c r="H165" s="25"/>
      <c r="I165" s="25"/>
      <c r="J165" s="25"/>
      <c r="K165" s="25"/>
      <c r="L165" s="25"/>
      <c r="M165" s="25"/>
      <c r="N165" s="25"/>
      <c r="O165" s="25"/>
      <c r="P165" s="25"/>
      <c r="Q165" s="25"/>
      <c r="R165" s="25"/>
      <c r="S165" s="25"/>
      <c r="T165" s="25"/>
      <c r="U165" s="25"/>
      <c r="V165" s="25"/>
      <c r="W165" s="25"/>
      <c r="X165" s="25"/>
      <c r="Y165" s="25"/>
      <c r="Z165" s="25"/>
    </row>
    <row r="166" ht="15.75" customHeight="1">
      <c r="A166" s="25"/>
      <c r="B166" s="449"/>
      <c r="C166" s="449"/>
      <c r="D166" s="449"/>
      <c r="E166" s="25"/>
      <c r="F166" s="25"/>
      <c r="G166" s="25"/>
      <c r="H166" s="25"/>
      <c r="I166" s="25"/>
      <c r="J166" s="25"/>
      <c r="K166" s="25"/>
      <c r="L166" s="25"/>
      <c r="M166" s="25"/>
      <c r="N166" s="25"/>
      <c r="O166" s="25"/>
      <c r="P166" s="25"/>
      <c r="Q166" s="25"/>
      <c r="R166" s="25"/>
      <c r="S166" s="25"/>
      <c r="T166" s="25"/>
      <c r="U166" s="25"/>
      <c r="V166" s="25"/>
      <c r="W166" s="25"/>
      <c r="X166" s="25"/>
      <c r="Y166" s="25"/>
      <c r="Z166" s="25"/>
    </row>
    <row r="167" ht="15.75" customHeight="1">
      <c r="A167" s="25"/>
      <c r="B167" s="449"/>
      <c r="C167" s="449"/>
      <c r="D167" s="449"/>
      <c r="E167" s="25"/>
      <c r="F167" s="25"/>
      <c r="G167" s="25"/>
      <c r="H167" s="25"/>
      <c r="I167" s="25"/>
      <c r="J167" s="25"/>
      <c r="K167" s="25"/>
      <c r="L167" s="25"/>
      <c r="M167" s="25"/>
      <c r="N167" s="25"/>
      <c r="O167" s="25"/>
      <c r="P167" s="25"/>
      <c r="Q167" s="25"/>
      <c r="R167" s="25"/>
      <c r="S167" s="25"/>
      <c r="T167" s="25"/>
      <c r="U167" s="25"/>
      <c r="V167" s="25"/>
      <c r="W167" s="25"/>
      <c r="X167" s="25"/>
      <c r="Y167" s="25"/>
      <c r="Z167" s="25"/>
    </row>
    <row r="168" ht="15.75" customHeight="1">
      <c r="A168" s="25"/>
      <c r="B168" s="449"/>
      <c r="C168" s="449"/>
      <c r="D168" s="449"/>
      <c r="E168" s="25"/>
      <c r="F168" s="25"/>
      <c r="G168" s="25"/>
      <c r="H168" s="25"/>
      <c r="I168" s="25"/>
      <c r="J168" s="25"/>
      <c r="K168" s="25"/>
      <c r="L168" s="25"/>
      <c r="M168" s="25"/>
      <c r="N168" s="25"/>
      <c r="O168" s="25"/>
      <c r="P168" s="25"/>
      <c r="Q168" s="25"/>
      <c r="R168" s="25"/>
      <c r="S168" s="25"/>
      <c r="T168" s="25"/>
      <c r="U168" s="25"/>
      <c r="V168" s="25"/>
      <c r="W168" s="25"/>
      <c r="X168" s="25"/>
      <c r="Y168" s="25"/>
      <c r="Z168" s="25"/>
    </row>
    <row r="169" ht="15.75" customHeight="1">
      <c r="A169" s="25"/>
      <c r="B169" s="449"/>
      <c r="C169" s="449"/>
      <c r="D169" s="449"/>
      <c r="E169" s="25"/>
      <c r="F169" s="25"/>
      <c r="G169" s="25"/>
      <c r="H169" s="25"/>
      <c r="I169" s="25"/>
      <c r="J169" s="25"/>
      <c r="K169" s="25"/>
      <c r="L169" s="25"/>
      <c r="M169" s="25"/>
      <c r="N169" s="25"/>
      <c r="O169" s="25"/>
      <c r="P169" s="25"/>
      <c r="Q169" s="25"/>
      <c r="R169" s="25"/>
      <c r="S169" s="25"/>
      <c r="T169" s="25"/>
      <c r="U169" s="25"/>
      <c r="V169" s="25"/>
      <c r="W169" s="25"/>
      <c r="X169" s="25"/>
      <c r="Y169" s="25"/>
      <c r="Z169" s="25"/>
    </row>
    <row r="170" ht="15.75" customHeight="1">
      <c r="A170" s="25"/>
      <c r="B170" s="449"/>
      <c r="C170" s="449"/>
      <c r="D170" s="449"/>
      <c r="E170" s="25"/>
      <c r="F170" s="25"/>
      <c r="G170" s="25"/>
      <c r="H170" s="25"/>
      <c r="I170" s="25"/>
      <c r="J170" s="25"/>
      <c r="K170" s="25"/>
      <c r="L170" s="25"/>
      <c r="M170" s="25"/>
      <c r="N170" s="25"/>
      <c r="O170" s="25"/>
      <c r="P170" s="25"/>
      <c r="Q170" s="25"/>
      <c r="R170" s="25"/>
      <c r="S170" s="25"/>
      <c r="T170" s="25"/>
      <c r="U170" s="25"/>
      <c r="V170" s="25"/>
      <c r="W170" s="25"/>
      <c r="X170" s="25"/>
      <c r="Y170" s="25"/>
      <c r="Z170" s="25"/>
    </row>
    <row r="171" ht="15.75" customHeight="1">
      <c r="A171" s="25"/>
      <c r="B171" s="449"/>
      <c r="C171" s="449"/>
      <c r="D171" s="449"/>
      <c r="E171" s="25"/>
      <c r="F171" s="25"/>
      <c r="G171" s="25"/>
      <c r="H171" s="25"/>
      <c r="I171" s="25"/>
      <c r="J171" s="25"/>
      <c r="K171" s="25"/>
      <c r="L171" s="25"/>
      <c r="M171" s="25"/>
      <c r="N171" s="25"/>
      <c r="O171" s="25"/>
      <c r="P171" s="25"/>
      <c r="Q171" s="25"/>
      <c r="R171" s="25"/>
      <c r="S171" s="25"/>
      <c r="T171" s="25"/>
      <c r="U171" s="25"/>
      <c r="V171" s="25"/>
      <c r="W171" s="25"/>
      <c r="X171" s="25"/>
      <c r="Y171" s="25"/>
      <c r="Z171" s="25"/>
    </row>
    <row r="172" ht="15.75" customHeight="1">
      <c r="A172" s="25"/>
      <c r="B172" s="449"/>
      <c r="C172" s="449"/>
      <c r="D172" s="449"/>
      <c r="E172" s="25"/>
      <c r="F172" s="25"/>
      <c r="G172" s="25"/>
      <c r="H172" s="25"/>
      <c r="I172" s="25"/>
      <c r="J172" s="25"/>
      <c r="K172" s="25"/>
      <c r="L172" s="25"/>
      <c r="M172" s="25"/>
      <c r="N172" s="25"/>
      <c r="O172" s="25"/>
      <c r="P172" s="25"/>
      <c r="Q172" s="25"/>
      <c r="R172" s="25"/>
      <c r="S172" s="25"/>
      <c r="T172" s="25"/>
      <c r="U172" s="25"/>
      <c r="V172" s="25"/>
      <c r="W172" s="25"/>
      <c r="X172" s="25"/>
      <c r="Y172" s="25"/>
      <c r="Z172" s="25"/>
    </row>
    <row r="173" ht="15.75" customHeight="1">
      <c r="A173" s="25"/>
      <c r="B173" s="449"/>
      <c r="C173" s="449"/>
      <c r="D173" s="449"/>
      <c r="E173" s="25"/>
      <c r="F173" s="25"/>
      <c r="G173" s="25"/>
      <c r="H173" s="25"/>
      <c r="I173" s="25"/>
      <c r="J173" s="25"/>
      <c r="K173" s="25"/>
      <c r="L173" s="25"/>
      <c r="M173" s="25"/>
      <c r="N173" s="25"/>
      <c r="O173" s="25"/>
      <c r="P173" s="25"/>
      <c r="Q173" s="25"/>
      <c r="R173" s="25"/>
      <c r="S173" s="25"/>
      <c r="T173" s="25"/>
      <c r="U173" s="25"/>
      <c r="V173" s="25"/>
      <c r="W173" s="25"/>
      <c r="X173" s="25"/>
      <c r="Y173" s="25"/>
      <c r="Z173" s="25"/>
    </row>
    <row r="174" ht="15.75" customHeight="1">
      <c r="A174" s="25"/>
      <c r="B174" s="449"/>
      <c r="C174" s="449"/>
      <c r="D174" s="449"/>
      <c r="E174" s="25"/>
      <c r="F174" s="25"/>
      <c r="G174" s="25"/>
      <c r="H174" s="25"/>
      <c r="I174" s="25"/>
      <c r="J174" s="25"/>
      <c r="K174" s="25"/>
      <c r="L174" s="25"/>
      <c r="M174" s="25"/>
      <c r="N174" s="25"/>
      <c r="O174" s="25"/>
      <c r="P174" s="25"/>
      <c r="Q174" s="25"/>
      <c r="R174" s="25"/>
      <c r="S174" s="25"/>
      <c r="T174" s="25"/>
      <c r="U174" s="25"/>
      <c r="V174" s="25"/>
      <c r="W174" s="25"/>
      <c r="X174" s="25"/>
      <c r="Y174" s="25"/>
      <c r="Z174" s="25"/>
    </row>
    <row r="175" ht="15.75" customHeight="1">
      <c r="A175" s="25"/>
      <c r="B175" s="449"/>
      <c r="C175" s="449"/>
      <c r="D175" s="449"/>
      <c r="E175" s="25"/>
      <c r="F175" s="25"/>
      <c r="G175" s="25"/>
      <c r="H175" s="25"/>
      <c r="I175" s="25"/>
      <c r="J175" s="25"/>
      <c r="K175" s="25"/>
      <c r="L175" s="25"/>
      <c r="M175" s="25"/>
      <c r="N175" s="25"/>
      <c r="O175" s="25"/>
      <c r="P175" s="25"/>
      <c r="Q175" s="25"/>
      <c r="R175" s="25"/>
      <c r="S175" s="25"/>
      <c r="T175" s="25"/>
      <c r="U175" s="25"/>
      <c r="V175" s="25"/>
      <c r="W175" s="25"/>
      <c r="X175" s="25"/>
      <c r="Y175" s="25"/>
      <c r="Z175" s="25"/>
    </row>
    <row r="176" ht="15.75" customHeight="1">
      <c r="A176" s="25"/>
      <c r="B176" s="449"/>
      <c r="C176" s="449"/>
      <c r="D176" s="449"/>
      <c r="E176" s="25"/>
      <c r="F176" s="25"/>
      <c r="G176" s="25"/>
      <c r="H176" s="25"/>
      <c r="I176" s="25"/>
      <c r="J176" s="25"/>
      <c r="K176" s="25"/>
      <c r="L176" s="25"/>
      <c r="M176" s="25"/>
      <c r="N176" s="25"/>
      <c r="O176" s="25"/>
      <c r="P176" s="25"/>
      <c r="Q176" s="25"/>
      <c r="R176" s="25"/>
      <c r="S176" s="25"/>
      <c r="T176" s="25"/>
      <c r="U176" s="25"/>
      <c r="V176" s="25"/>
      <c r="W176" s="25"/>
      <c r="X176" s="25"/>
      <c r="Y176" s="25"/>
      <c r="Z176" s="25"/>
    </row>
    <row r="177" ht="15.75" customHeight="1">
      <c r="A177" s="25"/>
      <c r="B177" s="449"/>
      <c r="C177" s="449"/>
      <c r="D177" s="449"/>
      <c r="E177" s="25"/>
      <c r="F177" s="25"/>
      <c r="G177" s="25"/>
      <c r="H177" s="25"/>
      <c r="I177" s="25"/>
      <c r="J177" s="25"/>
      <c r="K177" s="25"/>
      <c r="L177" s="25"/>
      <c r="M177" s="25"/>
      <c r="N177" s="25"/>
      <c r="O177" s="25"/>
      <c r="P177" s="25"/>
      <c r="Q177" s="25"/>
      <c r="R177" s="25"/>
      <c r="S177" s="25"/>
      <c r="T177" s="25"/>
      <c r="U177" s="25"/>
      <c r="V177" s="25"/>
      <c r="W177" s="25"/>
      <c r="X177" s="25"/>
      <c r="Y177" s="25"/>
      <c r="Z177" s="25"/>
    </row>
    <row r="178" ht="15.75" customHeight="1">
      <c r="A178" s="25"/>
      <c r="B178" s="449"/>
      <c r="C178" s="449"/>
      <c r="D178" s="449"/>
      <c r="E178" s="25"/>
      <c r="F178" s="25"/>
      <c r="G178" s="25"/>
      <c r="H178" s="25"/>
      <c r="I178" s="25"/>
      <c r="J178" s="25"/>
      <c r="K178" s="25"/>
      <c r="L178" s="25"/>
      <c r="M178" s="25"/>
      <c r="N178" s="25"/>
      <c r="O178" s="25"/>
      <c r="P178" s="25"/>
      <c r="Q178" s="25"/>
      <c r="R178" s="25"/>
      <c r="S178" s="25"/>
      <c r="T178" s="25"/>
      <c r="U178" s="25"/>
      <c r="V178" s="25"/>
      <c r="W178" s="25"/>
      <c r="X178" s="25"/>
      <c r="Y178" s="25"/>
      <c r="Z178" s="25"/>
    </row>
    <row r="179" ht="15.75" customHeight="1">
      <c r="A179" s="25"/>
      <c r="B179" s="449"/>
      <c r="C179" s="449"/>
      <c r="D179" s="449"/>
      <c r="E179" s="25"/>
      <c r="F179" s="25"/>
      <c r="G179" s="25"/>
      <c r="H179" s="25"/>
      <c r="I179" s="25"/>
      <c r="J179" s="25"/>
      <c r="K179" s="25"/>
      <c r="L179" s="25"/>
      <c r="M179" s="25"/>
      <c r="N179" s="25"/>
      <c r="O179" s="25"/>
      <c r="P179" s="25"/>
      <c r="Q179" s="25"/>
      <c r="R179" s="25"/>
      <c r="S179" s="25"/>
      <c r="T179" s="25"/>
      <c r="U179" s="25"/>
      <c r="V179" s="25"/>
      <c r="W179" s="25"/>
      <c r="X179" s="25"/>
      <c r="Y179" s="25"/>
      <c r="Z179" s="25"/>
    </row>
    <row r="180" ht="15.75" customHeight="1">
      <c r="A180" s="25"/>
      <c r="B180" s="449"/>
      <c r="C180" s="449"/>
      <c r="D180" s="449"/>
      <c r="E180" s="25"/>
      <c r="F180" s="25"/>
      <c r="G180" s="25"/>
      <c r="H180" s="25"/>
      <c r="I180" s="25"/>
      <c r="J180" s="25"/>
      <c r="K180" s="25"/>
      <c r="L180" s="25"/>
      <c r="M180" s="25"/>
      <c r="N180" s="25"/>
      <c r="O180" s="25"/>
      <c r="P180" s="25"/>
      <c r="Q180" s="25"/>
      <c r="R180" s="25"/>
      <c r="S180" s="25"/>
      <c r="T180" s="25"/>
      <c r="U180" s="25"/>
      <c r="V180" s="25"/>
      <c r="W180" s="25"/>
      <c r="X180" s="25"/>
      <c r="Y180" s="25"/>
      <c r="Z180" s="25"/>
    </row>
    <row r="181" ht="15.75" customHeight="1">
      <c r="A181" s="25"/>
      <c r="B181" s="449"/>
      <c r="C181" s="449"/>
      <c r="D181" s="449"/>
      <c r="E181" s="25"/>
      <c r="F181" s="25"/>
      <c r="G181" s="25"/>
      <c r="H181" s="25"/>
      <c r="I181" s="25"/>
      <c r="J181" s="25"/>
      <c r="K181" s="25"/>
      <c r="L181" s="25"/>
      <c r="M181" s="25"/>
      <c r="N181" s="25"/>
      <c r="O181" s="25"/>
      <c r="P181" s="25"/>
      <c r="Q181" s="25"/>
      <c r="R181" s="25"/>
      <c r="S181" s="25"/>
      <c r="T181" s="25"/>
      <c r="U181" s="25"/>
      <c r="V181" s="25"/>
      <c r="W181" s="25"/>
      <c r="X181" s="25"/>
      <c r="Y181" s="25"/>
      <c r="Z181" s="25"/>
    </row>
    <row r="182" ht="15.75" customHeight="1">
      <c r="A182" s="25"/>
      <c r="B182" s="449"/>
      <c r="C182" s="449"/>
      <c r="D182" s="449"/>
      <c r="E182" s="25"/>
      <c r="F182" s="25"/>
      <c r="G182" s="25"/>
      <c r="H182" s="25"/>
      <c r="I182" s="25"/>
      <c r="J182" s="25"/>
      <c r="K182" s="25"/>
      <c r="L182" s="25"/>
      <c r="M182" s="25"/>
      <c r="N182" s="25"/>
      <c r="O182" s="25"/>
      <c r="P182" s="25"/>
      <c r="Q182" s="25"/>
      <c r="R182" s="25"/>
      <c r="S182" s="25"/>
      <c r="T182" s="25"/>
      <c r="U182" s="25"/>
      <c r="V182" s="25"/>
      <c r="W182" s="25"/>
      <c r="X182" s="25"/>
      <c r="Y182" s="25"/>
      <c r="Z182" s="25"/>
    </row>
    <row r="183" ht="15.75" customHeight="1">
      <c r="A183" s="25"/>
      <c r="B183" s="449"/>
      <c r="C183" s="449"/>
      <c r="D183" s="449"/>
      <c r="E183" s="25"/>
      <c r="F183" s="25"/>
      <c r="G183" s="25"/>
      <c r="H183" s="25"/>
      <c r="I183" s="25"/>
      <c r="J183" s="25"/>
      <c r="K183" s="25"/>
      <c r="L183" s="25"/>
      <c r="M183" s="25"/>
      <c r="N183" s="25"/>
      <c r="O183" s="25"/>
      <c r="P183" s="25"/>
      <c r="Q183" s="25"/>
      <c r="R183" s="25"/>
      <c r="S183" s="25"/>
      <c r="T183" s="25"/>
      <c r="U183" s="25"/>
      <c r="V183" s="25"/>
      <c r="W183" s="25"/>
      <c r="X183" s="25"/>
      <c r="Y183" s="25"/>
      <c r="Z183" s="25"/>
    </row>
    <row r="184" ht="15.75" customHeight="1">
      <c r="A184" s="25"/>
      <c r="B184" s="449"/>
      <c r="C184" s="449"/>
      <c r="D184" s="449"/>
      <c r="E184" s="25"/>
      <c r="F184" s="25"/>
      <c r="G184" s="25"/>
      <c r="H184" s="25"/>
      <c r="I184" s="25"/>
      <c r="J184" s="25"/>
      <c r="K184" s="25"/>
      <c r="L184" s="25"/>
      <c r="M184" s="25"/>
      <c r="N184" s="25"/>
      <c r="O184" s="25"/>
      <c r="P184" s="25"/>
      <c r="Q184" s="25"/>
      <c r="R184" s="25"/>
      <c r="S184" s="25"/>
      <c r="T184" s="25"/>
      <c r="U184" s="25"/>
      <c r="V184" s="25"/>
      <c r="W184" s="25"/>
      <c r="X184" s="25"/>
      <c r="Y184" s="25"/>
      <c r="Z184" s="25"/>
    </row>
    <row r="185" ht="15.75" customHeight="1">
      <c r="A185" s="25"/>
      <c r="B185" s="449"/>
      <c r="C185" s="449"/>
      <c r="D185" s="449"/>
      <c r="E185" s="25"/>
      <c r="F185" s="25"/>
      <c r="G185" s="25"/>
      <c r="H185" s="25"/>
      <c r="I185" s="25"/>
      <c r="J185" s="25"/>
      <c r="K185" s="25"/>
      <c r="L185" s="25"/>
      <c r="M185" s="25"/>
      <c r="N185" s="25"/>
      <c r="O185" s="25"/>
      <c r="P185" s="25"/>
      <c r="Q185" s="25"/>
      <c r="R185" s="25"/>
      <c r="S185" s="25"/>
      <c r="T185" s="25"/>
      <c r="U185" s="25"/>
      <c r="V185" s="25"/>
      <c r="W185" s="25"/>
      <c r="X185" s="25"/>
      <c r="Y185" s="25"/>
      <c r="Z185" s="25"/>
    </row>
    <row r="186" ht="15.75" customHeight="1">
      <c r="A186" s="25"/>
      <c r="B186" s="449"/>
      <c r="C186" s="449"/>
      <c r="D186" s="449"/>
      <c r="E186" s="25"/>
      <c r="F186" s="25"/>
      <c r="G186" s="25"/>
      <c r="H186" s="25"/>
      <c r="I186" s="25"/>
      <c r="J186" s="25"/>
      <c r="K186" s="25"/>
      <c r="L186" s="25"/>
      <c r="M186" s="25"/>
      <c r="N186" s="25"/>
      <c r="O186" s="25"/>
      <c r="P186" s="25"/>
      <c r="Q186" s="25"/>
      <c r="R186" s="25"/>
      <c r="S186" s="25"/>
      <c r="T186" s="25"/>
      <c r="U186" s="25"/>
      <c r="V186" s="25"/>
      <c r="W186" s="25"/>
      <c r="X186" s="25"/>
      <c r="Y186" s="25"/>
      <c r="Z186" s="25"/>
    </row>
    <row r="187" ht="15.75" customHeight="1">
      <c r="A187" s="25"/>
      <c r="B187" s="449"/>
      <c r="C187" s="449"/>
      <c r="D187" s="449"/>
      <c r="E187" s="25"/>
      <c r="F187" s="25"/>
      <c r="G187" s="25"/>
      <c r="H187" s="25"/>
      <c r="I187" s="25"/>
      <c r="J187" s="25"/>
      <c r="K187" s="25"/>
      <c r="L187" s="25"/>
      <c r="M187" s="25"/>
      <c r="N187" s="25"/>
      <c r="O187" s="25"/>
      <c r="P187" s="25"/>
      <c r="Q187" s="25"/>
      <c r="R187" s="25"/>
      <c r="S187" s="25"/>
      <c r="T187" s="25"/>
      <c r="U187" s="25"/>
      <c r="V187" s="25"/>
      <c r="W187" s="25"/>
      <c r="X187" s="25"/>
      <c r="Y187" s="25"/>
      <c r="Z187" s="25"/>
    </row>
    <row r="188" ht="15.75" customHeight="1">
      <c r="A188" s="25"/>
      <c r="B188" s="449"/>
      <c r="C188" s="449"/>
      <c r="D188" s="449"/>
      <c r="E188" s="25"/>
      <c r="F188" s="25"/>
      <c r="G188" s="25"/>
      <c r="H188" s="25"/>
      <c r="I188" s="25"/>
      <c r="J188" s="25"/>
      <c r="K188" s="25"/>
      <c r="L188" s="25"/>
      <c r="M188" s="25"/>
      <c r="N188" s="25"/>
      <c r="O188" s="25"/>
      <c r="P188" s="25"/>
      <c r="Q188" s="25"/>
      <c r="R188" s="25"/>
      <c r="S188" s="25"/>
      <c r="T188" s="25"/>
      <c r="U188" s="25"/>
      <c r="V188" s="25"/>
      <c r="W188" s="25"/>
      <c r="X188" s="25"/>
      <c r="Y188" s="25"/>
      <c r="Z188" s="25"/>
    </row>
    <row r="189" ht="15.75" customHeight="1">
      <c r="A189" s="25"/>
      <c r="B189" s="449"/>
      <c r="C189" s="449"/>
      <c r="D189" s="449"/>
      <c r="E189" s="25"/>
      <c r="F189" s="25"/>
      <c r="G189" s="25"/>
      <c r="H189" s="25"/>
      <c r="I189" s="25"/>
      <c r="J189" s="25"/>
      <c r="K189" s="25"/>
      <c r="L189" s="25"/>
      <c r="M189" s="25"/>
      <c r="N189" s="25"/>
      <c r="O189" s="25"/>
      <c r="P189" s="25"/>
      <c r="Q189" s="25"/>
      <c r="R189" s="25"/>
      <c r="S189" s="25"/>
      <c r="T189" s="25"/>
      <c r="U189" s="25"/>
      <c r="V189" s="25"/>
      <c r="W189" s="25"/>
      <c r="X189" s="25"/>
      <c r="Y189" s="25"/>
      <c r="Z189" s="25"/>
    </row>
    <row r="190" ht="15.75" customHeight="1">
      <c r="A190" s="25"/>
      <c r="B190" s="449"/>
      <c r="C190" s="449"/>
      <c r="D190" s="449"/>
      <c r="E190" s="25"/>
      <c r="F190" s="25"/>
      <c r="G190" s="25"/>
      <c r="H190" s="25"/>
      <c r="I190" s="25"/>
      <c r="J190" s="25"/>
      <c r="K190" s="25"/>
      <c r="L190" s="25"/>
      <c r="M190" s="25"/>
      <c r="N190" s="25"/>
      <c r="O190" s="25"/>
      <c r="P190" s="25"/>
      <c r="Q190" s="25"/>
      <c r="R190" s="25"/>
      <c r="S190" s="25"/>
      <c r="T190" s="25"/>
      <c r="U190" s="25"/>
      <c r="V190" s="25"/>
      <c r="W190" s="25"/>
      <c r="X190" s="25"/>
      <c r="Y190" s="25"/>
      <c r="Z190" s="25"/>
    </row>
    <row r="191" ht="15.75" customHeight="1">
      <c r="A191" s="25"/>
      <c r="B191" s="449"/>
      <c r="C191" s="449"/>
      <c r="D191" s="449"/>
      <c r="E191" s="25"/>
      <c r="F191" s="25"/>
      <c r="G191" s="25"/>
      <c r="H191" s="25"/>
      <c r="I191" s="25"/>
      <c r="J191" s="25"/>
      <c r="K191" s="25"/>
      <c r="L191" s="25"/>
      <c r="M191" s="25"/>
      <c r="N191" s="25"/>
      <c r="O191" s="25"/>
      <c r="P191" s="25"/>
      <c r="Q191" s="25"/>
      <c r="R191" s="25"/>
      <c r="S191" s="25"/>
      <c r="T191" s="25"/>
      <c r="U191" s="25"/>
      <c r="V191" s="25"/>
      <c r="W191" s="25"/>
      <c r="X191" s="25"/>
      <c r="Y191" s="25"/>
      <c r="Z191" s="25"/>
    </row>
    <row r="192" ht="15.75" customHeight="1">
      <c r="A192" s="25"/>
      <c r="B192" s="449"/>
      <c r="C192" s="449"/>
      <c r="D192" s="449"/>
      <c r="E192" s="25"/>
      <c r="F192" s="25"/>
      <c r="G192" s="25"/>
      <c r="H192" s="25"/>
      <c r="I192" s="25"/>
      <c r="J192" s="25"/>
      <c r="K192" s="25"/>
      <c r="L192" s="25"/>
      <c r="M192" s="25"/>
      <c r="N192" s="25"/>
      <c r="O192" s="25"/>
      <c r="P192" s="25"/>
      <c r="Q192" s="25"/>
      <c r="R192" s="25"/>
      <c r="S192" s="25"/>
      <c r="T192" s="25"/>
      <c r="U192" s="25"/>
      <c r="V192" s="25"/>
      <c r="W192" s="25"/>
      <c r="X192" s="25"/>
      <c r="Y192" s="25"/>
      <c r="Z192" s="25"/>
    </row>
    <row r="193" ht="15.75" customHeight="1">
      <c r="A193" s="25"/>
      <c r="B193" s="449"/>
      <c r="C193" s="449"/>
      <c r="D193" s="449"/>
      <c r="E193" s="25"/>
      <c r="F193" s="25"/>
      <c r="G193" s="25"/>
      <c r="H193" s="25"/>
      <c r="I193" s="25"/>
      <c r="J193" s="25"/>
      <c r="K193" s="25"/>
      <c r="L193" s="25"/>
      <c r="M193" s="25"/>
      <c r="N193" s="25"/>
      <c r="O193" s="25"/>
      <c r="P193" s="25"/>
      <c r="Q193" s="25"/>
      <c r="R193" s="25"/>
      <c r="S193" s="25"/>
      <c r="T193" s="25"/>
      <c r="U193" s="25"/>
      <c r="V193" s="25"/>
      <c r="W193" s="25"/>
      <c r="X193" s="25"/>
      <c r="Y193" s="25"/>
      <c r="Z193" s="25"/>
    </row>
    <row r="194" ht="15.75" customHeight="1">
      <c r="A194" s="25"/>
      <c r="B194" s="449"/>
      <c r="C194" s="449"/>
      <c r="D194" s="449"/>
      <c r="E194" s="25"/>
      <c r="F194" s="25"/>
      <c r="G194" s="25"/>
      <c r="H194" s="25"/>
      <c r="I194" s="25"/>
      <c r="J194" s="25"/>
      <c r="K194" s="25"/>
      <c r="L194" s="25"/>
      <c r="M194" s="25"/>
      <c r="N194" s="25"/>
      <c r="O194" s="25"/>
      <c r="P194" s="25"/>
      <c r="Q194" s="25"/>
      <c r="R194" s="25"/>
      <c r="S194" s="25"/>
      <c r="T194" s="25"/>
      <c r="U194" s="25"/>
      <c r="V194" s="25"/>
      <c r="W194" s="25"/>
      <c r="X194" s="25"/>
      <c r="Y194" s="25"/>
      <c r="Z194" s="25"/>
    </row>
    <row r="195" ht="15.75" customHeight="1">
      <c r="A195" s="25"/>
      <c r="B195" s="449"/>
      <c r="C195" s="449"/>
      <c r="D195" s="449"/>
      <c r="E195" s="25"/>
      <c r="F195" s="25"/>
      <c r="G195" s="25"/>
      <c r="H195" s="25"/>
      <c r="I195" s="25"/>
      <c r="J195" s="25"/>
      <c r="K195" s="25"/>
      <c r="L195" s="25"/>
      <c r="M195" s="25"/>
      <c r="N195" s="25"/>
      <c r="O195" s="25"/>
      <c r="P195" s="25"/>
      <c r="Q195" s="25"/>
      <c r="R195" s="25"/>
      <c r="S195" s="25"/>
      <c r="T195" s="25"/>
      <c r="U195" s="25"/>
      <c r="V195" s="25"/>
      <c r="W195" s="25"/>
      <c r="X195" s="25"/>
      <c r="Y195" s="25"/>
      <c r="Z195" s="25"/>
    </row>
    <row r="196" ht="15.75" customHeight="1">
      <c r="A196" s="25"/>
      <c r="B196" s="449"/>
      <c r="C196" s="449"/>
      <c r="D196" s="449"/>
      <c r="E196" s="25"/>
      <c r="F196" s="25"/>
      <c r="G196" s="25"/>
      <c r="H196" s="25"/>
      <c r="I196" s="25"/>
      <c r="J196" s="25"/>
      <c r="K196" s="25"/>
      <c r="L196" s="25"/>
      <c r="M196" s="25"/>
      <c r="N196" s="25"/>
      <c r="O196" s="25"/>
      <c r="P196" s="25"/>
      <c r="Q196" s="25"/>
      <c r="R196" s="25"/>
      <c r="S196" s="25"/>
      <c r="T196" s="25"/>
      <c r="U196" s="25"/>
      <c r="V196" s="25"/>
      <c r="W196" s="25"/>
      <c r="X196" s="25"/>
      <c r="Y196" s="25"/>
      <c r="Z196" s="25"/>
    </row>
    <row r="197" ht="15.75" customHeight="1">
      <c r="A197" s="25"/>
      <c r="B197" s="449"/>
      <c r="C197" s="449"/>
      <c r="D197" s="449"/>
      <c r="E197" s="25"/>
      <c r="F197" s="25"/>
      <c r="G197" s="25"/>
      <c r="H197" s="25"/>
      <c r="I197" s="25"/>
      <c r="J197" s="25"/>
      <c r="K197" s="25"/>
      <c r="L197" s="25"/>
      <c r="M197" s="25"/>
      <c r="N197" s="25"/>
      <c r="O197" s="25"/>
      <c r="P197" s="25"/>
      <c r="Q197" s="25"/>
      <c r="R197" s="25"/>
      <c r="S197" s="25"/>
      <c r="T197" s="25"/>
      <c r="U197" s="25"/>
      <c r="V197" s="25"/>
      <c r="W197" s="25"/>
      <c r="X197" s="25"/>
      <c r="Y197" s="25"/>
      <c r="Z197" s="25"/>
    </row>
    <row r="198" ht="15.75" customHeight="1">
      <c r="A198" s="25"/>
      <c r="B198" s="449"/>
      <c r="C198" s="449"/>
      <c r="D198" s="449"/>
      <c r="E198" s="25"/>
      <c r="F198" s="25"/>
      <c r="G198" s="25"/>
      <c r="H198" s="25"/>
      <c r="I198" s="25"/>
      <c r="J198" s="25"/>
      <c r="K198" s="25"/>
      <c r="L198" s="25"/>
      <c r="M198" s="25"/>
      <c r="N198" s="25"/>
      <c r="O198" s="25"/>
      <c r="P198" s="25"/>
      <c r="Q198" s="25"/>
      <c r="R198" s="25"/>
      <c r="S198" s="25"/>
      <c r="T198" s="25"/>
      <c r="U198" s="25"/>
      <c r="V198" s="25"/>
      <c r="W198" s="25"/>
      <c r="X198" s="25"/>
      <c r="Y198" s="25"/>
      <c r="Z198" s="25"/>
    </row>
    <row r="199" ht="15.75" customHeight="1">
      <c r="A199" s="25"/>
      <c r="B199" s="449"/>
      <c r="C199" s="449"/>
      <c r="D199" s="449"/>
      <c r="E199" s="25"/>
      <c r="F199" s="25"/>
      <c r="G199" s="25"/>
      <c r="H199" s="25"/>
      <c r="I199" s="25"/>
      <c r="J199" s="25"/>
      <c r="K199" s="25"/>
      <c r="L199" s="25"/>
      <c r="M199" s="25"/>
      <c r="N199" s="25"/>
      <c r="O199" s="25"/>
      <c r="P199" s="25"/>
      <c r="Q199" s="25"/>
      <c r="R199" s="25"/>
      <c r="S199" s="25"/>
      <c r="T199" s="25"/>
      <c r="U199" s="25"/>
      <c r="V199" s="25"/>
      <c r="W199" s="25"/>
      <c r="X199" s="25"/>
      <c r="Y199" s="25"/>
      <c r="Z199" s="25"/>
    </row>
    <row r="200" ht="15.75" customHeight="1">
      <c r="A200" s="25"/>
      <c r="B200" s="449"/>
      <c r="C200" s="449"/>
      <c r="D200" s="449"/>
      <c r="E200" s="25"/>
      <c r="F200" s="25"/>
      <c r="G200" s="25"/>
      <c r="H200" s="25"/>
      <c r="I200" s="25"/>
      <c r="J200" s="25"/>
      <c r="K200" s="25"/>
      <c r="L200" s="25"/>
      <c r="M200" s="25"/>
      <c r="N200" s="25"/>
      <c r="O200" s="25"/>
      <c r="P200" s="25"/>
      <c r="Q200" s="25"/>
      <c r="R200" s="25"/>
      <c r="S200" s="25"/>
      <c r="T200" s="25"/>
      <c r="U200" s="25"/>
      <c r="V200" s="25"/>
      <c r="W200" s="25"/>
      <c r="X200" s="25"/>
      <c r="Y200" s="25"/>
      <c r="Z200" s="25"/>
    </row>
    <row r="201" ht="15.75" customHeight="1">
      <c r="A201" s="25"/>
      <c r="B201" s="449"/>
      <c r="C201" s="449"/>
      <c r="D201" s="449"/>
      <c r="E201" s="25"/>
      <c r="F201" s="25"/>
      <c r="G201" s="25"/>
      <c r="H201" s="25"/>
      <c r="I201" s="25"/>
      <c r="J201" s="25"/>
      <c r="K201" s="25"/>
      <c r="L201" s="25"/>
      <c r="M201" s="25"/>
      <c r="N201" s="25"/>
      <c r="O201" s="25"/>
      <c r="P201" s="25"/>
      <c r="Q201" s="25"/>
      <c r="R201" s="25"/>
      <c r="S201" s="25"/>
      <c r="T201" s="25"/>
      <c r="U201" s="25"/>
      <c r="V201" s="25"/>
      <c r="W201" s="25"/>
      <c r="X201" s="25"/>
      <c r="Y201" s="25"/>
      <c r="Z201" s="25"/>
    </row>
    <row r="202" ht="15.75" customHeight="1">
      <c r="A202" s="25"/>
      <c r="B202" s="449"/>
      <c r="C202" s="449"/>
      <c r="D202" s="449"/>
      <c r="E202" s="25"/>
      <c r="F202" s="25"/>
      <c r="G202" s="25"/>
      <c r="H202" s="25"/>
      <c r="I202" s="25"/>
      <c r="J202" s="25"/>
      <c r="K202" s="25"/>
      <c r="L202" s="25"/>
      <c r="M202" s="25"/>
      <c r="N202" s="25"/>
      <c r="O202" s="25"/>
      <c r="P202" s="25"/>
      <c r="Q202" s="25"/>
      <c r="R202" s="25"/>
      <c r="S202" s="25"/>
      <c r="T202" s="25"/>
      <c r="U202" s="25"/>
      <c r="V202" s="25"/>
      <c r="W202" s="25"/>
      <c r="X202" s="25"/>
      <c r="Y202" s="25"/>
      <c r="Z202" s="25"/>
    </row>
    <row r="203" ht="15.75" customHeight="1">
      <c r="A203" s="25"/>
      <c r="B203" s="449"/>
      <c r="C203" s="449"/>
      <c r="D203" s="449"/>
      <c r="E203" s="25"/>
      <c r="F203" s="25"/>
      <c r="G203" s="25"/>
      <c r="H203" s="25"/>
      <c r="I203" s="25"/>
      <c r="J203" s="25"/>
      <c r="K203" s="25"/>
      <c r="L203" s="25"/>
      <c r="M203" s="25"/>
      <c r="N203" s="25"/>
      <c r="O203" s="25"/>
      <c r="P203" s="25"/>
      <c r="Q203" s="25"/>
      <c r="R203" s="25"/>
      <c r="S203" s="25"/>
      <c r="T203" s="25"/>
      <c r="U203" s="25"/>
      <c r="V203" s="25"/>
      <c r="W203" s="25"/>
      <c r="X203" s="25"/>
      <c r="Y203" s="25"/>
      <c r="Z203" s="25"/>
    </row>
    <row r="204" ht="15.75" customHeight="1">
      <c r="A204" s="25"/>
      <c r="B204" s="449"/>
      <c r="C204" s="449"/>
      <c r="D204" s="449"/>
      <c r="E204" s="25"/>
      <c r="F204" s="25"/>
      <c r="G204" s="25"/>
      <c r="H204" s="25"/>
      <c r="I204" s="25"/>
      <c r="J204" s="25"/>
      <c r="K204" s="25"/>
      <c r="L204" s="25"/>
      <c r="M204" s="25"/>
      <c r="N204" s="25"/>
      <c r="O204" s="25"/>
      <c r="P204" s="25"/>
      <c r="Q204" s="25"/>
      <c r="R204" s="25"/>
      <c r="S204" s="25"/>
      <c r="T204" s="25"/>
      <c r="U204" s="25"/>
      <c r="V204" s="25"/>
      <c r="W204" s="25"/>
      <c r="X204" s="25"/>
      <c r="Y204" s="25"/>
      <c r="Z204" s="25"/>
    </row>
    <row r="205" ht="15.75" customHeight="1">
      <c r="A205" s="25"/>
      <c r="B205" s="449"/>
      <c r="C205" s="449"/>
      <c r="D205" s="449"/>
      <c r="E205" s="25"/>
      <c r="F205" s="25"/>
      <c r="G205" s="25"/>
      <c r="H205" s="25"/>
      <c r="I205" s="25"/>
      <c r="J205" s="25"/>
      <c r="K205" s="25"/>
      <c r="L205" s="25"/>
      <c r="M205" s="25"/>
      <c r="N205" s="25"/>
      <c r="O205" s="25"/>
      <c r="P205" s="25"/>
      <c r="Q205" s="25"/>
      <c r="R205" s="25"/>
      <c r="S205" s="25"/>
      <c r="T205" s="25"/>
      <c r="U205" s="25"/>
      <c r="V205" s="25"/>
      <c r="W205" s="25"/>
      <c r="X205" s="25"/>
      <c r="Y205" s="25"/>
      <c r="Z205" s="25"/>
    </row>
    <row r="206" ht="15.75" customHeight="1">
      <c r="A206" s="25"/>
      <c r="B206" s="449"/>
      <c r="C206" s="449"/>
      <c r="D206" s="449"/>
      <c r="E206" s="25"/>
      <c r="F206" s="25"/>
      <c r="G206" s="25"/>
      <c r="H206" s="25"/>
      <c r="I206" s="25"/>
      <c r="J206" s="25"/>
      <c r="K206" s="25"/>
      <c r="L206" s="25"/>
      <c r="M206" s="25"/>
      <c r="N206" s="25"/>
      <c r="O206" s="25"/>
      <c r="P206" s="25"/>
      <c r="Q206" s="25"/>
      <c r="R206" s="25"/>
      <c r="S206" s="25"/>
      <c r="T206" s="25"/>
      <c r="U206" s="25"/>
      <c r="V206" s="25"/>
      <c r="W206" s="25"/>
      <c r="X206" s="25"/>
      <c r="Y206" s="25"/>
      <c r="Z206" s="25"/>
    </row>
    <row r="207" ht="15.75" customHeight="1">
      <c r="A207" s="25"/>
      <c r="B207" s="449"/>
      <c r="C207" s="449"/>
      <c r="D207" s="449"/>
      <c r="E207" s="25"/>
      <c r="F207" s="25"/>
      <c r="G207" s="25"/>
      <c r="H207" s="25"/>
      <c r="I207" s="25"/>
      <c r="J207" s="25"/>
      <c r="K207" s="25"/>
      <c r="L207" s="25"/>
      <c r="M207" s="25"/>
      <c r="N207" s="25"/>
      <c r="O207" s="25"/>
      <c r="P207" s="25"/>
      <c r="Q207" s="25"/>
      <c r="R207" s="25"/>
      <c r="S207" s="25"/>
      <c r="T207" s="25"/>
      <c r="U207" s="25"/>
      <c r="V207" s="25"/>
      <c r="W207" s="25"/>
      <c r="X207" s="25"/>
      <c r="Y207" s="25"/>
      <c r="Z207" s="25"/>
    </row>
    <row r="208" ht="15.75" customHeight="1">
      <c r="A208" s="25"/>
      <c r="B208" s="449"/>
      <c r="C208" s="449"/>
      <c r="D208" s="449"/>
      <c r="E208" s="25"/>
      <c r="F208" s="25"/>
      <c r="G208" s="25"/>
      <c r="H208" s="25"/>
      <c r="I208" s="25"/>
      <c r="J208" s="25"/>
      <c r="K208" s="25"/>
      <c r="L208" s="25"/>
      <c r="M208" s="25"/>
      <c r="N208" s="25"/>
      <c r="O208" s="25"/>
      <c r="P208" s="25"/>
      <c r="Q208" s="25"/>
      <c r="R208" s="25"/>
      <c r="S208" s="25"/>
      <c r="T208" s="25"/>
      <c r="U208" s="25"/>
      <c r="V208" s="25"/>
      <c r="W208" s="25"/>
      <c r="X208" s="25"/>
      <c r="Y208" s="25"/>
      <c r="Z208" s="25"/>
    </row>
    <row r="209" ht="15.75" customHeight="1">
      <c r="A209" s="25"/>
      <c r="B209" s="449"/>
      <c r="C209" s="449"/>
      <c r="D209" s="449"/>
      <c r="E209" s="25"/>
      <c r="F209" s="25"/>
      <c r="G209" s="25"/>
      <c r="H209" s="25"/>
      <c r="I209" s="25"/>
      <c r="J209" s="25"/>
      <c r="K209" s="25"/>
      <c r="L209" s="25"/>
      <c r="M209" s="25"/>
      <c r="N209" s="25"/>
      <c r="O209" s="25"/>
      <c r="P209" s="25"/>
      <c r="Q209" s="25"/>
      <c r="R209" s="25"/>
      <c r="S209" s="25"/>
      <c r="T209" s="25"/>
      <c r="U209" s="25"/>
      <c r="V209" s="25"/>
      <c r="W209" s="25"/>
      <c r="X209" s="25"/>
      <c r="Y209" s="25"/>
      <c r="Z209" s="25"/>
    </row>
    <row r="210" ht="15.75" customHeight="1">
      <c r="A210" s="25"/>
      <c r="B210" s="449"/>
      <c r="C210" s="449"/>
      <c r="D210" s="449"/>
      <c r="E210" s="25"/>
      <c r="F210" s="25"/>
      <c r="G210" s="25"/>
      <c r="H210" s="25"/>
      <c r="I210" s="25"/>
      <c r="J210" s="25"/>
      <c r="K210" s="25"/>
      <c r="L210" s="25"/>
      <c r="M210" s="25"/>
      <c r="N210" s="25"/>
      <c r="O210" s="25"/>
      <c r="P210" s="25"/>
      <c r="Q210" s="25"/>
      <c r="R210" s="25"/>
      <c r="S210" s="25"/>
      <c r="T210" s="25"/>
      <c r="U210" s="25"/>
      <c r="V210" s="25"/>
      <c r="W210" s="25"/>
      <c r="X210" s="25"/>
      <c r="Y210" s="25"/>
      <c r="Z210" s="25"/>
    </row>
    <row r="211" ht="15.75" customHeight="1">
      <c r="A211" s="25"/>
      <c r="B211" s="449"/>
      <c r="C211" s="449"/>
      <c r="D211" s="449"/>
      <c r="E211" s="25"/>
      <c r="F211" s="25"/>
      <c r="G211" s="25"/>
      <c r="H211" s="25"/>
      <c r="I211" s="25"/>
      <c r="J211" s="25"/>
      <c r="K211" s="25"/>
      <c r="L211" s="25"/>
      <c r="M211" s="25"/>
      <c r="N211" s="25"/>
      <c r="O211" s="25"/>
      <c r="P211" s="25"/>
      <c r="Q211" s="25"/>
      <c r="R211" s="25"/>
      <c r="S211" s="25"/>
      <c r="T211" s="25"/>
      <c r="U211" s="25"/>
      <c r="V211" s="25"/>
      <c r="W211" s="25"/>
      <c r="X211" s="25"/>
      <c r="Y211" s="25"/>
      <c r="Z211" s="25"/>
    </row>
    <row r="212" ht="15.75" customHeight="1">
      <c r="A212" s="25"/>
      <c r="B212" s="449"/>
      <c r="C212" s="449"/>
      <c r="D212" s="449"/>
      <c r="E212" s="25"/>
      <c r="F212" s="25"/>
      <c r="G212" s="25"/>
      <c r="H212" s="25"/>
      <c r="I212" s="25"/>
      <c r="J212" s="25"/>
      <c r="K212" s="25"/>
      <c r="L212" s="25"/>
      <c r="M212" s="25"/>
      <c r="N212" s="25"/>
      <c r="O212" s="25"/>
      <c r="P212" s="25"/>
      <c r="Q212" s="25"/>
      <c r="R212" s="25"/>
      <c r="S212" s="25"/>
      <c r="T212" s="25"/>
      <c r="U212" s="25"/>
      <c r="V212" s="25"/>
      <c r="W212" s="25"/>
      <c r="X212" s="25"/>
      <c r="Y212" s="25"/>
      <c r="Z212" s="25"/>
    </row>
    <row r="213" ht="15.75" customHeight="1">
      <c r="A213" s="25"/>
      <c r="B213" s="449"/>
      <c r="C213" s="449"/>
      <c r="D213" s="449"/>
      <c r="E213" s="25"/>
      <c r="F213" s="25"/>
      <c r="G213" s="25"/>
      <c r="H213" s="25"/>
      <c r="I213" s="25"/>
      <c r="J213" s="25"/>
      <c r="K213" s="25"/>
      <c r="L213" s="25"/>
      <c r="M213" s="25"/>
      <c r="N213" s="25"/>
      <c r="O213" s="25"/>
      <c r="P213" s="25"/>
      <c r="Q213" s="25"/>
      <c r="R213" s="25"/>
      <c r="S213" s="25"/>
      <c r="T213" s="25"/>
      <c r="U213" s="25"/>
      <c r="V213" s="25"/>
      <c r="W213" s="25"/>
      <c r="X213" s="25"/>
      <c r="Y213" s="25"/>
      <c r="Z213" s="25"/>
    </row>
    <row r="214" ht="15.75" customHeight="1">
      <c r="A214" s="25"/>
      <c r="B214" s="449"/>
      <c r="C214" s="449"/>
      <c r="D214" s="449"/>
      <c r="E214" s="25"/>
      <c r="F214" s="25"/>
      <c r="G214" s="25"/>
      <c r="H214" s="25"/>
      <c r="I214" s="25"/>
      <c r="J214" s="25"/>
      <c r="K214" s="25"/>
      <c r="L214" s="25"/>
      <c r="M214" s="25"/>
      <c r="N214" s="25"/>
      <c r="O214" s="25"/>
      <c r="P214" s="25"/>
      <c r="Q214" s="25"/>
      <c r="R214" s="25"/>
      <c r="S214" s="25"/>
      <c r="T214" s="25"/>
      <c r="U214" s="25"/>
      <c r="V214" s="25"/>
      <c r="W214" s="25"/>
      <c r="X214" s="25"/>
      <c r="Y214" s="25"/>
      <c r="Z214" s="25"/>
    </row>
    <row r="215" ht="15.75" customHeight="1">
      <c r="A215" s="25"/>
      <c r="B215" s="449"/>
      <c r="C215" s="449"/>
      <c r="D215" s="449"/>
      <c r="E215" s="25"/>
      <c r="F215" s="25"/>
      <c r="G215" s="25"/>
      <c r="H215" s="25"/>
      <c r="I215" s="25"/>
      <c r="J215" s="25"/>
      <c r="K215" s="25"/>
      <c r="L215" s="25"/>
      <c r="M215" s="25"/>
      <c r="N215" s="25"/>
      <c r="O215" s="25"/>
      <c r="P215" s="25"/>
      <c r="Q215" s="25"/>
      <c r="R215" s="25"/>
      <c r="S215" s="25"/>
      <c r="T215" s="25"/>
      <c r="U215" s="25"/>
      <c r="V215" s="25"/>
      <c r="W215" s="25"/>
      <c r="X215" s="25"/>
      <c r="Y215" s="25"/>
      <c r="Z215" s="25"/>
    </row>
    <row r="216" ht="15.75" customHeight="1">
      <c r="A216" s="25"/>
      <c r="B216" s="449"/>
      <c r="C216" s="449"/>
      <c r="D216" s="449"/>
      <c r="E216" s="25"/>
      <c r="F216" s="25"/>
      <c r="G216" s="25"/>
      <c r="H216" s="25"/>
      <c r="I216" s="25"/>
      <c r="J216" s="25"/>
      <c r="K216" s="25"/>
      <c r="L216" s="25"/>
      <c r="M216" s="25"/>
      <c r="N216" s="25"/>
      <c r="O216" s="25"/>
      <c r="P216" s="25"/>
      <c r="Q216" s="25"/>
      <c r="R216" s="25"/>
      <c r="S216" s="25"/>
      <c r="T216" s="25"/>
      <c r="U216" s="25"/>
      <c r="V216" s="25"/>
      <c r="W216" s="25"/>
      <c r="X216" s="25"/>
      <c r="Y216" s="25"/>
      <c r="Z216" s="25"/>
    </row>
    <row r="217" ht="15.75" customHeight="1">
      <c r="A217" s="25"/>
      <c r="B217" s="449"/>
      <c r="C217" s="449"/>
      <c r="D217" s="449"/>
      <c r="E217" s="25"/>
      <c r="F217" s="25"/>
      <c r="G217" s="25"/>
      <c r="H217" s="25"/>
      <c r="I217" s="25"/>
      <c r="J217" s="25"/>
      <c r="K217" s="25"/>
      <c r="L217" s="25"/>
      <c r="M217" s="25"/>
      <c r="N217" s="25"/>
      <c r="O217" s="25"/>
      <c r="P217" s="25"/>
      <c r="Q217" s="25"/>
      <c r="R217" s="25"/>
      <c r="S217" s="25"/>
      <c r="T217" s="25"/>
      <c r="U217" s="25"/>
      <c r="V217" s="25"/>
      <c r="W217" s="25"/>
      <c r="X217" s="25"/>
      <c r="Y217" s="25"/>
      <c r="Z217" s="25"/>
    </row>
    <row r="218" ht="15.75" customHeight="1">
      <c r="A218" s="25"/>
      <c r="B218" s="449"/>
      <c r="C218" s="449"/>
      <c r="D218" s="449"/>
      <c r="E218" s="25"/>
      <c r="F218" s="25"/>
      <c r="G218" s="25"/>
      <c r="H218" s="25"/>
      <c r="I218" s="25"/>
      <c r="J218" s="25"/>
      <c r="K218" s="25"/>
      <c r="L218" s="25"/>
      <c r="M218" s="25"/>
      <c r="N218" s="25"/>
      <c r="O218" s="25"/>
      <c r="P218" s="25"/>
      <c r="Q218" s="25"/>
      <c r="R218" s="25"/>
      <c r="S218" s="25"/>
      <c r="T218" s="25"/>
      <c r="U218" s="25"/>
      <c r="V218" s="25"/>
      <c r="W218" s="25"/>
      <c r="X218" s="25"/>
      <c r="Y218" s="25"/>
      <c r="Z218" s="25"/>
    </row>
    <row r="219" ht="15.75" customHeight="1">
      <c r="A219" s="25"/>
      <c r="B219" s="449"/>
      <c r="C219" s="449"/>
      <c r="D219" s="449"/>
      <c r="E219" s="25"/>
      <c r="F219" s="25"/>
      <c r="G219" s="25"/>
      <c r="H219" s="25"/>
      <c r="I219" s="25"/>
      <c r="J219" s="25"/>
      <c r="K219" s="25"/>
      <c r="L219" s="25"/>
      <c r="M219" s="25"/>
      <c r="N219" s="25"/>
      <c r="O219" s="25"/>
      <c r="P219" s="25"/>
      <c r="Q219" s="25"/>
      <c r="R219" s="25"/>
      <c r="S219" s="25"/>
      <c r="T219" s="25"/>
      <c r="U219" s="25"/>
      <c r="V219" s="25"/>
      <c r="W219" s="25"/>
      <c r="X219" s="25"/>
      <c r="Y219" s="25"/>
      <c r="Z219" s="25"/>
    </row>
    <row r="220" ht="15.75" customHeight="1">
      <c r="A220" s="25"/>
      <c r="B220" s="449"/>
      <c r="C220" s="449"/>
      <c r="D220" s="449"/>
      <c r="E220" s="25"/>
      <c r="F220" s="25"/>
      <c r="G220" s="25"/>
      <c r="H220" s="25"/>
      <c r="I220" s="25"/>
      <c r="J220" s="25"/>
      <c r="K220" s="25"/>
      <c r="L220" s="25"/>
      <c r="M220" s="25"/>
      <c r="N220" s="25"/>
      <c r="O220" s="25"/>
      <c r="P220" s="25"/>
      <c r="Q220" s="25"/>
      <c r="R220" s="25"/>
      <c r="S220" s="25"/>
      <c r="T220" s="25"/>
      <c r="U220" s="25"/>
      <c r="V220" s="25"/>
      <c r="W220" s="25"/>
      <c r="X220" s="25"/>
      <c r="Y220" s="25"/>
      <c r="Z220" s="25"/>
    </row>
    <row r="221" ht="15.75" customHeight="1">
      <c r="A221" s="25"/>
      <c r="B221" s="449"/>
      <c r="C221" s="449"/>
      <c r="D221" s="449"/>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15.75" customHeight="1">
      <c r="A222" s="25"/>
      <c r="B222" s="449"/>
      <c r="C222" s="449"/>
      <c r="D222" s="449"/>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15.75" customHeight="1">
      <c r="A223" s="25"/>
      <c r="B223" s="449"/>
      <c r="C223" s="449"/>
      <c r="D223" s="449"/>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15.75" customHeight="1">
      <c r="A224" s="25"/>
      <c r="B224" s="449"/>
      <c r="C224" s="449"/>
      <c r="D224" s="449"/>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15.75" customHeight="1">
      <c r="A225" s="25"/>
      <c r="B225" s="449"/>
      <c r="C225" s="449"/>
      <c r="D225" s="449"/>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15.75" customHeight="1">
      <c r="A226" s="25"/>
      <c r="B226" s="449"/>
      <c r="C226" s="449"/>
      <c r="D226" s="449"/>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15.75" customHeight="1">
      <c r="A227" s="25"/>
      <c r="B227" s="449"/>
      <c r="C227" s="449"/>
      <c r="D227" s="449"/>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15.75" customHeight="1">
      <c r="A228" s="25"/>
      <c r="B228" s="449"/>
      <c r="C228" s="449"/>
      <c r="D228" s="449"/>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15.75" customHeight="1">
      <c r="A229" s="25"/>
      <c r="B229" s="449"/>
      <c r="C229" s="449"/>
      <c r="D229" s="449"/>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15.75" customHeight="1">
      <c r="A230" s="25"/>
      <c r="B230" s="449"/>
      <c r="C230" s="449"/>
      <c r="D230" s="449"/>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15.75" customHeight="1">
      <c r="A231" s="25"/>
      <c r="B231" s="449"/>
      <c r="C231" s="449"/>
      <c r="D231" s="449"/>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15.75" customHeight="1">
      <c r="A232" s="25"/>
      <c r="B232" s="449"/>
      <c r="C232" s="449"/>
      <c r="D232" s="449"/>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15.75" customHeight="1">
      <c r="A233" s="25"/>
      <c r="B233" s="449"/>
      <c r="C233" s="449"/>
      <c r="D233" s="449"/>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15.75" customHeight="1">
      <c r="A234" s="25"/>
      <c r="B234" s="449"/>
      <c r="C234" s="449"/>
      <c r="D234" s="449"/>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15.75" customHeight="1">
      <c r="A235" s="25"/>
      <c r="B235" s="449"/>
      <c r="C235" s="449"/>
      <c r="D235" s="449"/>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15.75" customHeight="1">
      <c r="A236" s="25"/>
      <c r="B236" s="449"/>
      <c r="C236" s="449"/>
      <c r="D236" s="449"/>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15.75" customHeight="1">
      <c r="A237" s="25"/>
      <c r="B237" s="449"/>
      <c r="C237" s="449"/>
      <c r="D237" s="449"/>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15.75" customHeight="1">
      <c r="A238" s="25"/>
      <c r="B238" s="449"/>
      <c r="C238" s="449"/>
      <c r="D238" s="449"/>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15.75" customHeight="1">
      <c r="A239" s="25"/>
      <c r="B239" s="449"/>
      <c r="C239" s="449"/>
      <c r="D239" s="449"/>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15.75" customHeight="1">
      <c r="A240" s="25"/>
      <c r="B240" s="449"/>
      <c r="C240" s="449"/>
      <c r="D240" s="449"/>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15.75" customHeight="1">
      <c r="A241" s="25"/>
      <c r="B241" s="449"/>
      <c r="C241" s="449"/>
      <c r="D241" s="449"/>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15.75" customHeight="1">
      <c r="A242" s="25"/>
      <c r="B242" s="449"/>
      <c r="C242" s="449"/>
      <c r="D242" s="449"/>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15.75" customHeight="1">
      <c r="A243" s="25"/>
      <c r="B243" s="449"/>
      <c r="C243" s="449"/>
      <c r="D243" s="449"/>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15.75" customHeight="1">
      <c r="A244" s="25"/>
      <c r="B244" s="449"/>
      <c r="C244" s="449"/>
      <c r="D244" s="449"/>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15.75" customHeight="1">
      <c r="A245" s="25"/>
      <c r="B245" s="449"/>
      <c r="C245" s="449"/>
      <c r="D245" s="449"/>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15.75" customHeight="1">
      <c r="A246" s="25"/>
      <c r="B246" s="449"/>
      <c r="C246" s="449"/>
      <c r="D246" s="449"/>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15.75" customHeight="1">
      <c r="A247" s="25"/>
      <c r="B247" s="449"/>
      <c r="C247" s="449"/>
      <c r="D247" s="449"/>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15.75" customHeight="1">
      <c r="A248" s="25"/>
      <c r="B248" s="449"/>
      <c r="C248" s="449"/>
      <c r="D248" s="449"/>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15.75" customHeight="1">
      <c r="A249" s="25"/>
      <c r="B249" s="449"/>
      <c r="C249" s="449"/>
      <c r="D249" s="449"/>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15.75" customHeight="1">
      <c r="A250" s="25"/>
      <c r="B250" s="449"/>
      <c r="C250" s="449"/>
      <c r="D250" s="449"/>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15.75" customHeight="1">
      <c r="A251" s="25"/>
      <c r="B251" s="449"/>
      <c r="C251" s="449"/>
      <c r="D251" s="449"/>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15.75" customHeight="1">
      <c r="A252" s="25"/>
      <c r="B252" s="449"/>
      <c r="C252" s="449"/>
      <c r="D252" s="449"/>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15.75" customHeight="1">
      <c r="A253" s="25"/>
      <c r="B253" s="449"/>
      <c r="C253" s="449"/>
      <c r="D253" s="449"/>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15.75" customHeight="1">
      <c r="A254" s="25"/>
      <c r="B254" s="449"/>
      <c r="C254" s="449"/>
      <c r="D254" s="449"/>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15.75" customHeight="1">
      <c r="A255" s="25"/>
      <c r="B255" s="449"/>
      <c r="C255" s="449"/>
      <c r="D255" s="449"/>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15.75" customHeight="1">
      <c r="A256" s="25"/>
      <c r="B256" s="449"/>
      <c r="C256" s="449"/>
      <c r="D256" s="449"/>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15.75" customHeight="1">
      <c r="A257" s="25"/>
      <c r="B257" s="449"/>
      <c r="C257" s="449"/>
      <c r="D257" s="449"/>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15.75" customHeight="1">
      <c r="A258" s="25"/>
      <c r="B258" s="449"/>
      <c r="C258" s="449"/>
      <c r="D258" s="449"/>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15.75" customHeight="1">
      <c r="A259" s="25"/>
      <c r="B259" s="449"/>
      <c r="C259" s="449"/>
      <c r="D259" s="449"/>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15.75" customHeight="1">
      <c r="A260" s="25"/>
      <c r="B260" s="449"/>
      <c r="C260" s="449"/>
      <c r="D260" s="449"/>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15.75" customHeight="1">
      <c r="A261" s="25"/>
      <c r="B261" s="449"/>
      <c r="C261" s="449"/>
      <c r="D261" s="449"/>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15.75" customHeight="1">
      <c r="A262" s="25"/>
      <c r="B262" s="449"/>
      <c r="C262" s="449"/>
      <c r="D262" s="449"/>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15.75" customHeight="1">
      <c r="A263" s="25"/>
      <c r="B263" s="449"/>
      <c r="C263" s="449"/>
      <c r="D263" s="449"/>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15.75" customHeight="1">
      <c r="A264" s="25"/>
      <c r="B264" s="449"/>
      <c r="C264" s="449"/>
      <c r="D264" s="449"/>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15.75" customHeight="1">
      <c r="A265" s="25"/>
      <c r="B265" s="449"/>
      <c r="C265" s="449"/>
      <c r="D265" s="449"/>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15.75" customHeight="1">
      <c r="A266" s="25"/>
      <c r="B266" s="449"/>
      <c r="C266" s="449"/>
      <c r="D266" s="449"/>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15.75" customHeight="1">
      <c r="A267" s="25"/>
      <c r="B267" s="449"/>
      <c r="C267" s="449"/>
      <c r="D267" s="449"/>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15.75" customHeight="1">
      <c r="A268" s="25"/>
      <c r="B268" s="449"/>
      <c r="C268" s="449"/>
      <c r="D268" s="449"/>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15.75" customHeight="1">
      <c r="A269" s="25"/>
      <c r="B269" s="449"/>
      <c r="C269" s="449"/>
      <c r="D269" s="449"/>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15.75" customHeight="1">
      <c r="A270" s="25"/>
      <c r="B270" s="449"/>
      <c r="C270" s="449"/>
      <c r="D270" s="449"/>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15.75" customHeight="1">
      <c r="A271" s="25"/>
      <c r="B271" s="449"/>
      <c r="C271" s="449"/>
      <c r="D271" s="449"/>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15.75" customHeight="1">
      <c r="A272" s="25"/>
      <c r="B272" s="449"/>
      <c r="C272" s="449"/>
      <c r="D272" s="449"/>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15.75" customHeight="1">
      <c r="A273" s="25"/>
      <c r="B273" s="449"/>
      <c r="C273" s="449"/>
      <c r="D273" s="449"/>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15.75" customHeight="1">
      <c r="A274" s="25"/>
      <c r="B274" s="449"/>
      <c r="C274" s="449"/>
      <c r="D274" s="449"/>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15.75" customHeight="1">
      <c r="A275" s="25"/>
      <c r="B275" s="449"/>
      <c r="C275" s="449"/>
      <c r="D275" s="449"/>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15.75" customHeight="1">
      <c r="A276" s="25"/>
      <c r="B276" s="449"/>
      <c r="C276" s="449"/>
      <c r="D276" s="449"/>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15.75" customHeight="1">
      <c r="A277" s="25"/>
      <c r="B277" s="449"/>
      <c r="C277" s="449"/>
      <c r="D277" s="449"/>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15.75" customHeight="1">
      <c r="A278" s="25"/>
      <c r="B278" s="449"/>
      <c r="C278" s="449"/>
      <c r="D278" s="449"/>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15.75" customHeight="1">
      <c r="A279" s="25"/>
      <c r="B279" s="449"/>
      <c r="C279" s="449"/>
      <c r="D279" s="449"/>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15.75" customHeight="1">
      <c r="A280" s="25"/>
      <c r="B280" s="449"/>
      <c r="C280" s="449"/>
      <c r="D280" s="449"/>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15.75" customHeight="1">
      <c r="A281" s="25"/>
      <c r="B281" s="449"/>
      <c r="C281" s="449"/>
      <c r="D281" s="449"/>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15.75" customHeight="1">
      <c r="A282" s="25"/>
      <c r="B282" s="449"/>
      <c r="C282" s="449"/>
      <c r="D282" s="449"/>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15.75" customHeight="1">
      <c r="A283" s="25"/>
      <c r="B283" s="449"/>
      <c r="C283" s="449"/>
      <c r="D283" s="449"/>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15.75" customHeight="1">
      <c r="A284" s="25"/>
      <c r="B284" s="449"/>
      <c r="C284" s="449"/>
      <c r="D284" s="449"/>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15.75" customHeight="1">
      <c r="A285" s="25"/>
      <c r="B285" s="449"/>
      <c r="C285" s="449"/>
      <c r="D285" s="449"/>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15.75" customHeight="1">
      <c r="A286" s="25"/>
      <c r="B286" s="449"/>
      <c r="C286" s="449"/>
      <c r="D286" s="449"/>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15.75" customHeight="1">
      <c r="A287" s="25"/>
      <c r="B287" s="449"/>
      <c r="C287" s="449"/>
      <c r="D287" s="449"/>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15.75" customHeight="1">
      <c r="A288" s="25"/>
      <c r="B288" s="449"/>
      <c r="C288" s="449"/>
      <c r="D288" s="449"/>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15.75" customHeight="1">
      <c r="A289" s="25"/>
      <c r="B289" s="449"/>
      <c r="C289" s="449"/>
      <c r="D289" s="449"/>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15.75" customHeight="1">
      <c r="A290" s="25"/>
      <c r="B290" s="449"/>
      <c r="C290" s="449"/>
      <c r="D290" s="449"/>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15.75" customHeight="1">
      <c r="A291" s="25"/>
      <c r="B291" s="449"/>
      <c r="C291" s="449"/>
      <c r="D291" s="449"/>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15.75" customHeight="1">
      <c r="A292" s="25"/>
      <c r="B292" s="449"/>
      <c r="C292" s="449"/>
      <c r="D292" s="449"/>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15.75" customHeight="1">
      <c r="A293" s="25"/>
      <c r="B293" s="449"/>
      <c r="C293" s="449"/>
      <c r="D293" s="449"/>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15.75" customHeight="1">
      <c r="A294" s="25"/>
      <c r="B294" s="449"/>
      <c r="C294" s="449"/>
      <c r="D294" s="449"/>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15.75" customHeight="1">
      <c r="A295" s="25"/>
      <c r="B295" s="449"/>
      <c r="C295" s="449"/>
      <c r="D295" s="449"/>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15.75" customHeight="1">
      <c r="A296" s="25"/>
      <c r="B296" s="449"/>
      <c r="C296" s="449"/>
      <c r="D296" s="449"/>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15.75" customHeight="1">
      <c r="A297" s="25"/>
      <c r="B297" s="449"/>
      <c r="C297" s="449"/>
      <c r="D297" s="449"/>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15.75" customHeight="1">
      <c r="A298" s="25"/>
      <c r="B298" s="449"/>
      <c r="C298" s="449"/>
      <c r="D298" s="449"/>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15.75" customHeight="1">
      <c r="A299" s="25"/>
      <c r="B299" s="449"/>
      <c r="C299" s="449"/>
      <c r="D299" s="449"/>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15.75" customHeight="1">
      <c r="A300" s="25"/>
      <c r="B300" s="449"/>
      <c r="C300" s="449"/>
      <c r="D300" s="449"/>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15.75" customHeight="1">
      <c r="A301" s="25"/>
      <c r="B301" s="449"/>
      <c r="C301" s="449"/>
      <c r="D301" s="449"/>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15.75" customHeight="1">
      <c r="A302" s="25"/>
      <c r="B302" s="449"/>
      <c r="C302" s="449"/>
      <c r="D302" s="449"/>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15.75" customHeight="1">
      <c r="A303" s="25"/>
      <c r="B303" s="449"/>
      <c r="C303" s="449"/>
      <c r="D303" s="449"/>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15.75" customHeight="1">
      <c r="A304" s="25"/>
      <c r="B304" s="449"/>
      <c r="C304" s="449"/>
      <c r="D304" s="449"/>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15.75" customHeight="1">
      <c r="A305" s="25"/>
      <c r="B305" s="449"/>
      <c r="C305" s="449"/>
      <c r="D305" s="449"/>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15.75" customHeight="1">
      <c r="A306" s="25"/>
      <c r="B306" s="449"/>
      <c r="C306" s="449"/>
      <c r="D306" s="449"/>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15.75" customHeight="1">
      <c r="A307" s="25"/>
      <c r="B307" s="449"/>
      <c r="C307" s="449"/>
      <c r="D307" s="449"/>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15.75" customHeight="1">
      <c r="A308" s="25"/>
      <c r="B308" s="449"/>
      <c r="C308" s="449"/>
      <c r="D308" s="449"/>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15.75" customHeight="1">
      <c r="A309" s="25"/>
      <c r="B309" s="449"/>
      <c r="C309" s="449"/>
      <c r="D309" s="449"/>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15.75" customHeight="1">
      <c r="A310" s="25"/>
      <c r="B310" s="449"/>
      <c r="C310" s="449"/>
      <c r="D310" s="449"/>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15.75" customHeight="1">
      <c r="A311" s="25"/>
      <c r="B311" s="449"/>
      <c r="C311" s="449"/>
      <c r="D311" s="449"/>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15.75" customHeight="1">
      <c r="A312" s="25"/>
      <c r="B312" s="449"/>
      <c r="C312" s="449"/>
      <c r="D312" s="449"/>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15.75" customHeight="1">
      <c r="A313" s="25"/>
      <c r="B313" s="449"/>
      <c r="C313" s="449"/>
      <c r="D313" s="449"/>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15.75" customHeight="1">
      <c r="A314" s="25"/>
      <c r="B314" s="449"/>
      <c r="C314" s="449"/>
      <c r="D314" s="449"/>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15.75" customHeight="1">
      <c r="A315" s="25"/>
      <c r="B315" s="449"/>
      <c r="C315" s="449"/>
      <c r="D315" s="449"/>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15.75" customHeight="1">
      <c r="A316" s="25"/>
      <c r="B316" s="449"/>
      <c r="C316" s="449"/>
      <c r="D316" s="449"/>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15.75" customHeight="1">
      <c r="A317" s="25"/>
      <c r="B317" s="449"/>
      <c r="C317" s="449"/>
      <c r="D317" s="449"/>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15.75" customHeight="1">
      <c r="A318" s="25"/>
      <c r="B318" s="449"/>
      <c r="C318" s="449"/>
      <c r="D318" s="449"/>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15.75" customHeight="1">
      <c r="A319" s="25"/>
      <c r="B319" s="449"/>
      <c r="C319" s="449"/>
      <c r="D319" s="449"/>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15.75" customHeight="1">
      <c r="A320" s="25"/>
      <c r="B320" s="449"/>
      <c r="C320" s="449"/>
      <c r="D320" s="449"/>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15.75" customHeight="1">
      <c r="A321" s="25"/>
      <c r="B321" s="449"/>
      <c r="C321" s="449"/>
      <c r="D321" s="449"/>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15.75" customHeight="1">
      <c r="A322" s="25"/>
      <c r="B322" s="449"/>
      <c r="C322" s="449"/>
      <c r="D322" s="449"/>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15.75" customHeight="1">
      <c r="A323" s="25"/>
      <c r="B323" s="449"/>
      <c r="C323" s="449"/>
      <c r="D323" s="449"/>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15.75" customHeight="1">
      <c r="A324" s="25"/>
      <c r="B324" s="449"/>
      <c r="C324" s="449"/>
      <c r="D324" s="449"/>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15.75" customHeight="1">
      <c r="A325" s="25"/>
      <c r="B325" s="449"/>
      <c r="C325" s="449"/>
      <c r="D325" s="449"/>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15.75" customHeight="1">
      <c r="A326" s="25"/>
      <c r="B326" s="449"/>
      <c r="C326" s="449"/>
      <c r="D326" s="449"/>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15.75" customHeight="1">
      <c r="A327" s="25"/>
      <c r="B327" s="449"/>
      <c r="C327" s="449"/>
      <c r="D327" s="449"/>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15.75" customHeight="1">
      <c r="A328" s="25"/>
      <c r="B328" s="449"/>
      <c r="C328" s="449"/>
      <c r="D328" s="449"/>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15.75" customHeight="1">
      <c r="A329" s="25"/>
      <c r="B329" s="449"/>
      <c r="C329" s="449"/>
      <c r="D329" s="449"/>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15.75" customHeight="1">
      <c r="A330" s="25"/>
      <c r="B330" s="449"/>
      <c r="C330" s="449"/>
      <c r="D330" s="449"/>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15.75" customHeight="1">
      <c r="A331" s="25"/>
      <c r="B331" s="449"/>
      <c r="C331" s="449"/>
      <c r="D331" s="449"/>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15.75" customHeight="1">
      <c r="A332" s="25"/>
      <c r="B332" s="449"/>
      <c r="C332" s="449"/>
      <c r="D332" s="449"/>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15.75" customHeight="1">
      <c r="A333" s="25"/>
      <c r="B333" s="449"/>
      <c r="C333" s="449"/>
      <c r="D333" s="449"/>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15.75" customHeight="1">
      <c r="A334" s="25"/>
      <c r="B334" s="449"/>
      <c r="C334" s="449"/>
      <c r="D334" s="449"/>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15.75" customHeight="1">
      <c r="A335" s="25"/>
      <c r="B335" s="449"/>
      <c r="C335" s="449"/>
      <c r="D335" s="449"/>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15.75" customHeight="1">
      <c r="A336" s="25"/>
      <c r="B336" s="449"/>
      <c r="C336" s="449"/>
      <c r="D336" s="449"/>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15.75" customHeight="1">
      <c r="A337" s="25"/>
      <c r="B337" s="449"/>
      <c r="C337" s="449"/>
      <c r="D337" s="449"/>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15.75" customHeight="1">
      <c r="A338" s="25"/>
      <c r="B338" s="449"/>
      <c r="C338" s="449"/>
      <c r="D338" s="449"/>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15.75" customHeight="1">
      <c r="A339" s="25"/>
      <c r="B339" s="449"/>
      <c r="C339" s="449"/>
      <c r="D339" s="449"/>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15.75" customHeight="1">
      <c r="A340" s="25"/>
      <c r="B340" s="449"/>
      <c r="C340" s="449"/>
      <c r="D340" s="449"/>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15.75" customHeight="1">
      <c r="A341" s="25"/>
      <c r="B341" s="449"/>
      <c r="C341" s="449"/>
      <c r="D341" s="449"/>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15.75" customHeight="1">
      <c r="A342" s="25"/>
      <c r="B342" s="449"/>
      <c r="C342" s="449"/>
      <c r="D342" s="449"/>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15.75" customHeight="1">
      <c r="A343" s="25"/>
      <c r="B343" s="449"/>
      <c r="C343" s="449"/>
      <c r="D343" s="449"/>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15.75" customHeight="1">
      <c r="A344" s="25"/>
      <c r="B344" s="449"/>
      <c r="C344" s="449"/>
      <c r="D344" s="449"/>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15.75" customHeight="1">
      <c r="A345" s="25"/>
      <c r="B345" s="449"/>
      <c r="C345" s="449"/>
      <c r="D345" s="449"/>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15.75" customHeight="1">
      <c r="A346" s="25"/>
      <c r="B346" s="449"/>
      <c r="C346" s="449"/>
      <c r="D346" s="449"/>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15.75" customHeight="1">
      <c r="A347" s="25"/>
      <c r="B347" s="449"/>
      <c r="C347" s="449"/>
      <c r="D347" s="449"/>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15.75" customHeight="1">
      <c r="A348" s="25"/>
      <c r="B348" s="449"/>
      <c r="C348" s="449"/>
      <c r="D348" s="449"/>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15.75" customHeight="1">
      <c r="A349" s="25"/>
      <c r="B349" s="449"/>
      <c r="C349" s="449"/>
      <c r="D349" s="449"/>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15.75" customHeight="1">
      <c r="A350" s="25"/>
      <c r="B350" s="449"/>
      <c r="C350" s="449"/>
      <c r="D350" s="449"/>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15.75" customHeight="1">
      <c r="A351" s="25"/>
      <c r="B351" s="449"/>
      <c r="C351" s="449"/>
      <c r="D351" s="449"/>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15.75" customHeight="1">
      <c r="A352" s="25"/>
      <c r="B352" s="449"/>
      <c r="C352" s="449"/>
      <c r="D352" s="449"/>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15.75" customHeight="1">
      <c r="A353" s="25"/>
      <c r="B353" s="449"/>
      <c r="C353" s="449"/>
      <c r="D353" s="449"/>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15.75" customHeight="1">
      <c r="A354" s="25"/>
      <c r="B354" s="449"/>
      <c r="C354" s="449"/>
      <c r="D354" s="449"/>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15.75" customHeight="1">
      <c r="A355" s="25"/>
      <c r="B355" s="449"/>
      <c r="C355" s="449"/>
      <c r="D355" s="449"/>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15.75" customHeight="1">
      <c r="A356" s="25"/>
      <c r="B356" s="449"/>
      <c r="C356" s="449"/>
      <c r="D356" s="449"/>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15.75" customHeight="1">
      <c r="A357" s="25"/>
      <c r="B357" s="449"/>
      <c r="C357" s="449"/>
      <c r="D357" s="449"/>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15.75" customHeight="1">
      <c r="A358" s="25"/>
      <c r="B358" s="449"/>
      <c r="C358" s="449"/>
      <c r="D358" s="449"/>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15.75" customHeight="1">
      <c r="A359" s="25"/>
      <c r="B359" s="449"/>
      <c r="C359" s="449"/>
      <c r="D359" s="449"/>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15.75" customHeight="1">
      <c r="A360" s="25"/>
      <c r="B360" s="449"/>
      <c r="C360" s="449"/>
      <c r="D360" s="449"/>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15.75" customHeight="1">
      <c r="A361" s="25"/>
      <c r="B361" s="449"/>
      <c r="C361" s="449"/>
      <c r="D361" s="449"/>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15.75" customHeight="1">
      <c r="A362" s="25"/>
      <c r="B362" s="449"/>
      <c r="C362" s="449"/>
      <c r="D362" s="449"/>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15.75" customHeight="1">
      <c r="A363" s="25"/>
      <c r="B363" s="449"/>
      <c r="C363" s="449"/>
      <c r="D363" s="449"/>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15.75" customHeight="1">
      <c r="A364" s="25"/>
      <c r="B364" s="449"/>
      <c r="C364" s="449"/>
      <c r="D364" s="449"/>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15.75" customHeight="1">
      <c r="A365" s="25"/>
      <c r="B365" s="449"/>
      <c r="C365" s="449"/>
      <c r="D365" s="449"/>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15.75" customHeight="1">
      <c r="A366" s="25"/>
      <c r="B366" s="449"/>
      <c r="C366" s="449"/>
      <c r="D366" s="449"/>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15.75" customHeight="1">
      <c r="A367" s="25"/>
      <c r="B367" s="449"/>
      <c r="C367" s="449"/>
      <c r="D367" s="449"/>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15.75" customHeight="1">
      <c r="A368" s="25"/>
      <c r="B368" s="449"/>
      <c r="C368" s="449"/>
      <c r="D368" s="449"/>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15.75" customHeight="1">
      <c r="A369" s="25"/>
      <c r="B369" s="449"/>
      <c r="C369" s="449"/>
      <c r="D369" s="449"/>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15.75" customHeight="1">
      <c r="A370" s="25"/>
      <c r="B370" s="449"/>
      <c r="C370" s="449"/>
      <c r="D370" s="449"/>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15.75" customHeight="1">
      <c r="A371" s="25"/>
      <c r="B371" s="449"/>
      <c r="C371" s="449"/>
      <c r="D371" s="449"/>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15.75" customHeight="1">
      <c r="A372" s="25"/>
      <c r="B372" s="449"/>
      <c r="C372" s="449"/>
      <c r="D372" s="449"/>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15.75" customHeight="1">
      <c r="A373" s="25"/>
      <c r="B373" s="449"/>
      <c r="C373" s="449"/>
      <c r="D373" s="449"/>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15.75" customHeight="1">
      <c r="A374" s="25"/>
      <c r="B374" s="449"/>
      <c r="C374" s="449"/>
      <c r="D374" s="449"/>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15.75" customHeight="1">
      <c r="A375" s="25"/>
      <c r="B375" s="449"/>
      <c r="C375" s="449"/>
      <c r="D375" s="449"/>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15.75" customHeight="1">
      <c r="A376" s="25"/>
      <c r="B376" s="449"/>
      <c r="C376" s="449"/>
      <c r="D376" s="449"/>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15.75" customHeight="1">
      <c r="A377" s="25"/>
      <c r="B377" s="449"/>
      <c r="C377" s="449"/>
      <c r="D377" s="449"/>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15.75" customHeight="1">
      <c r="A378" s="25"/>
      <c r="B378" s="449"/>
      <c r="C378" s="449"/>
      <c r="D378" s="449"/>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15.75" customHeight="1">
      <c r="A379" s="25"/>
      <c r="B379" s="449"/>
      <c r="C379" s="449"/>
      <c r="D379" s="449"/>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15.75" customHeight="1">
      <c r="A380" s="25"/>
      <c r="B380" s="449"/>
      <c r="C380" s="449"/>
      <c r="D380" s="449"/>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15.75" customHeight="1">
      <c r="A381" s="25"/>
      <c r="B381" s="449"/>
      <c r="C381" s="449"/>
      <c r="D381" s="449"/>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15.75" customHeight="1">
      <c r="A382" s="25"/>
      <c r="B382" s="449"/>
      <c r="C382" s="449"/>
      <c r="D382" s="449"/>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15.75" customHeight="1">
      <c r="A383" s="25"/>
      <c r="B383" s="449"/>
      <c r="C383" s="449"/>
      <c r="D383" s="449"/>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15.75" customHeight="1">
      <c r="A384" s="25"/>
      <c r="B384" s="449"/>
      <c r="C384" s="449"/>
      <c r="D384" s="449"/>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15.75" customHeight="1">
      <c r="A385" s="25"/>
      <c r="B385" s="449"/>
      <c r="C385" s="449"/>
      <c r="D385" s="449"/>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15.75" customHeight="1">
      <c r="A386" s="25"/>
      <c r="B386" s="449"/>
      <c r="C386" s="449"/>
      <c r="D386" s="449"/>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15.75" customHeight="1">
      <c r="A387" s="25"/>
      <c r="B387" s="449"/>
      <c r="C387" s="449"/>
      <c r="D387" s="449"/>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15.75" customHeight="1">
      <c r="A388" s="25"/>
      <c r="B388" s="449"/>
      <c r="C388" s="449"/>
      <c r="D388" s="449"/>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15.75" customHeight="1">
      <c r="A389" s="25"/>
      <c r="B389" s="449"/>
      <c r="C389" s="449"/>
      <c r="D389" s="449"/>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15.75" customHeight="1">
      <c r="A390" s="25"/>
      <c r="B390" s="449"/>
      <c r="C390" s="449"/>
      <c r="D390" s="449"/>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15.75" customHeight="1">
      <c r="A391" s="25"/>
      <c r="B391" s="449"/>
      <c r="C391" s="449"/>
      <c r="D391" s="449"/>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15.75" customHeight="1">
      <c r="A392" s="25"/>
      <c r="B392" s="449"/>
      <c r="C392" s="449"/>
      <c r="D392" s="449"/>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15.75" customHeight="1">
      <c r="A393" s="25"/>
      <c r="B393" s="449"/>
      <c r="C393" s="449"/>
      <c r="D393" s="449"/>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15.75" customHeight="1">
      <c r="A394" s="25"/>
      <c r="B394" s="449"/>
      <c r="C394" s="449"/>
      <c r="D394" s="449"/>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15.75" customHeight="1">
      <c r="A395" s="25"/>
      <c r="B395" s="449"/>
      <c r="C395" s="449"/>
      <c r="D395" s="449"/>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15.75" customHeight="1">
      <c r="A396" s="25"/>
      <c r="B396" s="449"/>
      <c r="C396" s="449"/>
      <c r="D396" s="449"/>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15.75" customHeight="1">
      <c r="A397" s="25"/>
      <c r="B397" s="449"/>
      <c r="C397" s="449"/>
      <c r="D397" s="449"/>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15.75" customHeight="1">
      <c r="A398" s="25"/>
      <c r="B398" s="449"/>
      <c r="C398" s="449"/>
      <c r="D398" s="449"/>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15.75" customHeight="1">
      <c r="A399" s="25"/>
      <c r="B399" s="449"/>
      <c r="C399" s="449"/>
      <c r="D399" s="449"/>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15.75" customHeight="1">
      <c r="A400" s="25"/>
      <c r="B400" s="449"/>
      <c r="C400" s="449"/>
      <c r="D400" s="449"/>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15.75" customHeight="1">
      <c r="A401" s="25"/>
      <c r="B401" s="449"/>
      <c r="C401" s="449"/>
      <c r="D401" s="449"/>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15.75" customHeight="1">
      <c r="A402" s="25"/>
      <c r="B402" s="449"/>
      <c r="C402" s="449"/>
      <c r="D402" s="449"/>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15.75" customHeight="1">
      <c r="A403" s="25"/>
      <c r="B403" s="449"/>
      <c r="C403" s="449"/>
      <c r="D403" s="449"/>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15.75" customHeight="1">
      <c r="A404" s="25"/>
      <c r="B404" s="449"/>
      <c r="C404" s="449"/>
      <c r="D404" s="449"/>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15.75" customHeight="1">
      <c r="A405" s="25"/>
      <c r="B405" s="449"/>
      <c r="C405" s="449"/>
      <c r="D405" s="449"/>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15.75" customHeight="1">
      <c r="A406" s="25"/>
      <c r="B406" s="449"/>
      <c r="C406" s="449"/>
      <c r="D406" s="449"/>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15.75" customHeight="1">
      <c r="A407" s="25"/>
      <c r="B407" s="449"/>
      <c r="C407" s="449"/>
      <c r="D407" s="449"/>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15.75" customHeight="1">
      <c r="A408" s="25"/>
      <c r="B408" s="449"/>
      <c r="C408" s="449"/>
      <c r="D408" s="449"/>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15.75" customHeight="1">
      <c r="A409" s="25"/>
      <c r="B409" s="449"/>
      <c r="C409" s="449"/>
      <c r="D409" s="449"/>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15.75" customHeight="1">
      <c r="A410" s="25"/>
      <c r="B410" s="449"/>
      <c r="C410" s="449"/>
      <c r="D410" s="449"/>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15.75" customHeight="1">
      <c r="A411" s="25"/>
      <c r="B411" s="449"/>
      <c r="C411" s="449"/>
      <c r="D411" s="449"/>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15.75" customHeight="1">
      <c r="A412" s="25"/>
      <c r="B412" s="449"/>
      <c r="C412" s="449"/>
      <c r="D412" s="449"/>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15.75" customHeight="1">
      <c r="A413" s="25"/>
      <c r="B413" s="449"/>
      <c r="C413" s="449"/>
      <c r="D413" s="449"/>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15.75" customHeight="1">
      <c r="A414" s="25"/>
      <c r="B414" s="449"/>
      <c r="C414" s="449"/>
      <c r="D414" s="449"/>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15.75" customHeight="1">
      <c r="A415" s="25"/>
      <c r="B415" s="449"/>
      <c r="C415" s="449"/>
      <c r="D415" s="449"/>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15.75" customHeight="1">
      <c r="A416" s="25"/>
      <c r="B416" s="449"/>
      <c r="C416" s="449"/>
      <c r="D416" s="449"/>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15.75" customHeight="1">
      <c r="A417" s="25"/>
      <c r="B417" s="449"/>
      <c r="C417" s="449"/>
      <c r="D417" s="449"/>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15.75" customHeight="1">
      <c r="A418" s="25"/>
      <c r="B418" s="449"/>
      <c r="C418" s="449"/>
      <c r="D418" s="449"/>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15.75" customHeight="1">
      <c r="A419" s="25"/>
      <c r="B419" s="449"/>
      <c r="C419" s="449"/>
      <c r="D419" s="449"/>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15.75" customHeight="1">
      <c r="A420" s="25"/>
      <c r="B420" s="449"/>
      <c r="C420" s="449"/>
      <c r="D420" s="449"/>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15.75" customHeight="1">
      <c r="A421" s="25"/>
      <c r="B421" s="449"/>
      <c r="C421" s="449"/>
      <c r="D421" s="449"/>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15.75" customHeight="1">
      <c r="A422" s="25"/>
      <c r="B422" s="449"/>
      <c r="C422" s="449"/>
      <c r="D422" s="449"/>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15.75" customHeight="1">
      <c r="A423" s="25"/>
      <c r="B423" s="449"/>
      <c r="C423" s="449"/>
      <c r="D423" s="449"/>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15.75" customHeight="1">
      <c r="A424" s="25"/>
      <c r="B424" s="449"/>
      <c r="C424" s="449"/>
      <c r="D424" s="449"/>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15.75" customHeight="1">
      <c r="A425" s="25"/>
      <c r="B425" s="449"/>
      <c r="C425" s="449"/>
      <c r="D425" s="449"/>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15.75" customHeight="1">
      <c r="A426" s="25"/>
      <c r="B426" s="449"/>
      <c r="C426" s="449"/>
      <c r="D426" s="449"/>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15.75" customHeight="1">
      <c r="A427" s="25"/>
      <c r="B427" s="449"/>
      <c r="C427" s="449"/>
      <c r="D427" s="449"/>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15.75" customHeight="1">
      <c r="A428" s="25"/>
      <c r="B428" s="449"/>
      <c r="C428" s="449"/>
      <c r="D428" s="449"/>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15.75" customHeight="1">
      <c r="A429" s="25"/>
      <c r="B429" s="449"/>
      <c r="C429" s="449"/>
      <c r="D429" s="449"/>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15.75" customHeight="1">
      <c r="A430" s="25"/>
      <c r="B430" s="449"/>
      <c r="C430" s="449"/>
      <c r="D430" s="449"/>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15.75" customHeight="1">
      <c r="A431" s="25"/>
      <c r="B431" s="449"/>
      <c r="C431" s="449"/>
      <c r="D431" s="449"/>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15.75" customHeight="1">
      <c r="A432" s="25"/>
      <c r="B432" s="449"/>
      <c r="C432" s="449"/>
      <c r="D432" s="449"/>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15.75" customHeight="1">
      <c r="A433" s="25"/>
      <c r="B433" s="449"/>
      <c r="C433" s="449"/>
      <c r="D433" s="449"/>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15.75" customHeight="1">
      <c r="A434" s="25"/>
      <c r="B434" s="449"/>
      <c r="C434" s="449"/>
      <c r="D434" s="449"/>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15.75" customHeight="1">
      <c r="A435" s="25"/>
      <c r="B435" s="449"/>
      <c r="C435" s="449"/>
      <c r="D435" s="449"/>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15.75" customHeight="1">
      <c r="A436" s="25"/>
      <c r="B436" s="449"/>
      <c r="C436" s="449"/>
      <c r="D436" s="449"/>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15.75" customHeight="1">
      <c r="A437" s="25"/>
      <c r="B437" s="449"/>
      <c r="C437" s="449"/>
      <c r="D437" s="449"/>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15.75" customHeight="1">
      <c r="A438" s="25"/>
      <c r="B438" s="449"/>
      <c r="C438" s="449"/>
      <c r="D438" s="449"/>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15.75" customHeight="1">
      <c r="A439" s="25"/>
      <c r="B439" s="449"/>
      <c r="C439" s="449"/>
      <c r="D439" s="449"/>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15.75" customHeight="1">
      <c r="A440" s="25"/>
      <c r="B440" s="449"/>
      <c r="C440" s="449"/>
      <c r="D440" s="449"/>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15.75" customHeight="1">
      <c r="A441" s="25"/>
      <c r="B441" s="449"/>
      <c r="C441" s="449"/>
      <c r="D441" s="449"/>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15.75" customHeight="1">
      <c r="A442" s="25"/>
      <c r="B442" s="449"/>
      <c r="C442" s="449"/>
      <c r="D442" s="449"/>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15.75" customHeight="1">
      <c r="A443" s="25"/>
      <c r="B443" s="449"/>
      <c r="C443" s="449"/>
      <c r="D443" s="449"/>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15.75" customHeight="1">
      <c r="A444" s="25"/>
      <c r="B444" s="449"/>
      <c r="C444" s="449"/>
      <c r="D444" s="449"/>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15.75" customHeight="1">
      <c r="A445" s="25"/>
      <c r="B445" s="449"/>
      <c r="C445" s="449"/>
      <c r="D445" s="449"/>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15.75" customHeight="1">
      <c r="A446" s="25"/>
      <c r="B446" s="449"/>
      <c r="C446" s="449"/>
      <c r="D446" s="449"/>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15.75" customHeight="1">
      <c r="A447" s="25"/>
      <c r="B447" s="449"/>
      <c r="C447" s="449"/>
      <c r="D447" s="449"/>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15.75" customHeight="1">
      <c r="A448" s="25"/>
      <c r="B448" s="449"/>
      <c r="C448" s="449"/>
      <c r="D448" s="449"/>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15.75" customHeight="1">
      <c r="A449" s="25"/>
      <c r="B449" s="449"/>
      <c r="C449" s="449"/>
      <c r="D449" s="449"/>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15.75" customHeight="1">
      <c r="A450" s="25"/>
      <c r="B450" s="449"/>
      <c r="C450" s="449"/>
      <c r="D450" s="449"/>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15.75" customHeight="1">
      <c r="A451" s="25"/>
      <c r="B451" s="449"/>
      <c r="C451" s="449"/>
      <c r="D451" s="449"/>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15.75" customHeight="1">
      <c r="A452" s="25"/>
      <c r="B452" s="449"/>
      <c r="C452" s="449"/>
      <c r="D452" s="449"/>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15.75" customHeight="1">
      <c r="A453" s="25"/>
      <c r="B453" s="449"/>
      <c r="C453" s="449"/>
      <c r="D453" s="449"/>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15.75" customHeight="1">
      <c r="A454" s="25"/>
      <c r="B454" s="449"/>
      <c r="C454" s="449"/>
      <c r="D454" s="449"/>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15.75" customHeight="1">
      <c r="A455" s="25"/>
      <c r="B455" s="449"/>
      <c r="C455" s="449"/>
      <c r="D455" s="449"/>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15.75" customHeight="1">
      <c r="A456" s="25"/>
      <c r="B456" s="449"/>
      <c r="C456" s="449"/>
      <c r="D456" s="449"/>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15.75" customHeight="1">
      <c r="A457" s="25"/>
      <c r="B457" s="449"/>
      <c r="C457" s="449"/>
      <c r="D457" s="449"/>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15.75" customHeight="1">
      <c r="A458" s="25"/>
      <c r="B458" s="449"/>
      <c r="C458" s="449"/>
      <c r="D458" s="449"/>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15.75" customHeight="1">
      <c r="A459" s="25"/>
      <c r="B459" s="449"/>
      <c r="C459" s="449"/>
      <c r="D459" s="449"/>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15.75" customHeight="1">
      <c r="A460" s="25"/>
      <c r="B460" s="449"/>
      <c r="C460" s="449"/>
      <c r="D460" s="449"/>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15.75" customHeight="1">
      <c r="A461" s="25"/>
      <c r="B461" s="449"/>
      <c r="C461" s="449"/>
      <c r="D461" s="449"/>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15.75" customHeight="1">
      <c r="A462" s="25"/>
      <c r="B462" s="449"/>
      <c r="C462" s="449"/>
      <c r="D462" s="449"/>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15.75" customHeight="1">
      <c r="A463" s="25"/>
      <c r="B463" s="449"/>
      <c r="C463" s="449"/>
      <c r="D463" s="449"/>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15.75" customHeight="1">
      <c r="A464" s="25"/>
      <c r="B464" s="449"/>
      <c r="C464" s="449"/>
      <c r="D464" s="449"/>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15.75" customHeight="1">
      <c r="A465" s="25"/>
      <c r="B465" s="449"/>
      <c r="C465" s="449"/>
      <c r="D465" s="449"/>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15.75" customHeight="1">
      <c r="A466" s="25"/>
      <c r="B466" s="449"/>
      <c r="C466" s="449"/>
      <c r="D466" s="449"/>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15.75" customHeight="1">
      <c r="A467" s="25"/>
      <c r="B467" s="449"/>
      <c r="C467" s="449"/>
      <c r="D467" s="449"/>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15.75" customHeight="1">
      <c r="A468" s="25"/>
      <c r="B468" s="449"/>
      <c r="C468" s="449"/>
      <c r="D468" s="449"/>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15.75" customHeight="1">
      <c r="A469" s="25"/>
      <c r="B469" s="449"/>
      <c r="C469" s="449"/>
      <c r="D469" s="449"/>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15.75" customHeight="1">
      <c r="A470" s="25"/>
      <c r="B470" s="449"/>
      <c r="C470" s="449"/>
      <c r="D470" s="449"/>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15.75" customHeight="1">
      <c r="A471" s="25"/>
      <c r="B471" s="449"/>
      <c r="C471" s="449"/>
      <c r="D471" s="449"/>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15.75" customHeight="1">
      <c r="A472" s="25"/>
      <c r="B472" s="449"/>
      <c r="C472" s="449"/>
      <c r="D472" s="449"/>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15.75" customHeight="1">
      <c r="A473" s="25"/>
      <c r="B473" s="449"/>
      <c r="C473" s="449"/>
      <c r="D473" s="449"/>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15.75" customHeight="1">
      <c r="A474" s="25"/>
      <c r="B474" s="449"/>
      <c r="C474" s="449"/>
      <c r="D474" s="449"/>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15.75" customHeight="1">
      <c r="A475" s="25"/>
      <c r="B475" s="449"/>
      <c r="C475" s="449"/>
      <c r="D475" s="449"/>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15.75" customHeight="1">
      <c r="A476" s="25"/>
      <c r="B476" s="449"/>
      <c r="C476" s="449"/>
      <c r="D476" s="449"/>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15.75" customHeight="1">
      <c r="A477" s="25"/>
      <c r="B477" s="449"/>
      <c r="C477" s="449"/>
      <c r="D477" s="449"/>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15.75" customHeight="1">
      <c r="A478" s="25"/>
      <c r="B478" s="449"/>
      <c r="C478" s="449"/>
      <c r="D478" s="449"/>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15.75" customHeight="1">
      <c r="A479" s="25"/>
      <c r="B479" s="449"/>
      <c r="C479" s="449"/>
      <c r="D479" s="449"/>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15.75" customHeight="1">
      <c r="A480" s="25"/>
      <c r="B480" s="449"/>
      <c r="C480" s="449"/>
      <c r="D480" s="449"/>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15.75" customHeight="1">
      <c r="A481" s="25"/>
      <c r="B481" s="449"/>
      <c r="C481" s="449"/>
      <c r="D481" s="449"/>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15.75" customHeight="1">
      <c r="A482" s="25"/>
      <c r="B482" s="449"/>
      <c r="C482" s="449"/>
      <c r="D482" s="449"/>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15.75" customHeight="1">
      <c r="A483" s="25"/>
      <c r="B483" s="449"/>
      <c r="C483" s="449"/>
      <c r="D483" s="449"/>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15.75" customHeight="1">
      <c r="A484" s="25"/>
      <c r="B484" s="449"/>
      <c r="C484" s="449"/>
      <c r="D484" s="449"/>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15.75" customHeight="1">
      <c r="A485" s="25"/>
      <c r="B485" s="449"/>
      <c r="C485" s="449"/>
      <c r="D485" s="449"/>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15.75" customHeight="1">
      <c r="A486" s="25"/>
      <c r="B486" s="449"/>
      <c r="C486" s="449"/>
      <c r="D486" s="449"/>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15.75" customHeight="1">
      <c r="A487" s="25"/>
      <c r="B487" s="449"/>
      <c r="C487" s="449"/>
      <c r="D487" s="449"/>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15.75" customHeight="1">
      <c r="A488" s="25"/>
      <c r="B488" s="449"/>
      <c r="C488" s="449"/>
      <c r="D488" s="449"/>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15.75" customHeight="1">
      <c r="A489" s="25"/>
      <c r="B489" s="449"/>
      <c r="C489" s="449"/>
      <c r="D489" s="449"/>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15.75" customHeight="1">
      <c r="A490" s="25"/>
      <c r="B490" s="449"/>
      <c r="C490" s="449"/>
      <c r="D490" s="449"/>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15.75" customHeight="1">
      <c r="A491" s="25"/>
      <c r="B491" s="449"/>
      <c r="C491" s="449"/>
      <c r="D491" s="449"/>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15.75" customHeight="1">
      <c r="A492" s="25"/>
      <c r="B492" s="449"/>
      <c r="C492" s="449"/>
      <c r="D492" s="449"/>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15.75" customHeight="1">
      <c r="A493" s="25"/>
      <c r="B493" s="449"/>
      <c r="C493" s="449"/>
      <c r="D493" s="449"/>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15.75" customHeight="1">
      <c r="A494" s="25"/>
      <c r="B494" s="449"/>
      <c r="C494" s="449"/>
      <c r="D494" s="449"/>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15.75" customHeight="1">
      <c r="A495" s="25"/>
      <c r="B495" s="449"/>
      <c r="C495" s="449"/>
      <c r="D495" s="449"/>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15.75" customHeight="1">
      <c r="A496" s="25"/>
      <c r="B496" s="449"/>
      <c r="C496" s="449"/>
      <c r="D496" s="449"/>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15.75" customHeight="1">
      <c r="A497" s="25"/>
      <c r="B497" s="449"/>
      <c r="C497" s="449"/>
      <c r="D497" s="449"/>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15.75" customHeight="1">
      <c r="A498" s="25"/>
      <c r="B498" s="449"/>
      <c r="C498" s="449"/>
      <c r="D498" s="449"/>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15.75" customHeight="1">
      <c r="A499" s="25"/>
      <c r="B499" s="449"/>
      <c r="C499" s="449"/>
      <c r="D499" s="449"/>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15.75" customHeight="1">
      <c r="A500" s="25"/>
      <c r="B500" s="449"/>
      <c r="C500" s="449"/>
      <c r="D500" s="449"/>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15.75" customHeight="1">
      <c r="A501" s="25"/>
      <c r="B501" s="449"/>
      <c r="C501" s="449"/>
      <c r="D501" s="449"/>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15.75" customHeight="1">
      <c r="A502" s="25"/>
      <c r="B502" s="449"/>
      <c r="C502" s="449"/>
      <c r="D502" s="449"/>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15.75" customHeight="1">
      <c r="A503" s="25"/>
      <c r="B503" s="449"/>
      <c r="C503" s="449"/>
      <c r="D503" s="449"/>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15.75" customHeight="1">
      <c r="A504" s="25"/>
      <c r="B504" s="449"/>
      <c r="C504" s="449"/>
      <c r="D504" s="449"/>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15.75" customHeight="1">
      <c r="A505" s="25"/>
      <c r="B505" s="449"/>
      <c r="C505" s="449"/>
      <c r="D505" s="449"/>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15.75" customHeight="1">
      <c r="A506" s="25"/>
      <c r="B506" s="449"/>
      <c r="C506" s="449"/>
      <c r="D506" s="449"/>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15.75" customHeight="1">
      <c r="A507" s="25"/>
      <c r="B507" s="449"/>
      <c r="C507" s="449"/>
      <c r="D507" s="449"/>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15.75" customHeight="1">
      <c r="A508" s="25"/>
      <c r="B508" s="449"/>
      <c r="C508" s="449"/>
      <c r="D508" s="449"/>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15.75" customHeight="1">
      <c r="A509" s="25"/>
      <c r="B509" s="449"/>
      <c r="C509" s="449"/>
      <c r="D509" s="449"/>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15.75" customHeight="1">
      <c r="A510" s="25"/>
      <c r="B510" s="449"/>
      <c r="C510" s="449"/>
      <c r="D510" s="449"/>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15.75" customHeight="1">
      <c r="A511" s="25"/>
      <c r="B511" s="449"/>
      <c r="C511" s="449"/>
      <c r="D511" s="449"/>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15.75" customHeight="1">
      <c r="A512" s="25"/>
      <c r="B512" s="449"/>
      <c r="C512" s="449"/>
      <c r="D512" s="449"/>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15.75" customHeight="1">
      <c r="A513" s="25"/>
      <c r="B513" s="449"/>
      <c r="C513" s="449"/>
      <c r="D513" s="449"/>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15.75" customHeight="1">
      <c r="A514" s="25"/>
      <c r="B514" s="449"/>
      <c r="C514" s="449"/>
      <c r="D514" s="449"/>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15.75" customHeight="1">
      <c r="A515" s="25"/>
      <c r="B515" s="449"/>
      <c r="C515" s="449"/>
      <c r="D515" s="449"/>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15.75" customHeight="1">
      <c r="A516" s="25"/>
      <c r="B516" s="449"/>
      <c r="C516" s="449"/>
      <c r="D516" s="449"/>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15.75" customHeight="1">
      <c r="A517" s="25"/>
      <c r="B517" s="449"/>
      <c r="C517" s="449"/>
      <c r="D517" s="449"/>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15.75" customHeight="1">
      <c r="A518" s="25"/>
      <c r="B518" s="449"/>
      <c r="C518" s="449"/>
      <c r="D518" s="449"/>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15.75" customHeight="1">
      <c r="A519" s="25"/>
      <c r="B519" s="449"/>
      <c r="C519" s="449"/>
      <c r="D519" s="449"/>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15.75" customHeight="1">
      <c r="A520" s="25"/>
      <c r="B520" s="449"/>
      <c r="C520" s="449"/>
      <c r="D520" s="449"/>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15.75" customHeight="1">
      <c r="A521" s="25"/>
      <c r="B521" s="449"/>
      <c r="C521" s="449"/>
      <c r="D521" s="449"/>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15.75" customHeight="1">
      <c r="A522" s="25"/>
      <c r="B522" s="449"/>
      <c r="C522" s="449"/>
      <c r="D522" s="449"/>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15.75" customHeight="1">
      <c r="A523" s="25"/>
      <c r="B523" s="449"/>
      <c r="C523" s="449"/>
      <c r="D523" s="449"/>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15.75" customHeight="1">
      <c r="A524" s="25"/>
      <c r="B524" s="449"/>
      <c r="C524" s="449"/>
      <c r="D524" s="449"/>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15.75" customHeight="1">
      <c r="A525" s="25"/>
      <c r="B525" s="449"/>
      <c r="C525" s="449"/>
      <c r="D525" s="449"/>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15.75" customHeight="1">
      <c r="A526" s="25"/>
      <c r="B526" s="449"/>
      <c r="C526" s="449"/>
      <c r="D526" s="449"/>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15.75" customHeight="1">
      <c r="A527" s="25"/>
      <c r="B527" s="449"/>
      <c r="C527" s="449"/>
      <c r="D527" s="449"/>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15.75" customHeight="1">
      <c r="A528" s="25"/>
      <c r="B528" s="449"/>
      <c r="C528" s="449"/>
      <c r="D528" s="449"/>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15.75" customHeight="1">
      <c r="A529" s="25"/>
      <c r="B529" s="449"/>
      <c r="C529" s="449"/>
      <c r="D529" s="449"/>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15.75" customHeight="1">
      <c r="A530" s="25"/>
      <c r="B530" s="449"/>
      <c r="C530" s="449"/>
      <c r="D530" s="449"/>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15.75" customHeight="1">
      <c r="A531" s="25"/>
      <c r="B531" s="449"/>
      <c r="C531" s="449"/>
      <c r="D531" s="449"/>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15.75" customHeight="1">
      <c r="A532" s="25"/>
      <c r="B532" s="449"/>
      <c r="C532" s="449"/>
      <c r="D532" s="449"/>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15.75" customHeight="1">
      <c r="A533" s="25"/>
      <c r="B533" s="449"/>
      <c r="C533" s="449"/>
      <c r="D533" s="449"/>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15.75" customHeight="1">
      <c r="A534" s="25"/>
      <c r="B534" s="449"/>
      <c r="C534" s="449"/>
      <c r="D534" s="449"/>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15.75" customHeight="1">
      <c r="A535" s="25"/>
      <c r="B535" s="449"/>
      <c r="C535" s="449"/>
      <c r="D535" s="449"/>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15.75" customHeight="1">
      <c r="A536" s="25"/>
      <c r="B536" s="449"/>
      <c r="C536" s="449"/>
      <c r="D536" s="449"/>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15.75" customHeight="1">
      <c r="A537" s="25"/>
      <c r="B537" s="449"/>
      <c r="C537" s="449"/>
      <c r="D537" s="449"/>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15.75" customHeight="1">
      <c r="A538" s="25"/>
      <c r="B538" s="449"/>
      <c r="C538" s="449"/>
      <c r="D538" s="449"/>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15.75" customHeight="1">
      <c r="A539" s="25"/>
      <c r="B539" s="449"/>
      <c r="C539" s="449"/>
      <c r="D539" s="449"/>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15.75" customHeight="1">
      <c r="A540" s="25"/>
      <c r="B540" s="449"/>
      <c r="C540" s="449"/>
      <c r="D540" s="449"/>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15.75" customHeight="1">
      <c r="A541" s="25"/>
      <c r="B541" s="449"/>
      <c r="C541" s="449"/>
      <c r="D541" s="449"/>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15.75" customHeight="1">
      <c r="A542" s="25"/>
      <c r="B542" s="449"/>
      <c r="C542" s="449"/>
      <c r="D542" s="449"/>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15.75" customHeight="1">
      <c r="A543" s="25"/>
      <c r="B543" s="449"/>
      <c r="C543" s="449"/>
      <c r="D543" s="449"/>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15.75" customHeight="1">
      <c r="A544" s="25"/>
      <c r="B544" s="449"/>
      <c r="C544" s="449"/>
      <c r="D544" s="449"/>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15.75" customHeight="1">
      <c r="A545" s="25"/>
      <c r="B545" s="449"/>
      <c r="C545" s="449"/>
      <c r="D545" s="449"/>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15.75" customHeight="1">
      <c r="A546" s="25"/>
      <c r="B546" s="449"/>
      <c r="C546" s="449"/>
      <c r="D546" s="449"/>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15.75" customHeight="1">
      <c r="A547" s="25"/>
      <c r="B547" s="449"/>
      <c r="C547" s="449"/>
      <c r="D547" s="449"/>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15.75" customHeight="1">
      <c r="A548" s="25"/>
      <c r="B548" s="449"/>
      <c r="C548" s="449"/>
      <c r="D548" s="449"/>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15.75" customHeight="1">
      <c r="A549" s="25"/>
      <c r="B549" s="449"/>
      <c r="C549" s="449"/>
      <c r="D549" s="449"/>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15.75" customHeight="1">
      <c r="A550" s="25"/>
      <c r="B550" s="449"/>
      <c r="C550" s="449"/>
      <c r="D550" s="449"/>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15.75" customHeight="1">
      <c r="A551" s="25"/>
      <c r="B551" s="449"/>
      <c r="C551" s="449"/>
      <c r="D551" s="449"/>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15.75" customHeight="1">
      <c r="A552" s="25"/>
      <c r="B552" s="449"/>
      <c r="C552" s="449"/>
      <c r="D552" s="449"/>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15.75" customHeight="1">
      <c r="A553" s="25"/>
      <c r="B553" s="449"/>
      <c r="C553" s="449"/>
      <c r="D553" s="449"/>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15.75" customHeight="1">
      <c r="A554" s="25"/>
      <c r="B554" s="449"/>
      <c r="C554" s="449"/>
      <c r="D554" s="449"/>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15.75" customHeight="1">
      <c r="A555" s="25"/>
      <c r="B555" s="449"/>
      <c r="C555" s="449"/>
      <c r="D555" s="449"/>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15.75" customHeight="1">
      <c r="A556" s="25"/>
      <c r="B556" s="449"/>
      <c r="C556" s="449"/>
      <c r="D556" s="449"/>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15.75" customHeight="1">
      <c r="A557" s="25"/>
      <c r="B557" s="449"/>
      <c r="C557" s="449"/>
      <c r="D557" s="449"/>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15.75" customHeight="1">
      <c r="A558" s="25"/>
      <c r="B558" s="449"/>
      <c r="C558" s="449"/>
      <c r="D558" s="449"/>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15.75" customHeight="1">
      <c r="A559" s="25"/>
      <c r="B559" s="449"/>
      <c r="C559" s="449"/>
      <c r="D559" s="449"/>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15.75" customHeight="1">
      <c r="A560" s="25"/>
      <c r="B560" s="449"/>
      <c r="C560" s="449"/>
      <c r="D560" s="449"/>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15.75" customHeight="1">
      <c r="A561" s="25"/>
      <c r="B561" s="449"/>
      <c r="C561" s="449"/>
      <c r="D561" s="449"/>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15.75" customHeight="1">
      <c r="A562" s="25"/>
      <c r="B562" s="449"/>
      <c r="C562" s="449"/>
      <c r="D562" s="449"/>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15.75" customHeight="1">
      <c r="A563" s="25"/>
      <c r="B563" s="449"/>
      <c r="C563" s="449"/>
      <c r="D563" s="449"/>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15.75" customHeight="1">
      <c r="A564" s="25"/>
      <c r="B564" s="449"/>
      <c r="C564" s="449"/>
      <c r="D564" s="449"/>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15.75" customHeight="1">
      <c r="A565" s="25"/>
      <c r="B565" s="449"/>
      <c r="C565" s="449"/>
      <c r="D565" s="449"/>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15.75" customHeight="1">
      <c r="A566" s="25"/>
      <c r="B566" s="449"/>
      <c r="C566" s="449"/>
      <c r="D566" s="449"/>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15.75" customHeight="1">
      <c r="A567" s="25"/>
      <c r="B567" s="449"/>
      <c r="C567" s="449"/>
      <c r="D567" s="449"/>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15.75" customHeight="1">
      <c r="A568" s="25"/>
      <c r="B568" s="449"/>
      <c r="C568" s="449"/>
      <c r="D568" s="449"/>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15.75" customHeight="1">
      <c r="A569" s="25"/>
      <c r="B569" s="449"/>
      <c r="C569" s="449"/>
      <c r="D569" s="449"/>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15.75" customHeight="1">
      <c r="A570" s="25"/>
      <c r="B570" s="449"/>
      <c r="C570" s="449"/>
      <c r="D570" s="449"/>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15.75" customHeight="1">
      <c r="A571" s="25"/>
      <c r="B571" s="449"/>
      <c r="C571" s="449"/>
      <c r="D571" s="449"/>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15.75" customHeight="1">
      <c r="A572" s="25"/>
      <c r="B572" s="449"/>
      <c r="C572" s="449"/>
      <c r="D572" s="449"/>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15.75" customHeight="1">
      <c r="A573" s="25"/>
      <c r="B573" s="449"/>
      <c r="C573" s="449"/>
      <c r="D573" s="449"/>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15.75" customHeight="1">
      <c r="A574" s="25"/>
      <c r="B574" s="449"/>
      <c r="C574" s="449"/>
      <c r="D574" s="449"/>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15.75" customHeight="1">
      <c r="A575" s="25"/>
      <c r="B575" s="449"/>
      <c r="C575" s="449"/>
      <c r="D575" s="449"/>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15.75" customHeight="1">
      <c r="A576" s="25"/>
      <c r="B576" s="449"/>
      <c r="C576" s="449"/>
      <c r="D576" s="449"/>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15.75" customHeight="1">
      <c r="A577" s="25"/>
      <c r="B577" s="449"/>
      <c r="C577" s="449"/>
      <c r="D577" s="449"/>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15.75" customHeight="1">
      <c r="A578" s="25"/>
      <c r="B578" s="449"/>
      <c r="C578" s="449"/>
      <c r="D578" s="449"/>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15.75" customHeight="1">
      <c r="A579" s="25"/>
      <c r="B579" s="449"/>
      <c r="C579" s="449"/>
      <c r="D579" s="449"/>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15.75" customHeight="1">
      <c r="A580" s="25"/>
      <c r="B580" s="449"/>
      <c r="C580" s="449"/>
      <c r="D580" s="449"/>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15.75" customHeight="1">
      <c r="A581" s="25"/>
      <c r="B581" s="449"/>
      <c r="C581" s="449"/>
      <c r="D581" s="449"/>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15.75" customHeight="1">
      <c r="A582" s="25"/>
      <c r="B582" s="449"/>
      <c r="C582" s="449"/>
      <c r="D582" s="449"/>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15.75" customHeight="1">
      <c r="A583" s="25"/>
      <c r="B583" s="449"/>
      <c r="C583" s="449"/>
      <c r="D583" s="449"/>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15.75" customHeight="1">
      <c r="A584" s="25"/>
      <c r="B584" s="449"/>
      <c r="C584" s="449"/>
      <c r="D584" s="449"/>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15.75" customHeight="1">
      <c r="A585" s="25"/>
      <c r="B585" s="449"/>
      <c r="C585" s="449"/>
      <c r="D585" s="449"/>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15.75" customHeight="1">
      <c r="A586" s="25"/>
      <c r="B586" s="449"/>
      <c r="C586" s="449"/>
      <c r="D586" s="449"/>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15.75" customHeight="1">
      <c r="A587" s="25"/>
      <c r="B587" s="449"/>
      <c r="C587" s="449"/>
      <c r="D587" s="449"/>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15.75" customHeight="1">
      <c r="A588" s="25"/>
      <c r="B588" s="449"/>
      <c r="C588" s="449"/>
      <c r="D588" s="449"/>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15.75" customHeight="1">
      <c r="A589" s="25"/>
      <c r="B589" s="449"/>
      <c r="C589" s="449"/>
      <c r="D589" s="449"/>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15.75" customHeight="1">
      <c r="A590" s="25"/>
      <c r="B590" s="449"/>
      <c r="C590" s="449"/>
      <c r="D590" s="449"/>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15.75" customHeight="1">
      <c r="A591" s="25"/>
      <c r="B591" s="449"/>
      <c r="C591" s="449"/>
      <c r="D591" s="449"/>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15.75" customHeight="1">
      <c r="A592" s="25"/>
      <c r="B592" s="449"/>
      <c r="C592" s="449"/>
      <c r="D592" s="449"/>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15.75" customHeight="1">
      <c r="A593" s="25"/>
      <c r="B593" s="449"/>
      <c r="C593" s="449"/>
      <c r="D593" s="449"/>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15.75" customHeight="1">
      <c r="A594" s="25"/>
      <c r="B594" s="449"/>
      <c r="C594" s="449"/>
      <c r="D594" s="449"/>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15.75" customHeight="1">
      <c r="A595" s="25"/>
      <c r="B595" s="449"/>
      <c r="C595" s="449"/>
      <c r="D595" s="449"/>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15.75" customHeight="1">
      <c r="A596" s="25"/>
      <c r="B596" s="449"/>
      <c r="C596" s="449"/>
      <c r="D596" s="449"/>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15.75" customHeight="1">
      <c r="A597" s="25"/>
      <c r="B597" s="449"/>
      <c r="C597" s="449"/>
      <c r="D597" s="449"/>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15.75" customHeight="1">
      <c r="A598" s="25"/>
      <c r="B598" s="449"/>
      <c r="C598" s="449"/>
      <c r="D598" s="449"/>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15.75" customHeight="1">
      <c r="A599" s="25"/>
      <c r="B599" s="449"/>
      <c r="C599" s="449"/>
      <c r="D599" s="449"/>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15.75" customHeight="1">
      <c r="A600" s="25"/>
      <c r="B600" s="449"/>
      <c r="C600" s="449"/>
      <c r="D600" s="449"/>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15.75" customHeight="1">
      <c r="A601" s="25"/>
      <c r="B601" s="449"/>
      <c r="C601" s="449"/>
      <c r="D601" s="449"/>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15.75" customHeight="1">
      <c r="A602" s="25"/>
      <c r="B602" s="449"/>
      <c r="C602" s="449"/>
      <c r="D602" s="449"/>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15.75" customHeight="1">
      <c r="A603" s="25"/>
      <c r="B603" s="449"/>
      <c r="C603" s="449"/>
      <c r="D603" s="449"/>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15.75" customHeight="1">
      <c r="A604" s="25"/>
      <c r="B604" s="449"/>
      <c r="C604" s="449"/>
      <c r="D604" s="449"/>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15.75" customHeight="1">
      <c r="A605" s="25"/>
      <c r="B605" s="449"/>
      <c r="C605" s="449"/>
      <c r="D605" s="449"/>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15.75" customHeight="1">
      <c r="A606" s="25"/>
      <c r="B606" s="449"/>
      <c r="C606" s="449"/>
      <c r="D606" s="449"/>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15.75" customHeight="1">
      <c r="A607" s="25"/>
      <c r="B607" s="449"/>
      <c r="C607" s="449"/>
      <c r="D607" s="449"/>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15.75" customHeight="1">
      <c r="A608" s="25"/>
      <c r="B608" s="449"/>
      <c r="C608" s="449"/>
      <c r="D608" s="449"/>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15.75" customHeight="1">
      <c r="A609" s="25"/>
      <c r="B609" s="449"/>
      <c r="C609" s="449"/>
      <c r="D609" s="449"/>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15.75" customHeight="1">
      <c r="A610" s="25"/>
      <c r="B610" s="449"/>
      <c r="C610" s="449"/>
      <c r="D610" s="449"/>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15.75" customHeight="1">
      <c r="A611" s="25"/>
      <c r="B611" s="449"/>
      <c r="C611" s="449"/>
      <c r="D611" s="449"/>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15.75" customHeight="1">
      <c r="A612" s="25"/>
      <c r="B612" s="449"/>
      <c r="C612" s="449"/>
      <c r="D612" s="449"/>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15.75" customHeight="1">
      <c r="A613" s="25"/>
      <c r="B613" s="449"/>
      <c r="C613" s="449"/>
      <c r="D613" s="449"/>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15.75" customHeight="1">
      <c r="A614" s="25"/>
      <c r="B614" s="449"/>
      <c r="C614" s="449"/>
      <c r="D614" s="449"/>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15.75" customHeight="1">
      <c r="A615" s="25"/>
      <c r="B615" s="449"/>
      <c r="C615" s="449"/>
      <c r="D615" s="449"/>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15.75" customHeight="1">
      <c r="A616" s="25"/>
      <c r="B616" s="449"/>
      <c r="C616" s="449"/>
      <c r="D616" s="449"/>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15.75" customHeight="1">
      <c r="A617" s="25"/>
      <c r="B617" s="449"/>
      <c r="C617" s="449"/>
      <c r="D617" s="449"/>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15.75" customHeight="1">
      <c r="A618" s="25"/>
      <c r="B618" s="449"/>
      <c r="C618" s="449"/>
      <c r="D618" s="449"/>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15.75" customHeight="1">
      <c r="A619" s="25"/>
      <c r="B619" s="449"/>
      <c r="C619" s="449"/>
      <c r="D619" s="449"/>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15.75" customHeight="1">
      <c r="A620" s="25"/>
      <c r="B620" s="449"/>
      <c r="C620" s="449"/>
      <c r="D620" s="449"/>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15.75" customHeight="1">
      <c r="A621" s="25"/>
      <c r="B621" s="449"/>
      <c r="C621" s="449"/>
      <c r="D621" s="449"/>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15.75" customHeight="1">
      <c r="A622" s="25"/>
      <c r="B622" s="449"/>
      <c r="C622" s="449"/>
      <c r="D622" s="449"/>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15.75" customHeight="1">
      <c r="A623" s="25"/>
      <c r="B623" s="449"/>
      <c r="C623" s="449"/>
      <c r="D623" s="449"/>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15.75" customHeight="1">
      <c r="A624" s="25"/>
      <c r="B624" s="449"/>
      <c r="C624" s="449"/>
      <c r="D624" s="449"/>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15.75" customHeight="1">
      <c r="A625" s="25"/>
      <c r="B625" s="449"/>
      <c r="C625" s="449"/>
      <c r="D625" s="449"/>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15.75" customHeight="1">
      <c r="A626" s="25"/>
      <c r="B626" s="449"/>
      <c r="C626" s="449"/>
      <c r="D626" s="449"/>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15.75" customHeight="1">
      <c r="A627" s="25"/>
      <c r="B627" s="449"/>
      <c r="C627" s="449"/>
      <c r="D627" s="449"/>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15.75" customHeight="1">
      <c r="A628" s="25"/>
      <c r="B628" s="449"/>
      <c r="C628" s="449"/>
      <c r="D628" s="449"/>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15.75" customHeight="1">
      <c r="A629" s="25"/>
      <c r="B629" s="449"/>
      <c r="C629" s="449"/>
      <c r="D629" s="449"/>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15.75" customHeight="1">
      <c r="A630" s="25"/>
      <c r="B630" s="449"/>
      <c r="C630" s="449"/>
      <c r="D630" s="449"/>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15.75" customHeight="1">
      <c r="A631" s="25"/>
      <c r="B631" s="449"/>
      <c r="C631" s="449"/>
      <c r="D631" s="449"/>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15.75" customHeight="1">
      <c r="A632" s="25"/>
      <c r="B632" s="449"/>
      <c r="C632" s="449"/>
      <c r="D632" s="449"/>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15.75" customHeight="1">
      <c r="A633" s="25"/>
      <c r="B633" s="449"/>
      <c r="C633" s="449"/>
      <c r="D633" s="449"/>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15.75" customHeight="1">
      <c r="A634" s="25"/>
      <c r="B634" s="449"/>
      <c r="C634" s="449"/>
      <c r="D634" s="449"/>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15.75" customHeight="1">
      <c r="A635" s="25"/>
      <c r="B635" s="449"/>
      <c r="C635" s="449"/>
      <c r="D635" s="449"/>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15.75" customHeight="1">
      <c r="A636" s="25"/>
      <c r="B636" s="449"/>
      <c r="C636" s="449"/>
      <c r="D636" s="449"/>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15.75" customHeight="1">
      <c r="A637" s="25"/>
      <c r="B637" s="449"/>
      <c r="C637" s="449"/>
      <c r="D637" s="449"/>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15.75" customHeight="1">
      <c r="A638" s="25"/>
      <c r="B638" s="449"/>
      <c r="C638" s="449"/>
      <c r="D638" s="449"/>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15.75" customHeight="1">
      <c r="A639" s="25"/>
      <c r="B639" s="449"/>
      <c r="C639" s="449"/>
      <c r="D639" s="449"/>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15.75" customHeight="1">
      <c r="A640" s="25"/>
      <c r="B640" s="449"/>
      <c r="C640" s="449"/>
      <c r="D640" s="449"/>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15.75" customHeight="1">
      <c r="A641" s="25"/>
      <c r="B641" s="449"/>
      <c r="C641" s="449"/>
      <c r="D641" s="449"/>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15.75" customHeight="1">
      <c r="A642" s="25"/>
      <c r="B642" s="449"/>
      <c r="C642" s="449"/>
      <c r="D642" s="449"/>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15.75" customHeight="1">
      <c r="A643" s="25"/>
      <c r="B643" s="449"/>
      <c r="C643" s="449"/>
      <c r="D643" s="449"/>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15.75" customHeight="1">
      <c r="A644" s="25"/>
      <c r="B644" s="449"/>
      <c r="C644" s="449"/>
      <c r="D644" s="449"/>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15.75" customHeight="1">
      <c r="A645" s="25"/>
      <c r="B645" s="449"/>
      <c r="C645" s="449"/>
      <c r="D645" s="449"/>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15.75" customHeight="1">
      <c r="A646" s="25"/>
      <c r="B646" s="449"/>
      <c r="C646" s="449"/>
      <c r="D646" s="449"/>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15.75" customHeight="1">
      <c r="A647" s="25"/>
      <c r="B647" s="449"/>
      <c r="C647" s="449"/>
      <c r="D647" s="449"/>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15.75" customHeight="1">
      <c r="A648" s="25"/>
      <c r="B648" s="449"/>
      <c r="C648" s="449"/>
      <c r="D648" s="449"/>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15.75" customHeight="1">
      <c r="A649" s="25"/>
      <c r="B649" s="449"/>
      <c r="C649" s="449"/>
      <c r="D649" s="449"/>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15.75" customHeight="1">
      <c r="A650" s="25"/>
      <c r="B650" s="449"/>
      <c r="C650" s="449"/>
      <c r="D650" s="449"/>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15.75" customHeight="1">
      <c r="A651" s="25"/>
      <c r="B651" s="449"/>
      <c r="C651" s="449"/>
      <c r="D651" s="449"/>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15.75" customHeight="1">
      <c r="A652" s="25"/>
      <c r="B652" s="449"/>
      <c r="C652" s="449"/>
      <c r="D652" s="449"/>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15.75" customHeight="1">
      <c r="A653" s="25"/>
      <c r="B653" s="449"/>
      <c r="C653" s="449"/>
      <c r="D653" s="449"/>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15.75" customHeight="1">
      <c r="A654" s="25"/>
      <c r="B654" s="449"/>
      <c r="C654" s="449"/>
      <c r="D654" s="449"/>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15.75" customHeight="1">
      <c r="A655" s="25"/>
      <c r="B655" s="449"/>
      <c r="C655" s="449"/>
      <c r="D655" s="449"/>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15.75" customHeight="1">
      <c r="A656" s="25"/>
      <c r="B656" s="449"/>
      <c r="C656" s="449"/>
      <c r="D656" s="449"/>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15.75" customHeight="1">
      <c r="A657" s="25"/>
      <c r="B657" s="449"/>
      <c r="C657" s="449"/>
      <c r="D657" s="449"/>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15.75" customHeight="1">
      <c r="A658" s="25"/>
      <c r="B658" s="449"/>
      <c r="C658" s="449"/>
      <c r="D658" s="449"/>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15.75" customHeight="1">
      <c r="A659" s="25"/>
      <c r="B659" s="449"/>
      <c r="C659" s="449"/>
      <c r="D659" s="449"/>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15.75" customHeight="1">
      <c r="A660" s="25"/>
      <c r="B660" s="449"/>
      <c r="C660" s="449"/>
      <c r="D660" s="449"/>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15.75" customHeight="1">
      <c r="A661" s="25"/>
      <c r="B661" s="449"/>
      <c r="C661" s="449"/>
      <c r="D661" s="449"/>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15.75" customHeight="1">
      <c r="A662" s="25"/>
      <c r="B662" s="449"/>
      <c r="C662" s="449"/>
      <c r="D662" s="449"/>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15.75" customHeight="1">
      <c r="A663" s="25"/>
      <c r="B663" s="449"/>
      <c r="C663" s="449"/>
      <c r="D663" s="449"/>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15.75" customHeight="1">
      <c r="A664" s="25"/>
      <c r="B664" s="449"/>
      <c r="C664" s="449"/>
      <c r="D664" s="449"/>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15.75" customHeight="1">
      <c r="A665" s="25"/>
      <c r="B665" s="449"/>
      <c r="C665" s="449"/>
      <c r="D665" s="449"/>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15.75" customHeight="1">
      <c r="A666" s="25"/>
      <c r="B666" s="449"/>
      <c r="C666" s="449"/>
      <c r="D666" s="449"/>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15.75" customHeight="1">
      <c r="A667" s="25"/>
      <c r="B667" s="449"/>
      <c r="C667" s="449"/>
      <c r="D667" s="449"/>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15.75" customHeight="1">
      <c r="A668" s="25"/>
      <c r="B668" s="449"/>
      <c r="C668" s="449"/>
      <c r="D668" s="449"/>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15.75" customHeight="1">
      <c r="A669" s="25"/>
      <c r="B669" s="449"/>
      <c r="C669" s="449"/>
      <c r="D669" s="449"/>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15.75" customHeight="1">
      <c r="A670" s="25"/>
      <c r="B670" s="449"/>
      <c r="C670" s="449"/>
      <c r="D670" s="449"/>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15.75" customHeight="1">
      <c r="A671" s="25"/>
      <c r="B671" s="449"/>
      <c r="C671" s="449"/>
      <c r="D671" s="449"/>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15.75" customHeight="1">
      <c r="A672" s="25"/>
      <c r="B672" s="449"/>
      <c r="C672" s="449"/>
      <c r="D672" s="449"/>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15.75" customHeight="1">
      <c r="A673" s="25"/>
      <c r="B673" s="449"/>
      <c r="C673" s="449"/>
      <c r="D673" s="449"/>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15.75" customHeight="1">
      <c r="A674" s="25"/>
      <c r="B674" s="449"/>
      <c r="C674" s="449"/>
      <c r="D674" s="449"/>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15.75" customHeight="1">
      <c r="A675" s="25"/>
      <c r="B675" s="449"/>
      <c r="C675" s="449"/>
      <c r="D675" s="449"/>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15.75" customHeight="1">
      <c r="A676" s="25"/>
      <c r="B676" s="449"/>
      <c r="C676" s="449"/>
      <c r="D676" s="449"/>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15.75" customHeight="1">
      <c r="A677" s="25"/>
      <c r="B677" s="449"/>
      <c r="C677" s="449"/>
      <c r="D677" s="449"/>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15.75" customHeight="1">
      <c r="A678" s="25"/>
      <c r="B678" s="449"/>
      <c r="C678" s="449"/>
      <c r="D678" s="449"/>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15.75" customHeight="1">
      <c r="A679" s="25"/>
      <c r="B679" s="449"/>
      <c r="C679" s="449"/>
      <c r="D679" s="449"/>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15.75" customHeight="1">
      <c r="A680" s="25"/>
      <c r="B680" s="449"/>
      <c r="C680" s="449"/>
      <c r="D680" s="449"/>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15.75" customHeight="1">
      <c r="A681" s="25"/>
      <c r="B681" s="449"/>
      <c r="C681" s="449"/>
      <c r="D681" s="449"/>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15.75" customHeight="1">
      <c r="A682" s="25"/>
      <c r="B682" s="449"/>
      <c r="C682" s="449"/>
      <c r="D682" s="449"/>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15.75" customHeight="1">
      <c r="A683" s="25"/>
      <c r="B683" s="449"/>
      <c r="C683" s="449"/>
      <c r="D683" s="449"/>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15.75" customHeight="1">
      <c r="A684" s="25"/>
      <c r="B684" s="449"/>
      <c r="C684" s="449"/>
      <c r="D684" s="449"/>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15.75" customHeight="1">
      <c r="A685" s="25"/>
      <c r="B685" s="449"/>
      <c r="C685" s="449"/>
      <c r="D685" s="449"/>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15.75" customHeight="1">
      <c r="A686" s="25"/>
      <c r="B686" s="449"/>
      <c r="C686" s="449"/>
      <c r="D686" s="449"/>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15.75" customHeight="1">
      <c r="A687" s="25"/>
      <c r="B687" s="449"/>
      <c r="C687" s="449"/>
      <c r="D687" s="449"/>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15.75" customHeight="1">
      <c r="A688" s="25"/>
      <c r="B688" s="449"/>
      <c r="C688" s="449"/>
      <c r="D688" s="449"/>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15.75" customHeight="1">
      <c r="A689" s="25"/>
      <c r="B689" s="449"/>
      <c r="C689" s="449"/>
      <c r="D689" s="449"/>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15.75" customHeight="1">
      <c r="A690" s="25"/>
      <c r="B690" s="449"/>
      <c r="C690" s="449"/>
      <c r="D690" s="449"/>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15.75" customHeight="1">
      <c r="A691" s="25"/>
      <c r="B691" s="449"/>
      <c r="C691" s="449"/>
      <c r="D691" s="449"/>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15.75" customHeight="1">
      <c r="A692" s="25"/>
      <c r="B692" s="449"/>
      <c r="C692" s="449"/>
      <c r="D692" s="449"/>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15.75" customHeight="1">
      <c r="A693" s="25"/>
      <c r="B693" s="449"/>
      <c r="C693" s="449"/>
      <c r="D693" s="449"/>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15.75" customHeight="1">
      <c r="A694" s="25"/>
      <c r="B694" s="449"/>
      <c r="C694" s="449"/>
      <c r="D694" s="449"/>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15.75" customHeight="1">
      <c r="A695" s="25"/>
      <c r="B695" s="449"/>
      <c r="C695" s="449"/>
      <c r="D695" s="449"/>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15.75" customHeight="1">
      <c r="A696" s="25"/>
      <c r="B696" s="449"/>
      <c r="C696" s="449"/>
      <c r="D696" s="449"/>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15.75" customHeight="1">
      <c r="A697" s="25"/>
      <c r="B697" s="449"/>
      <c r="C697" s="449"/>
      <c r="D697" s="449"/>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15.75" customHeight="1">
      <c r="A698" s="25"/>
      <c r="B698" s="449"/>
      <c r="C698" s="449"/>
      <c r="D698" s="449"/>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15.75" customHeight="1">
      <c r="A699" s="25"/>
      <c r="B699" s="449"/>
      <c r="C699" s="449"/>
      <c r="D699" s="449"/>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15.75" customHeight="1">
      <c r="A700" s="25"/>
      <c r="B700" s="449"/>
      <c r="C700" s="449"/>
      <c r="D700" s="449"/>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15.75" customHeight="1">
      <c r="A701" s="25"/>
      <c r="B701" s="449"/>
      <c r="C701" s="449"/>
      <c r="D701" s="449"/>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15.75" customHeight="1">
      <c r="A702" s="25"/>
      <c r="B702" s="449"/>
      <c r="C702" s="449"/>
      <c r="D702" s="449"/>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15.75" customHeight="1">
      <c r="A703" s="25"/>
      <c r="B703" s="449"/>
      <c r="C703" s="449"/>
      <c r="D703" s="449"/>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15.75" customHeight="1">
      <c r="A704" s="25"/>
      <c r="B704" s="449"/>
      <c r="C704" s="449"/>
      <c r="D704" s="449"/>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15.75" customHeight="1">
      <c r="A705" s="25"/>
      <c r="B705" s="449"/>
      <c r="C705" s="449"/>
      <c r="D705" s="449"/>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15.75" customHeight="1">
      <c r="A706" s="25"/>
      <c r="B706" s="449"/>
      <c r="C706" s="449"/>
      <c r="D706" s="449"/>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15.75" customHeight="1">
      <c r="A707" s="25"/>
      <c r="B707" s="449"/>
      <c r="C707" s="449"/>
      <c r="D707" s="449"/>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15.75" customHeight="1">
      <c r="A708" s="25"/>
      <c r="B708" s="449"/>
      <c r="C708" s="449"/>
      <c r="D708" s="449"/>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15.75" customHeight="1">
      <c r="A709" s="25"/>
      <c r="B709" s="449"/>
      <c r="C709" s="449"/>
      <c r="D709" s="449"/>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15.75" customHeight="1">
      <c r="A710" s="25"/>
      <c r="B710" s="449"/>
      <c r="C710" s="449"/>
      <c r="D710" s="449"/>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15.75" customHeight="1">
      <c r="A711" s="25"/>
      <c r="B711" s="449"/>
      <c r="C711" s="449"/>
      <c r="D711" s="449"/>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15.75" customHeight="1">
      <c r="A712" s="25"/>
      <c r="B712" s="449"/>
      <c r="C712" s="449"/>
      <c r="D712" s="449"/>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15.75" customHeight="1">
      <c r="A713" s="25"/>
      <c r="B713" s="449"/>
      <c r="C713" s="449"/>
      <c r="D713" s="449"/>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15.75" customHeight="1">
      <c r="A714" s="25"/>
      <c r="B714" s="449"/>
      <c r="C714" s="449"/>
      <c r="D714" s="449"/>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15.75" customHeight="1">
      <c r="A715" s="25"/>
      <c r="B715" s="449"/>
      <c r="C715" s="449"/>
      <c r="D715" s="449"/>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15.75" customHeight="1">
      <c r="A716" s="25"/>
      <c r="B716" s="449"/>
      <c r="C716" s="449"/>
      <c r="D716" s="449"/>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15.75" customHeight="1">
      <c r="A717" s="25"/>
      <c r="B717" s="449"/>
      <c r="C717" s="449"/>
      <c r="D717" s="449"/>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15.75" customHeight="1">
      <c r="A718" s="25"/>
      <c r="B718" s="449"/>
      <c r="C718" s="449"/>
      <c r="D718" s="449"/>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15.75" customHeight="1">
      <c r="A719" s="25"/>
      <c r="B719" s="449"/>
      <c r="C719" s="449"/>
      <c r="D719" s="449"/>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15.75" customHeight="1">
      <c r="A720" s="25"/>
      <c r="B720" s="449"/>
      <c r="C720" s="449"/>
      <c r="D720" s="449"/>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15.75" customHeight="1">
      <c r="A721" s="25"/>
      <c r="B721" s="449"/>
      <c r="C721" s="449"/>
      <c r="D721" s="449"/>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15.75" customHeight="1">
      <c r="A722" s="25"/>
      <c r="B722" s="449"/>
      <c r="C722" s="449"/>
      <c r="D722" s="449"/>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15.75" customHeight="1">
      <c r="A723" s="25"/>
      <c r="B723" s="449"/>
      <c r="C723" s="449"/>
      <c r="D723" s="449"/>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15.75" customHeight="1">
      <c r="A724" s="25"/>
      <c r="B724" s="449"/>
      <c r="C724" s="449"/>
      <c r="D724" s="449"/>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15.75" customHeight="1">
      <c r="A725" s="25"/>
      <c r="B725" s="449"/>
      <c r="C725" s="449"/>
      <c r="D725" s="449"/>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15.75" customHeight="1">
      <c r="A726" s="25"/>
      <c r="B726" s="449"/>
      <c r="C726" s="449"/>
      <c r="D726" s="449"/>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15.75" customHeight="1">
      <c r="A727" s="25"/>
      <c r="B727" s="449"/>
      <c r="C727" s="449"/>
      <c r="D727" s="449"/>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15.75" customHeight="1">
      <c r="A728" s="25"/>
      <c r="B728" s="449"/>
      <c r="C728" s="449"/>
      <c r="D728" s="449"/>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15.75" customHeight="1">
      <c r="A729" s="25"/>
      <c r="B729" s="449"/>
      <c r="C729" s="449"/>
      <c r="D729" s="449"/>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15.75" customHeight="1">
      <c r="A730" s="25"/>
      <c r="B730" s="449"/>
      <c r="C730" s="449"/>
      <c r="D730" s="449"/>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15.75" customHeight="1">
      <c r="A731" s="25"/>
      <c r="B731" s="449"/>
      <c r="C731" s="449"/>
      <c r="D731" s="449"/>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15.75" customHeight="1">
      <c r="A732" s="25"/>
      <c r="B732" s="449"/>
      <c r="C732" s="449"/>
      <c r="D732" s="449"/>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15.75" customHeight="1">
      <c r="A733" s="25"/>
      <c r="B733" s="449"/>
      <c r="C733" s="449"/>
      <c r="D733" s="449"/>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15.75" customHeight="1">
      <c r="A734" s="25"/>
      <c r="B734" s="449"/>
      <c r="C734" s="449"/>
      <c r="D734" s="449"/>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15.75" customHeight="1">
      <c r="A735" s="25"/>
      <c r="B735" s="449"/>
      <c r="C735" s="449"/>
      <c r="D735" s="449"/>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15.75" customHeight="1">
      <c r="A736" s="25"/>
      <c r="B736" s="449"/>
      <c r="C736" s="449"/>
      <c r="D736" s="449"/>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15.75" customHeight="1">
      <c r="A737" s="25"/>
      <c r="B737" s="449"/>
      <c r="C737" s="449"/>
      <c r="D737" s="449"/>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15.75" customHeight="1">
      <c r="A738" s="25"/>
      <c r="B738" s="449"/>
      <c r="C738" s="449"/>
      <c r="D738" s="449"/>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15.75" customHeight="1">
      <c r="A739" s="25"/>
      <c r="B739" s="449"/>
      <c r="C739" s="449"/>
      <c r="D739" s="449"/>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15.75" customHeight="1">
      <c r="A740" s="25"/>
      <c r="B740" s="449"/>
      <c r="C740" s="449"/>
      <c r="D740" s="449"/>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15.75" customHeight="1">
      <c r="A741" s="25"/>
      <c r="B741" s="449"/>
      <c r="C741" s="449"/>
      <c r="D741" s="449"/>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15.75" customHeight="1">
      <c r="A742" s="25"/>
      <c r="B742" s="449"/>
      <c r="C742" s="449"/>
      <c r="D742" s="449"/>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15.75" customHeight="1">
      <c r="A743" s="25"/>
      <c r="B743" s="449"/>
      <c r="C743" s="449"/>
      <c r="D743" s="449"/>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15.75" customHeight="1">
      <c r="A744" s="25"/>
      <c r="B744" s="449"/>
      <c r="C744" s="449"/>
      <c r="D744" s="449"/>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15.75" customHeight="1">
      <c r="A745" s="25"/>
      <c r="B745" s="449"/>
      <c r="C745" s="449"/>
      <c r="D745" s="449"/>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15.75" customHeight="1">
      <c r="A746" s="25"/>
      <c r="B746" s="449"/>
      <c r="C746" s="449"/>
      <c r="D746" s="449"/>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15.75" customHeight="1">
      <c r="A747" s="25"/>
      <c r="B747" s="449"/>
      <c r="C747" s="449"/>
      <c r="D747" s="449"/>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15.75" customHeight="1">
      <c r="A748" s="25"/>
      <c r="B748" s="449"/>
      <c r="C748" s="449"/>
      <c r="D748" s="449"/>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15.75" customHeight="1">
      <c r="A749" s="25"/>
      <c r="B749" s="449"/>
      <c r="C749" s="449"/>
      <c r="D749" s="449"/>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15.75" customHeight="1">
      <c r="A750" s="25"/>
      <c r="B750" s="449"/>
      <c r="C750" s="449"/>
      <c r="D750" s="449"/>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15.75" customHeight="1">
      <c r="A751" s="25"/>
      <c r="B751" s="449"/>
      <c r="C751" s="449"/>
      <c r="D751" s="449"/>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15.75" customHeight="1">
      <c r="A752" s="25"/>
      <c r="B752" s="449"/>
      <c r="C752" s="449"/>
      <c r="D752" s="449"/>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15.75" customHeight="1">
      <c r="A753" s="25"/>
      <c r="B753" s="449"/>
      <c r="C753" s="449"/>
      <c r="D753" s="449"/>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15.75" customHeight="1">
      <c r="A754" s="25"/>
      <c r="B754" s="449"/>
      <c r="C754" s="449"/>
      <c r="D754" s="449"/>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15.75" customHeight="1">
      <c r="A755" s="25"/>
      <c r="B755" s="449"/>
      <c r="C755" s="449"/>
      <c r="D755" s="449"/>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15.75" customHeight="1">
      <c r="A756" s="25"/>
      <c r="B756" s="449"/>
      <c r="C756" s="449"/>
      <c r="D756" s="449"/>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15.75" customHeight="1">
      <c r="A757" s="25"/>
      <c r="B757" s="449"/>
      <c r="C757" s="449"/>
      <c r="D757" s="449"/>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15.75" customHeight="1">
      <c r="A758" s="25"/>
      <c r="B758" s="449"/>
      <c r="C758" s="449"/>
      <c r="D758" s="449"/>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15.75" customHeight="1">
      <c r="A759" s="25"/>
      <c r="B759" s="449"/>
      <c r="C759" s="449"/>
      <c r="D759" s="449"/>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15.75" customHeight="1">
      <c r="A760" s="25"/>
      <c r="B760" s="449"/>
      <c r="C760" s="449"/>
      <c r="D760" s="449"/>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15.75" customHeight="1">
      <c r="A761" s="25"/>
      <c r="B761" s="449"/>
      <c r="C761" s="449"/>
      <c r="D761" s="449"/>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15.75" customHeight="1">
      <c r="A762" s="25"/>
      <c r="B762" s="449"/>
      <c r="C762" s="449"/>
      <c r="D762" s="449"/>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15.75" customHeight="1">
      <c r="A763" s="25"/>
      <c r="B763" s="449"/>
      <c r="C763" s="449"/>
      <c r="D763" s="449"/>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15.75" customHeight="1">
      <c r="A764" s="25"/>
      <c r="B764" s="449"/>
      <c r="C764" s="449"/>
      <c r="D764" s="449"/>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15.75" customHeight="1">
      <c r="A765" s="25"/>
      <c r="B765" s="449"/>
      <c r="C765" s="449"/>
      <c r="D765" s="449"/>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15.75" customHeight="1">
      <c r="A766" s="25"/>
      <c r="B766" s="449"/>
      <c r="C766" s="449"/>
      <c r="D766" s="449"/>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15.75" customHeight="1">
      <c r="A767" s="25"/>
      <c r="B767" s="449"/>
      <c r="C767" s="449"/>
      <c r="D767" s="449"/>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15.75" customHeight="1">
      <c r="A768" s="25"/>
      <c r="B768" s="449"/>
      <c r="C768" s="449"/>
      <c r="D768" s="449"/>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15.75" customHeight="1">
      <c r="A769" s="25"/>
      <c r="B769" s="449"/>
      <c r="C769" s="449"/>
      <c r="D769" s="449"/>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15.75" customHeight="1">
      <c r="A770" s="25"/>
      <c r="B770" s="449"/>
      <c r="C770" s="449"/>
      <c r="D770" s="449"/>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15.75" customHeight="1">
      <c r="A771" s="25"/>
      <c r="B771" s="449"/>
      <c r="C771" s="449"/>
      <c r="D771" s="449"/>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15.75" customHeight="1">
      <c r="A772" s="25"/>
      <c r="B772" s="449"/>
      <c r="C772" s="449"/>
      <c r="D772" s="449"/>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15.75" customHeight="1">
      <c r="A773" s="25"/>
      <c r="B773" s="449"/>
      <c r="C773" s="449"/>
      <c r="D773" s="449"/>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15.75" customHeight="1">
      <c r="A774" s="25"/>
      <c r="B774" s="449"/>
      <c r="C774" s="449"/>
      <c r="D774" s="449"/>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15.75" customHeight="1">
      <c r="A775" s="25"/>
      <c r="B775" s="449"/>
      <c r="C775" s="449"/>
      <c r="D775" s="449"/>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15.75" customHeight="1">
      <c r="A776" s="25"/>
      <c r="B776" s="449"/>
      <c r="C776" s="449"/>
      <c r="D776" s="449"/>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15.75" customHeight="1">
      <c r="A777" s="25"/>
      <c r="B777" s="449"/>
      <c r="C777" s="449"/>
      <c r="D777" s="449"/>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15.75" customHeight="1">
      <c r="A778" s="25"/>
      <c r="B778" s="449"/>
      <c r="C778" s="449"/>
      <c r="D778" s="449"/>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15.75" customHeight="1">
      <c r="A779" s="25"/>
      <c r="B779" s="449"/>
      <c r="C779" s="449"/>
      <c r="D779" s="449"/>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15.75" customHeight="1">
      <c r="A780" s="25"/>
      <c r="B780" s="449"/>
      <c r="C780" s="449"/>
      <c r="D780" s="449"/>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15.75" customHeight="1">
      <c r="A781" s="25"/>
      <c r="B781" s="449"/>
      <c r="C781" s="449"/>
      <c r="D781" s="449"/>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15.75" customHeight="1">
      <c r="A782" s="25"/>
      <c r="B782" s="449"/>
      <c r="C782" s="449"/>
      <c r="D782" s="449"/>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15.75" customHeight="1">
      <c r="A783" s="25"/>
      <c r="B783" s="449"/>
      <c r="C783" s="449"/>
      <c r="D783" s="449"/>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15.75" customHeight="1">
      <c r="A784" s="25"/>
      <c r="B784" s="449"/>
      <c r="C784" s="449"/>
      <c r="D784" s="449"/>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15.75" customHeight="1">
      <c r="A785" s="25"/>
      <c r="B785" s="449"/>
      <c r="C785" s="449"/>
      <c r="D785" s="449"/>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15.75" customHeight="1">
      <c r="A786" s="25"/>
      <c r="B786" s="449"/>
      <c r="C786" s="449"/>
      <c r="D786" s="449"/>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15.75" customHeight="1">
      <c r="A787" s="25"/>
      <c r="B787" s="449"/>
      <c r="C787" s="449"/>
      <c r="D787" s="449"/>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15.75" customHeight="1">
      <c r="A788" s="25"/>
      <c r="B788" s="449"/>
      <c r="C788" s="449"/>
      <c r="D788" s="449"/>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15.75" customHeight="1">
      <c r="A789" s="25"/>
      <c r="B789" s="449"/>
      <c r="C789" s="449"/>
      <c r="D789" s="449"/>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15.75" customHeight="1">
      <c r="A790" s="25"/>
      <c r="B790" s="449"/>
      <c r="C790" s="449"/>
      <c r="D790" s="449"/>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15.75" customHeight="1">
      <c r="A791" s="25"/>
      <c r="B791" s="449"/>
      <c r="C791" s="449"/>
      <c r="D791" s="449"/>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15.75" customHeight="1">
      <c r="A792" s="25"/>
      <c r="B792" s="449"/>
      <c r="C792" s="449"/>
      <c r="D792" s="449"/>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15.75" customHeight="1">
      <c r="A793" s="25"/>
      <c r="B793" s="449"/>
      <c r="C793" s="449"/>
      <c r="D793" s="449"/>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15.75" customHeight="1">
      <c r="A794" s="25"/>
      <c r="B794" s="449"/>
      <c r="C794" s="449"/>
      <c r="D794" s="449"/>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15.75" customHeight="1">
      <c r="A795" s="25"/>
      <c r="B795" s="449"/>
      <c r="C795" s="449"/>
      <c r="D795" s="449"/>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15.75" customHeight="1">
      <c r="A796" s="25"/>
      <c r="B796" s="449"/>
      <c r="C796" s="449"/>
      <c r="D796" s="449"/>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15.75" customHeight="1">
      <c r="A797" s="25"/>
      <c r="B797" s="449"/>
      <c r="C797" s="449"/>
      <c r="D797" s="449"/>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15.75" customHeight="1">
      <c r="A798" s="25"/>
      <c r="B798" s="449"/>
      <c r="C798" s="449"/>
      <c r="D798" s="449"/>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15.75" customHeight="1">
      <c r="A799" s="25"/>
      <c r="B799" s="449"/>
      <c r="C799" s="449"/>
      <c r="D799" s="449"/>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15.75" customHeight="1">
      <c r="A800" s="25"/>
      <c r="B800" s="449"/>
      <c r="C800" s="449"/>
      <c r="D800" s="449"/>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15.75" customHeight="1">
      <c r="A801" s="25"/>
      <c r="B801" s="449"/>
      <c r="C801" s="449"/>
      <c r="D801" s="449"/>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15.75" customHeight="1">
      <c r="A802" s="25"/>
      <c r="B802" s="449"/>
      <c r="C802" s="449"/>
      <c r="D802" s="449"/>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15.75" customHeight="1">
      <c r="A803" s="25"/>
      <c r="B803" s="449"/>
      <c r="C803" s="449"/>
      <c r="D803" s="449"/>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15.75" customHeight="1">
      <c r="A804" s="25"/>
      <c r="B804" s="449"/>
      <c r="C804" s="449"/>
      <c r="D804" s="449"/>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15.75" customHeight="1">
      <c r="A805" s="25"/>
      <c r="B805" s="449"/>
      <c r="C805" s="449"/>
      <c r="D805" s="449"/>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15.75" customHeight="1">
      <c r="A806" s="25"/>
      <c r="B806" s="449"/>
      <c r="C806" s="449"/>
      <c r="D806" s="449"/>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15.75" customHeight="1">
      <c r="A807" s="25"/>
      <c r="B807" s="449"/>
      <c r="C807" s="449"/>
      <c r="D807" s="449"/>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15.75" customHeight="1">
      <c r="A808" s="25"/>
      <c r="B808" s="449"/>
      <c r="C808" s="449"/>
      <c r="D808" s="449"/>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15.75" customHeight="1">
      <c r="A809" s="25"/>
      <c r="B809" s="449"/>
      <c r="C809" s="449"/>
      <c r="D809" s="449"/>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15.75" customHeight="1">
      <c r="A810" s="25"/>
      <c r="B810" s="449"/>
      <c r="C810" s="449"/>
      <c r="D810" s="449"/>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15.75" customHeight="1">
      <c r="A811" s="25"/>
      <c r="B811" s="449"/>
      <c r="C811" s="449"/>
      <c r="D811" s="449"/>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15.75" customHeight="1">
      <c r="A812" s="25"/>
      <c r="B812" s="449"/>
      <c r="C812" s="449"/>
      <c r="D812" s="449"/>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15.75" customHeight="1">
      <c r="A813" s="25"/>
      <c r="B813" s="449"/>
      <c r="C813" s="449"/>
      <c r="D813" s="449"/>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15.75" customHeight="1">
      <c r="A814" s="25"/>
      <c r="B814" s="449"/>
      <c r="C814" s="449"/>
      <c r="D814" s="449"/>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15.75" customHeight="1">
      <c r="A815" s="25"/>
      <c r="B815" s="449"/>
      <c r="C815" s="449"/>
      <c r="D815" s="449"/>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15.75" customHeight="1">
      <c r="A816" s="25"/>
      <c r="B816" s="449"/>
      <c r="C816" s="449"/>
      <c r="D816" s="449"/>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15.75" customHeight="1">
      <c r="A817" s="25"/>
      <c r="B817" s="449"/>
      <c r="C817" s="449"/>
      <c r="D817" s="449"/>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15.75" customHeight="1">
      <c r="A818" s="25"/>
      <c r="B818" s="449"/>
      <c r="C818" s="449"/>
      <c r="D818" s="449"/>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15.75" customHeight="1">
      <c r="A819" s="25"/>
      <c r="B819" s="449"/>
      <c r="C819" s="449"/>
      <c r="D819" s="449"/>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15.75" customHeight="1">
      <c r="A820" s="25"/>
      <c r="B820" s="449"/>
      <c r="C820" s="449"/>
      <c r="D820" s="449"/>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15.75" customHeight="1">
      <c r="A821" s="25"/>
      <c r="B821" s="449"/>
      <c r="C821" s="449"/>
      <c r="D821" s="449"/>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15.75" customHeight="1">
      <c r="A822" s="25"/>
      <c r="B822" s="449"/>
      <c r="C822" s="449"/>
      <c r="D822" s="449"/>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15.75" customHeight="1">
      <c r="A823" s="25"/>
      <c r="B823" s="449"/>
      <c r="C823" s="449"/>
      <c r="D823" s="449"/>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15.75" customHeight="1">
      <c r="A824" s="25"/>
      <c r="B824" s="449"/>
      <c r="C824" s="449"/>
      <c r="D824" s="449"/>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15.75" customHeight="1">
      <c r="A825" s="25"/>
      <c r="B825" s="449"/>
      <c r="C825" s="449"/>
      <c r="D825" s="449"/>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15.75" customHeight="1">
      <c r="A826" s="25"/>
      <c r="B826" s="449"/>
      <c r="C826" s="449"/>
      <c r="D826" s="449"/>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15.75" customHeight="1">
      <c r="A827" s="25"/>
      <c r="B827" s="449"/>
      <c r="C827" s="449"/>
      <c r="D827" s="449"/>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15.75" customHeight="1">
      <c r="A828" s="25"/>
      <c r="B828" s="449"/>
      <c r="C828" s="449"/>
      <c r="D828" s="449"/>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15.75" customHeight="1">
      <c r="A829" s="25"/>
      <c r="B829" s="449"/>
      <c r="C829" s="449"/>
      <c r="D829" s="449"/>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15.75" customHeight="1">
      <c r="A830" s="25"/>
      <c r="B830" s="449"/>
      <c r="C830" s="449"/>
      <c r="D830" s="449"/>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15.75" customHeight="1">
      <c r="A831" s="25"/>
      <c r="B831" s="449"/>
      <c r="C831" s="449"/>
      <c r="D831" s="449"/>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15.75" customHeight="1">
      <c r="A832" s="25"/>
      <c r="B832" s="449"/>
      <c r="C832" s="449"/>
      <c r="D832" s="449"/>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15.75" customHeight="1">
      <c r="A833" s="25"/>
      <c r="B833" s="449"/>
      <c r="C833" s="449"/>
      <c r="D833" s="449"/>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15.75" customHeight="1">
      <c r="A834" s="25"/>
      <c r="B834" s="449"/>
      <c r="C834" s="449"/>
      <c r="D834" s="449"/>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15.75" customHeight="1">
      <c r="A835" s="25"/>
      <c r="B835" s="449"/>
      <c r="C835" s="449"/>
      <c r="D835" s="449"/>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15.75" customHeight="1">
      <c r="A836" s="25"/>
      <c r="B836" s="449"/>
      <c r="C836" s="449"/>
      <c r="D836" s="449"/>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15.75" customHeight="1">
      <c r="A837" s="25"/>
      <c r="B837" s="449"/>
      <c r="C837" s="449"/>
      <c r="D837" s="449"/>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15.75" customHeight="1">
      <c r="A838" s="25"/>
      <c r="B838" s="449"/>
      <c r="C838" s="449"/>
      <c r="D838" s="449"/>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15.75" customHeight="1">
      <c r="A839" s="25"/>
      <c r="B839" s="449"/>
      <c r="C839" s="449"/>
      <c r="D839" s="449"/>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15.75" customHeight="1">
      <c r="A840" s="25"/>
      <c r="B840" s="449"/>
      <c r="C840" s="449"/>
      <c r="D840" s="449"/>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15.75" customHeight="1">
      <c r="A841" s="25"/>
      <c r="B841" s="449"/>
      <c r="C841" s="449"/>
      <c r="D841" s="449"/>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15.75" customHeight="1">
      <c r="A842" s="25"/>
      <c r="B842" s="449"/>
      <c r="C842" s="449"/>
      <c r="D842" s="449"/>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15.75" customHeight="1">
      <c r="A843" s="25"/>
      <c r="B843" s="449"/>
      <c r="C843" s="449"/>
      <c r="D843" s="449"/>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15.75" customHeight="1">
      <c r="A844" s="25"/>
      <c r="B844" s="449"/>
      <c r="C844" s="449"/>
      <c r="D844" s="449"/>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15.75" customHeight="1">
      <c r="A845" s="25"/>
      <c r="B845" s="449"/>
      <c r="C845" s="449"/>
      <c r="D845" s="449"/>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15.75" customHeight="1">
      <c r="A846" s="25"/>
      <c r="B846" s="449"/>
      <c r="C846" s="449"/>
      <c r="D846" s="449"/>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15.75" customHeight="1">
      <c r="A847" s="25"/>
      <c r="B847" s="449"/>
      <c r="C847" s="449"/>
      <c r="D847" s="449"/>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15.75" customHeight="1">
      <c r="A848" s="25"/>
      <c r="B848" s="449"/>
      <c r="C848" s="449"/>
      <c r="D848" s="449"/>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15.75" customHeight="1">
      <c r="A849" s="25"/>
      <c r="B849" s="449"/>
      <c r="C849" s="449"/>
      <c r="D849" s="449"/>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15.75" customHeight="1">
      <c r="A850" s="25"/>
      <c r="B850" s="449"/>
      <c r="C850" s="449"/>
      <c r="D850" s="449"/>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15.75" customHeight="1">
      <c r="A851" s="25"/>
      <c r="B851" s="449"/>
      <c r="C851" s="449"/>
      <c r="D851" s="449"/>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15.75" customHeight="1">
      <c r="A852" s="25"/>
      <c r="B852" s="449"/>
      <c r="C852" s="449"/>
      <c r="D852" s="449"/>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15.75" customHeight="1">
      <c r="A853" s="25"/>
      <c r="B853" s="449"/>
      <c r="C853" s="449"/>
      <c r="D853" s="449"/>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15.75" customHeight="1">
      <c r="A854" s="25"/>
      <c r="B854" s="449"/>
      <c r="C854" s="449"/>
      <c r="D854" s="449"/>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15.75" customHeight="1">
      <c r="A855" s="25"/>
      <c r="B855" s="449"/>
      <c r="C855" s="449"/>
      <c r="D855" s="449"/>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15.75" customHeight="1">
      <c r="A856" s="25"/>
      <c r="B856" s="449"/>
      <c r="C856" s="449"/>
      <c r="D856" s="449"/>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15.75" customHeight="1">
      <c r="A857" s="25"/>
      <c r="B857" s="449"/>
      <c r="C857" s="449"/>
      <c r="D857" s="449"/>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15.75" customHeight="1">
      <c r="A858" s="25"/>
      <c r="B858" s="449"/>
      <c r="C858" s="449"/>
      <c r="D858" s="449"/>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15.75" customHeight="1">
      <c r="A859" s="25"/>
      <c r="B859" s="449"/>
      <c r="C859" s="449"/>
      <c r="D859" s="449"/>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15.75" customHeight="1">
      <c r="A860" s="25"/>
      <c r="B860" s="449"/>
      <c r="C860" s="449"/>
      <c r="D860" s="449"/>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15.75" customHeight="1">
      <c r="A861" s="25"/>
      <c r="B861" s="449"/>
      <c r="C861" s="449"/>
      <c r="D861" s="449"/>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15.75" customHeight="1">
      <c r="A862" s="25"/>
      <c r="B862" s="449"/>
      <c r="C862" s="449"/>
      <c r="D862" s="449"/>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15.75" customHeight="1">
      <c r="A863" s="25"/>
      <c r="B863" s="449"/>
      <c r="C863" s="449"/>
      <c r="D863" s="449"/>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15.75" customHeight="1">
      <c r="A864" s="25"/>
      <c r="B864" s="449"/>
      <c r="C864" s="449"/>
      <c r="D864" s="449"/>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15.75" customHeight="1">
      <c r="A865" s="25"/>
      <c r="B865" s="449"/>
      <c r="C865" s="449"/>
      <c r="D865" s="449"/>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15.75" customHeight="1">
      <c r="A866" s="25"/>
      <c r="B866" s="449"/>
      <c r="C866" s="449"/>
      <c r="D866" s="449"/>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15.75" customHeight="1">
      <c r="A867" s="25"/>
      <c r="B867" s="449"/>
      <c r="C867" s="449"/>
      <c r="D867" s="449"/>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15.75" customHeight="1">
      <c r="A868" s="25"/>
      <c r="B868" s="449"/>
      <c r="C868" s="449"/>
      <c r="D868" s="449"/>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15.75" customHeight="1">
      <c r="A869" s="25"/>
      <c r="B869" s="449"/>
      <c r="C869" s="449"/>
      <c r="D869" s="449"/>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15.75" customHeight="1">
      <c r="A870" s="25"/>
      <c r="B870" s="449"/>
      <c r="C870" s="449"/>
      <c r="D870" s="449"/>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15.75" customHeight="1">
      <c r="A871" s="25"/>
      <c r="B871" s="449"/>
      <c r="C871" s="449"/>
      <c r="D871" s="449"/>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15.75" customHeight="1">
      <c r="A872" s="25"/>
      <c r="B872" s="449"/>
      <c r="C872" s="449"/>
      <c r="D872" s="449"/>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15.75" customHeight="1">
      <c r="A873" s="25"/>
      <c r="B873" s="449"/>
      <c r="C873" s="449"/>
      <c r="D873" s="449"/>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15.75" customHeight="1">
      <c r="A874" s="25"/>
      <c r="B874" s="449"/>
      <c r="C874" s="449"/>
      <c r="D874" s="449"/>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15.75" customHeight="1">
      <c r="A875" s="25"/>
      <c r="B875" s="449"/>
      <c r="C875" s="449"/>
      <c r="D875" s="449"/>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15.75" customHeight="1">
      <c r="A876" s="25"/>
      <c r="B876" s="449"/>
      <c r="C876" s="449"/>
      <c r="D876" s="449"/>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15.75" customHeight="1">
      <c r="A877" s="25"/>
      <c r="B877" s="449"/>
      <c r="C877" s="449"/>
      <c r="D877" s="449"/>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15.75" customHeight="1">
      <c r="A878" s="25"/>
      <c r="B878" s="449"/>
      <c r="C878" s="449"/>
      <c r="D878" s="449"/>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15.75" customHeight="1">
      <c r="A879" s="25"/>
      <c r="B879" s="449"/>
      <c r="C879" s="449"/>
      <c r="D879" s="449"/>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15.75" customHeight="1">
      <c r="A880" s="25"/>
      <c r="B880" s="449"/>
      <c r="C880" s="449"/>
      <c r="D880" s="449"/>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15.75" customHeight="1">
      <c r="A881" s="25"/>
      <c r="B881" s="449"/>
      <c r="C881" s="449"/>
      <c r="D881" s="449"/>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15.75" customHeight="1">
      <c r="A882" s="25"/>
      <c r="B882" s="449"/>
      <c r="C882" s="449"/>
      <c r="D882" s="449"/>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15.75" customHeight="1">
      <c r="A883" s="25"/>
      <c r="B883" s="449"/>
      <c r="C883" s="449"/>
      <c r="D883" s="449"/>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15.75" customHeight="1">
      <c r="A884" s="25"/>
      <c r="B884" s="449"/>
      <c r="C884" s="449"/>
      <c r="D884" s="449"/>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15.75" customHeight="1">
      <c r="A885" s="25"/>
      <c r="B885" s="449"/>
      <c r="C885" s="449"/>
      <c r="D885" s="449"/>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15.75" customHeight="1">
      <c r="A886" s="25"/>
      <c r="B886" s="449"/>
      <c r="C886" s="449"/>
      <c r="D886" s="449"/>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15.75" customHeight="1">
      <c r="A887" s="25"/>
      <c r="B887" s="449"/>
      <c r="C887" s="449"/>
      <c r="D887" s="449"/>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15.75" customHeight="1">
      <c r="A888" s="25"/>
      <c r="B888" s="449"/>
      <c r="C888" s="449"/>
      <c r="D888" s="449"/>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15.75" customHeight="1">
      <c r="A889" s="25"/>
      <c r="B889" s="449"/>
      <c r="C889" s="449"/>
      <c r="D889" s="449"/>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15.75" customHeight="1">
      <c r="A890" s="25"/>
      <c r="B890" s="449"/>
      <c r="C890" s="449"/>
      <c r="D890" s="449"/>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15.75" customHeight="1">
      <c r="A891" s="25"/>
      <c r="B891" s="449"/>
      <c r="C891" s="449"/>
      <c r="D891" s="449"/>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15.75" customHeight="1">
      <c r="A892" s="25"/>
      <c r="B892" s="449"/>
      <c r="C892" s="449"/>
      <c r="D892" s="449"/>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15.75" customHeight="1">
      <c r="A893" s="25"/>
      <c r="B893" s="449"/>
      <c r="C893" s="449"/>
      <c r="D893" s="449"/>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15.75" customHeight="1">
      <c r="A894" s="25"/>
      <c r="B894" s="449"/>
      <c r="C894" s="449"/>
      <c r="D894" s="449"/>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15.75" customHeight="1">
      <c r="A895" s="25"/>
      <c r="B895" s="449"/>
      <c r="C895" s="449"/>
      <c r="D895" s="449"/>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15.75" customHeight="1">
      <c r="A896" s="25"/>
      <c r="B896" s="449"/>
      <c r="C896" s="449"/>
      <c r="D896" s="449"/>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15.75" customHeight="1">
      <c r="A897" s="25"/>
      <c r="B897" s="449"/>
      <c r="C897" s="449"/>
      <c r="D897" s="449"/>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15.75" customHeight="1">
      <c r="A898" s="25"/>
      <c r="B898" s="449"/>
      <c r="C898" s="449"/>
      <c r="D898" s="449"/>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15.75" customHeight="1">
      <c r="A899" s="25"/>
      <c r="B899" s="449"/>
      <c r="C899" s="449"/>
      <c r="D899" s="449"/>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15.75" customHeight="1">
      <c r="A900" s="25"/>
      <c r="B900" s="449"/>
      <c r="C900" s="449"/>
      <c r="D900" s="449"/>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15.75" customHeight="1">
      <c r="A901" s="25"/>
      <c r="B901" s="449"/>
      <c r="C901" s="449"/>
      <c r="D901" s="449"/>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15.75" customHeight="1">
      <c r="A902" s="25"/>
      <c r="B902" s="449"/>
      <c r="C902" s="449"/>
      <c r="D902" s="449"/>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15.75" customHeight="1">
      <c r="A903" s="25"/>
      <c r="B903" s="449"/>
      <c r="C903" s="449"/>
      <c r="D903" s="449"/>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15.75" customHeight="1">
      <c r="A904" s="25"/>
      <c r="B904" s="449"/>
      <c r="C904" s="449"/>
      <c r="D904" s="449"/>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15.75" customHeight="1">
      <c r="A905" s="25"/>
      <c r="B905" s="449"/>
      <c r="C905" s="449"/>
      <c r="D905" s="449"/>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15.75" customHeight="1">
      <c r="A906" s="25"/>
      <c r="B906" s="449"/>
      <c r="C906" s="449"/>
      <c r="D906" s="449"/>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15.75" customHeight="1">
      <c r="A907" s="25"/>
      <c r="B907" s="449"/>
      <c r="C907" s="449"/>
      <c r="D907" s="449"/>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15.75" customHeight="1">
      <c r="A908" s="25"/>
      <c r="B908" s="449"/>
      <c r="C908" s="449"/>
      <c r="D908" s="449"/>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15.75" customHeight="1">
      <c r="A909" s="25"/>
      <c r="B909" s="449"/>
      <c r="C909" s="449"/>
      <c r="D909" s="449"/>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15.75" customHeight="1">
      <c r="A910" s="25"/>
      <c r="B910" s="449"/>
      <c r="C910" s="449"/>
      <c r="D910" s="449"/>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15.75" customHeight="1">
      <c r="A911" s="25"/>
      <c r="B911" s="449"/>
      <c r="C911" s="449"/>
      <c r="D911" s="449"/>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15.75" customHeight="1">
      <c r="A912" s="25"/>
      <c r="B912" s="449"/>
      <c r="C912" s="449"/>
      <c r="D912" s="449"/>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15.75" customHeight="1">
      <c r="A913" s="25"/>
      <c r="B913" s="449"/>
      <c r="C913" s="449"/>
      <c r="D913" s="449"/>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15.75" customHeight="1">
      <c r="A914" s="25"/>
      <c r="B914" s="449"/>
      <c r="C914" s="449"/>
      <c r="D914" s="449"/>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15.75" customHeight="1">
      <c r="A915" s="25"/>
      <c r="B915" s="449"/>
      <c r="C915" s="449"/>
      <c r="D915" s="449"/>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15.75" customHeight="1">
      <c r="A916" s="25"/>
      <c r="B916" s="449"/>
      <c r="C916" s="449"/>
      <c r="D916" s="449"/>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15.75" customHeight="1">
      <c r="A917" s="25"/>
      <c r="B917" s="449"/>
      <c r="C917" s="449"/>
      <c r="D917" s="449"/>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15.75" customHeight="1">
      <c r="A918" s="25"/>
      <c r="B918" s="449"/>
      <c r="C918" s="449"/>
      <c r="D918" s="449"/>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15.75" customHeight="1">
      <c r="A919" s="25"/>
      <c r="B919" s="449"/>
      <c r="C919" s="449"/>
      <c r="D919" s="449"/>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15.75" customHeight="1">
      <c r="A920" s="25"/>
      <c r="B920" s="449"/>
      <c r="C920" s="449"/>
      <c r="D920" s="449"/>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15.75" customHeight="1">
      <c r="A921" s="25"/>
      <c r="B921" s="449"/>
      <c r="C921" s="449"/>
      <c r="D921" s="449"/>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15.75" customHeight="1">
      <c r="A922" s="25"/>
      <c r="B922" s="449"/>
      <c r="C922" s="449"/>
      <c r="D922" s="449"/>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15.75" customHeight="1">
      <c r="A923" s="25"/>
      <c r="B923" s="449"/>
      <c r="C923" s="449"/>
      <c r="D923" s="449"/>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15.75" customHeight="1">
      <c r="A924" s="25"/>
      <c r="B924" s="449"/>
      <c r="C924" s="449"/>
      <c r="D924" s="449"/>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15.75" customHeight="1">
      <c r="A925" s="25"/>
      <c r="B925" s="449"/>
      <c r="C925" s="449"/>
      <c r="D925" s="449"/>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15.75" customHeight="1">
      <c r="A926" s="25"/>
      <c r="B926" s="449"/>
      <c r="C926" s="449"/>
      <c r="D926" s="449"/>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15.75" customHeight="1">
      <c r="A927" s="25"/>
      <c r="B927" s="449"/>
      <c r="C927" s="449"/>
      <c r="D927" s="449"/>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15.75" customHeight="1">
      <c r="A928" s="25"/>
      <c r="B928" s="449"/>
      <c r="C928" s="449"/>
      <c r="D928" s="449"/>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15.75" customHeight="1">
      <c r="A929" s="25"/>
      <c r="B929" s="449"/>
      <c r="C929" s="449"/>
      <c r="D929" s="449"/>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15.75" customHeight="1">
      <c r="A930" s="25"/>
      <c r="B930" s="449"/>
      <c r="C930" s="449"/>
      <c r="D930" s="449"/>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15.75" customHeight="1">
      <c r="A931" s="25"/>
      <c r="B931" s="449"/>
      <c r="C931" s="449"/>
      <c r="D931" s="449"/>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15.75" customHeight="1">
      <c r="A932" s="25"/>
      <c r="B932" s="449"/>
      <c r="C932" s="449"/>
      <c r="D932" s="449"/>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15.75" customHeight="1">
      <c r="A933" s="25"/>
      <c r="B933" s="449"/>
      <c r="C933" s="449"/>
      <c r="D933" s="449"/>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15.75" customHeight="1">
      <c r="A934" s="25"/>
      <c r="B934" s="449"/>
      <c r="C934" s="449"/>
      <c r="D934" s="449"/>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15.75" customHeight="1">
      <c r="A935" s="25"/>
      <c r="B935" s="449"/>
      <c r="C935" s="449"/>
      <c r="D935" s="449"/>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15.75" customHeight="1">
      <c r="A936" s="25"/>
      <c r="B936" s="449"/>
      <c r="C936" s="449"/>
      <c r="D936" s="449"/>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15.75" customHeight="1">
      <c r="A937" s="25"/>
      <c r="B937" s="449"/>
      <c r="C937" s="449"/>
      <c r="D937" s="449"/>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15.75" customHeight="1">
      <c r="A938" s="25"/>
      <c r="B938" s="449"/>
      <c r="C938" s="449"/>
      <c r="D938" s="449"/>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15.75" customHeight="1">
      <c r="A939" s="25"/>
      <c r="B939" s="449"/>
      <c r="C939" s="449"/>
      <c r="D939" s="449"/>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15.75" customHeight="1">
      <c r="A940" s="25"/>
      <c r="B940" s="449"/>
      <c r="C940" s="449"/>
      <c r="D940" s="449"/>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15.75" customHeight="1">
      <c r="A941" s="25"/>
      <c r="B941" s="449"/>
      <c r="C941" s="449"/>
      <c r="D941" s="449"/>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15.75" customHeight="1">
      <c r="A942" s="25"/>
      <c r="B942" s="449"/>
      <c r="C942" s="449"/>
      <c r="D942" s="449"/>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15.75" customHeight="1">
      <c r="A943" s="25"/>
      <c r="B943" s="449"/>
      <c r="C943" s="449"/>
      <c r="D943" s="449"/>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15.75" customHeight="1">
      <c r="A944" s="25"/>
      <c r="B944" s="449"/>
      <c r="C944" s="449"/>
      <c r="D944" s="449"/>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15.75" customHeight="1">
      <c r="A945" s="25"/>
      <c r="B945" s="449"/>
      <c r="C945" s="449"/>
      <c r="D945" s="449"/>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15.75" customHeight="1">
      <c r="A946" s="25"/>
      <c r="B946" s="449"/>
      <c r="C946" s="449"/>
      <c r="D946" s="449"/>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15.75" customHeight="1">
      <c r="A947" s="25"/>
      <c r="B947" s="449"/>
      <c r="C947" s="449"/>
      <c r="D947" s="449"/>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15.75" customHeight="1">
      <c r="A948" s="25"/>
      <c r="B948" s="449"/>
      <c r="C948" s="449"/>
      <c r="D948" s="449"/>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15.75" customHeight="1">
      <c r="A949" s="25"/>
      <c r="B949" s="449"/>
      <c r="C949" s="449"/>
      <c r="D949" s="449"/>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15.75" customHeight="1">
      <c r="A950" s="25"/>
      <c r="B950" s="449"/>
      <c r="C950" s="449"/>
      <c r="D950" s="449"/>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15.75" customHeight="1">
      <c r="A951" s="25"/>
      <c r="B951" s="449"/>
      <c r="C951" s="449"/>
      <c r="D951" s="449"/>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15.75" customHeight="1">
      <c r="A952" s="25"/>
      <c r="B952" s="449"/>
      <c r="C952" s="449"/>
      <c r="D952" s="449"/>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15.75" customHeight="1">
      <c r="A953" s="25"/>
      <c r="B953" s="449"/>
      <c r="C953" s="449"/>
      <c r="D953" s="449"/>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15.75" customHeight="1">
      <c r="A954" s="25"/>
      <c r="B954" s="449"/>
      <c r="C954" s="449"/>
      <c r="D954" s="449"/>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15.75" customHeight="1">
      <c r="A955" s="25"/>
      <c r="B955" s="449"/>
      <c r="C955" s="449"/>
      <c r="D955" s="449"/>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15.75" customHeight="1">
      <c r="A956" s="25"/>
      <c r="B956" s="449"/>
      <c r="C956" s="449"/>
      <c r="D956" s="449"/>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15.75" customHeight="1">
      <c r="A957" s="25"/>
      <c r="B957" s="449"/>
      <c r="C957" s="449"/>
      <c r="D957" s="449"/>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15.75" customHeight="1">
      <c r="A958" s="25"/>
      <c r="B958" s="449"/>
      <c r="C958" s="449"/>
      <c r="D958" s="449"/>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15.75" customHeight="1">
      <c r="A959" s="25"/>
      <c r="B959" s="449"/>
      <c r="C959" s="449"/>
      <c r="D959" s="449"/>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15.75" customHeight="1">
      <c r="A960" s="25"/>
      <c r="B960" s="449"/>
      <c r="C960" s="449"/>
      <c r="D960" s="449"/>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15.75" customHeight="1">
      <c r="A961" s="25"/>
      <c r="B961" s="449"/>
      <c r="C961" s="449"/>
      <c r="D961" s="449"/>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15.75" customHeight="1">
      <c r="A962" s="25"/>
      <c r="B962" s="449"/>
      <c r="C962" s="449"/>
      <c r="D962" s="449"/>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15.75" customHeight="1">
      <c r="A963" s="25"/>
      <c r="B963" s="449"/>
      <c r="C963" s="449"/>
      <c r="D963" s="449"/>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15.75" customHeight="1">
      <c r="A964" s="25"/>
      <c r="B964" s="449"/>
      <c r="C964" s="449"/>
      <c r="D964" s="449"/>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15.75" customHeight="1">
      <c r="A965" s="25"/>
      <c r="B965" s="449"/>
      <c r="C965" s="449"/>
      <c r="D965" s="449"/>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15.75" customHeight="1">
      <c r="A966" s="25"/>
      <c r="B966" s="449"/>
      <c r="C966" s="449"/>
      <c r="D966" s="449"/>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15.75" customHeight="1">
      <c r="A967" s="25"/>
      <c r="B967" s="449"/>
      <c r="C967" s="449"/>
      <c r="D967" s="449"/>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15.75" customHeight="1">
      <c r="A968" s="25"/>
      <c r="B968" s="449"/>
      <c r="C968" s="449"/>
      <c r="D968" s="449"/>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15.75" customHeight="1">
      <c r="A969" s="25"/>
      <c r="B969" s="449"/>
      <c r="C969" s="449"/>
      <c r="D969" s="449"/>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15.75" customHeight="1">
      <c r="A970" s="25"/>
      <c r="B970" s="449"/>
      <c r="C970" s="449"/>
      <c r="D970" s="449"/>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15.75" customHeight="1">
      <c r="A971" s="25"/>
      <c r="B971" s="449"/>
      <c r="C971" s="449"/>
      <c r="D971" s="449"/>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15.75" customHeight="1">
      <c r="A972" s="25"/>
      <c r="B972" s="449"/>
      <c r="C972" s="449"/>
      <c r="D972" s="449"/>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15.75" customHeight="1">
      <c r="A973" s="25"/>
      <c r="B973" s="449"/>
      <c r="C973" s="449"/>
      <c r="D973" s="449"/>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15.75" customHeight="1">
      <c r="A974" s="25"/>
      <c r="B974" s="449"/>
      <c r="C974" s="449"/>
      <c r="D974" s="449"/>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15.75" customHeight="1">
      <c r="A975" s="25"/>
      <c r="B975" s="449"/>
      <c r="C975" s="449"/>
      <c r="D975" s="449"/>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15.75" customHeight="1">
      <c r="A976" s="25"/>
      <c r="B976" s="449"/>
      <c r="C976" s="449"/>
      <c r="D976" s="449"/>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15.75" customHeight="1">
      <c r="A977" s="25"/>
      <c r="B977" s="449"/>
      <c r="C977" s="449"/>
      <c r="D977" s="449"/>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15.75" customHeight="1">
      <c r="A978" s="25"/>
      <c r="B978" s="449"/>
      <c r="C978" s="449"/>
      <c r="D978" s="449"/>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15.75" customHeight="1">
      <c r="A979" s="25"/>
      <c r="B979" s="449"/>
      <c r="C979" s="449"/>
      <c r="D979" s="449"/>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15.75" customHeight="1">
      <c r="A980" s="25"/>
      <c r="B980" s="449"/>
      <c r="C980" s="449"/>
      <c r="D980" s="449"/>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15.75" customHeight="1">
      <c r="A981" s="25"/>
      <c r="B981" s="449"/>
      <c r="C981" s="449"/>
      <c r="D981" s="449"/>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15.75" customHeight="1">
      <c r="A982" s="25"/>
      <c r="B982" s="449"/>
      <c r="C982" s="449"/>
      <c r="D982" s="449"/>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15.75" customHeight="1">
      <c r="A983" s="25"/>
      <c r="B983" s="449"/>
      <c r="C983" s="449"/>
      <c r="D983" s="449"/>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15.75" customHeight="1">
      <c r="A984" s="25"/>
      <c r="B984" s="449"/>
      <c r="C984" s="449"/>
      <c r="D984" s="449"/>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15.75" customHeight="1">
      <c r="A985" s="25"/>
      <c r="B985" s="449"/>
      <c r="C985" s="449"/>
      <c r="D985" s="449"/>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15.75" customHeight="1">
      <c r="A986" s="25"/>
      <c r="B986" s="449"/>
      <c r="C986" s="449"/>
      <c r="D986" s="449"/>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15.75" customHeight="1">
      <c r="A987" s="25"/>
      <c r="B987" s="449"/>
      <c r="C987" s="449"/>
      <c r="D987" s="449"/>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15.75" customHeight="1">
      <c r="A988" s="25"/>
      <c r="B988" s="449"/>
      <c r="C988" s="449"/>
      <c r="D988" s="449"/>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15.75" customHeight="1">
      <c r="A989" s="25"/>
      <c r="B989" s="449"/>
      <c r="C989" s="449"/>
      <c r="D989" s="449"/>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15.75" customHeight="1">
      <c r="A990" s="25"/>
      <c r="B990" s="449"/>
      <c r="C990" s="449"/>
      <c r="D990" s="449"/>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15.75" customHeight="1">
      <c r="A991" s="25"/>
      <c r="B991" s="449"/>
      <c r="C991" s="449"/>
      <c r="D991" s="449"/>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15.75" customHeight="1">
      <c r="A992" s="25"/>
      <c r="B992" s="449"/>
      <c r="C992" s="449"/>
      <c r="D992" s="449"/>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15.75" customHeight="1">
      <c r="A993" s="25"/>
      <c r="B993" s="449"/>
      <c r="C993" s="449"/>
      <c r="D993" s="449"/>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15.75" customHeight="1">
      <c r="A994" s="25"/>
      <c r="B994" s="449"/>
      <c r="C994" s="449"/>
      <c r="D994" s="449"/>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15.75" customHeight="1">
      <c r="A995" s="25"/>
      <c r="B995" s="449"/>
      <c r="C995" s="449"/>
      <c r="D995" s="449"/>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15.75" customHeight="1">
      <c r="A996" s="25"/>
      <c r="B996" s="449"/>
      <c r="C996" s="449"/>
      <c r="D996" s="449"/>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15.75" customHeight="1">
      <c r="A997" s="25"/>
      <c r="B997" s="449"/>
      <c r="C997" s="449"/>
      <c r="D997" s="449"/>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15.75" customHeight="1">
      <c r="A998" s="25"/>
      <c r="B998" s="449"/>
      <c r="C998" s="449"/>
      <c r="D998" s="449"/>
      <c r="E998" s="25"/>
      <c r="F998" s="25"/>
      <c r="G998" s="25"/>
      <c r="H998" s="25"/>
      <c r="I998" s="25"/>
      <c r="J998" s="25"/>
      <c r="K998" s="25"/>
      <c r="L998" s="25"/>
      <c r="M998" s="25"/>
      <c r="N998" s="25"/>
      <c r="O998" s="25"/>
      <c r="P998" s="25"/>
      <c r="Q998" s="25"/>
      <c r="R998" s="25"/>
      <c r="S998" s="25"/>
      <c r="T998" s="25"/>
      <c r="U998" s="25"/>
      <c r="V998" s="25"/>
      <c r="W998" s="25"/>
      <c r="X998" s="25"/>
      <c r="Y998" s="25"/>
      <c r="Z998" s="25"/>
    </row>
    <row r="999" ht="15.75" customHeight="1">
      <c r="A999" s="25"/>
      <c r="B999" s="449"/>
      <c r="C999" s="449"/>
      <c r="D999" s="449"/>
      <c r="E999" s="25"/>
      <c r="F999" s="25"/>
      <c r="G999" s="25"/>
      <c r="H999" s="25"/>
      <c r="I999" s="25"/>
      <c r="J999" s="25"/>
      <c r="K999" s="25"/>
      <c r="L999" s="25"/>
      <c r="M999" s="25"/>
      <c r="N999" s="25"/>
      <c r="O999" s="25"/>
      <c r="P999" s="25"/>
      <c r="Q999" s="25"/>
      <c r="R999" s="25"/>
      <c r="S999" s="25"/>
      <c r="T999" s="25"/>
      <c r="U999" s="25"/>
      <c r="V999" s="25"/>
      <c r="W999" s="25"/>
      <c r="X999" s="25"/>
      <c r="Y999" s="25"/>
      <c r="Z999" s="25"/>
    </row>
    <row r="1000" ht="15.75" customHeight="1">
      <c r="A1000" s="25"/>
      <c r="B1000" s="449"/>
      <c r="C1000" s="449"/>
      <c r="D1000" s="449"/>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printOptions/>
  <pageMargins bottom="0.787401575" footer="0.0" header="0.0" left="0.511811024" right="0.511811024" top="0.7874015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2026-03-12T19:21:26Z</dcterms:created>
  <dc:creator>Renato Mota</dc:creator>
</cp:coreProperties>
</file>